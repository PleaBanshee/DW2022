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D:\NWUNextcloud\Susan\ITRI611\2022\Project\"/>
    </mc:Choice>
  </mc:AlternateContent>
  <xr:revisionPtr revIDLastSave="0" documentId="13_ncr:1_{8BD81FDF-68D0-4FAC-AE2E-E1C8D99D0C7C}" xr6:coauthVersionLast="47" xr6:coauthVersionMax="47" xr10:uidLastSave="{00000000-0000-0000-0000-000000000000}"/>
  <bookViews>
    <workbookView xWindow="-28920" yWindow="-1890" windowWidth="29040" windowHeight="15840" tabRatio="827" xr2:uid="{00000000-000D-0000-FFFF-FFFF00000000}"/>
  </bookViews>
  <sheets>
    <sheet name="Start Here" sheetId="1" r:id="rId1"/>
    <sheet name="Rubric" sheetId="2" r:id="rId2"/>
    <sheet name="General" sheetId="6" r:id="rId3"/>
  </sheets>
  <definedNames>
    <definedName name="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4" i="2" l="1"/>
  <c r="G13" i="2"/>
  <c r="G12" i="2" s="1"/>
  <c r="G11" i="2"/>
  <c r="G10" i="2"/>
  <c r="G8" i="2"/>
  <c r="G7" i="2"/>
  <c r="G5" i="2"/>
  <c r="G4" i="2"/>
  <c r="G3" i="2"/>
  <c r="G9" i="2" l="1"/>
  <c r="H2" i="2"/>
  <c r="G6" i="2" l="1"/>
  <c r="G2" i="2"/>
  <c r="G15" i="2" l="1"/>
</calcChain>
</file>

<file path=xl/sharedStrings.xml><?xml version="1.0" encoding="utf-8"?>
<sst xmlns="http://schemas.openxmlformats.org/spreadsheetml/2006/main" count="92" uniqueCount="75">
  <si>
    <t>Case Study</t>
  </si>
  <si>
    <t>Sources of information</t>
  </si>
  <si>
    <t>Work ethic</t>
  </si>
  <si>
    <t>Instructions</t>
  </si>
  <si>
    <t>Evaluation</t>
  </si>
  <si>
    <t>Marks contribution</t>
  </si>
  <si>
    <t>Bus matrix</t>
  </si>
  <si>
    <t>Business processes identified</t>
  </si>
  <si>
    <t>Most of the business processes were identified, but some of them were left out or are not appropriately named</t>
  </si>
  <si>
    <t>Dimensions identified</t>
  </si>
  <si>
    <t>No business processes were correctly identified</t>
  </si>
  <si>
    <t>Only a few dimensions were correctly identified and named</t>
  </si>
  <si>
    <t>All the dimensions that are suppose to be included are there, but there are also some other dimensions that do not make sense or fit into the model.</t>
  </si>
  <si>
    <t>Most of the dimension were identified, but some are not relevant or are not appropriately named.</t>
  </si>
  <si>
    <t>Some of the relationships between business processes and dimensions were indicated correctly.</t>
  </si>
  <si>
    <t>Relationships indicated</t>
  </si>
  <si>
    <t>Out of</t>
  </si>
  <si>
    <t>Fact tables</t>
  </si>
  <si>
    <t>Marks</t>
  </si>
  <si>
    <t>Marks scale:</t>
  </si>
  <si>
    <t>No fact table for the relevant business process</t>
  </si>
  <si>
    <t>Fact table 1</t>
  </si>
  <si>
    <t>Fact table 2</t>
  </si>
  <si>
    <t>An attempt was made to complete the design of the fact table on the template. Fact table includes some fields for relevant dimensions (as on the bus matrix) and measurements indicated on the ERD model. Most field names and description are not descriptive. No comments included to explain design.</t>
  </si>
  <si>
    <t>No Dimension design</t>
  </si>
  <si>
    <t>TOTAL</t>
  </si>
  <si>
    <t>Dimension template was completed mostly correctly. The dimension contains most of the fields available in the source system. Field names are mostly descriptive . Primary key and business key are indicated.</t>
  </si>
  <si>
    <t>An attempt was made to complete the design of the dimension on the template. The dimension has some fields and descriptions, but not all the elements on the template was included and/or not all the fields available in the source system were included.</t>
  </si>
  <si>
    <t>"</t>
  </si>
  <si>
    <t>Some of the business processes were identified, but most are not relevant or are not appropriately named</t>
  </si>
  <si>
    <t>All the relevant dimensions were identified and given appropriate names. There are no irrelevant dimensions in the bus matrix.</t>
  </si>
  <si>
    <t>Many of the business processes include some irrelevant dimensions or dimensions that are not true to the grain or are short some other dimensions that should have been included.</t>
  </si>
  <si>
    <r>
      <t xml:space="preserve">Your project will be avaluated according to the Rubric given in this workbook.
You will have to demonstrate insight into and the ability to correctly apply the dimensional modeling process and techniques covered in this semester's work.
Remember that </t>
    </r>
    <r>
      <rPr>
        <b/>
        <sz val="11"/>
        <color theme="1"/>
        <rFont val="Calibri"/>
        <family val="2"/>
        <scheme val="minor"/>
      </rPr>
      <t>design decisions depend on data realities and business requirements</t>
    </r>
    <r>
      <rPr>
        <sz val="11"/>
        <color theme="1"/>
        <rFont val="Calibri"/>
        <family val="2"/>
        <scheme val="minor"/>
      </rPr>
      <t>. You are allowed to ask questions about these and make assumptions where neccesary.
There is no single correct way in which to develop these designs - there are various design options that you have learned about - that will be taken into consideration. There are, however, some very clear best practices, and you may assume for this case study, that this enterprise is small and won't ever have millions of records in their database tables.</t>
    </r>
  </si>
  <si>
    <r>
      <t xml:space="preserve">The Instrument Makers (IM) of the North West University (NWU) came into existence in 1952 to assist the Science Department in making specialised and unique research equipment. They have expanded and evolved into a specialist academic service, that not only manufacture research equipment but also service and repair various appliances and machines. 
The (IM) want to store business related information in a format more suitable for analysis. This will enable better decision making and more efficient evaluation of employees’ and the IM’s performance. Their most important requirement at this stage is "the ability to make well-informed business decisions based on reports on </t>
    </r>
    <r>
      <rPr>
        <b/>
        <sz val="11"/>
        <color theme="1"/>
        <rFont val="Calibri"/>
        <family val="2"/>
        <scheme val="minor"/>
      </rPr>
      <t>projects, and employee performance.</t>
    </r>
  </si>
  <si>
    <t>The Instrument Makers wish to analyse their business performance for projects they work on.</t>
  </si>
  <si>
    <t>The instrument makers work on internal projects (for customers in departments at the NWU) as well as projects for external organisations or private persons.</t>
  </si>
  <si>
    <t>For this round of the project they are first interested in all the Internal projects and how employees spent their time working on these.</t>
  </si>
  <si>
    <t>NWU customers are grouped into Departments and Department Groups.</t>
  </si>
  <si>
    <t>The projects fall into the following (project type)) categories</t>
  </si>
  <si>
    <t>Equipment</t>
  </si>
  <si>
    <t>Repears</t>
  </si>
  <si>
    <t>Glass blowing</t>
  </si>
  <si>
    <t>Engraving</t>
  </si>
  <si>
    <t>Microscopes and Balances</t>
  </si>
  <si>
    <t>Each project has a description and a status.</t>
  </si>
  <si>
    <t>Sometimes projects get cancelled, get moved to an external project or to a following year if it could not be completed during a specific year.</t>
  </si>
  <si>
    <t>These project records also include the labour costs, material costs, and a handling fee.</t>
  </si>
  <si>
    <t>Internal customers are charged through an NWU Service Billing system that generates a Service Billing Number</t>
  </si>
  <si>
    <t>There is also an employee timesheet record for the whole year</t>
  </si>
  <si>
    <t>Once, at the end of a year, the Instruments Makers take record of all the projects they worked on during that year.</t>
  </si>
  <si>
    <t>These timesheet records show how many hours each employee worked on each project.</t>
  </si>
  <si>
    <t>The timesheet information is summarised and available per week only.</t>
  </si>
  <si>
    <t>The IM website: http://natural-sciences.nwu.ac.za/instrument-makers</t>
  </si>
  <si>
    <t>General information about the dataset and requiremets: see sheet General</t>
  </si>
  <si>
    <t>Your given csv data set - this will be the most important source of information in this semester</t>
  </si>
  <si>
    <t>Project submission 1</t>
  </si>
  <si>
    <t>All the relevant business processes were identified and given appropriate names. All business processes in the bus matrix relate to the given data set.</t>
  </si>
  <si>
    <t>Almost all the possible relationships between fact tables and dimensions are included and indicated correctly. Some of the role-playing dimensions and shrunken rollup dimensions were not indicated (if applicable). Not all dimensions indicated are true to the grain of the fact table and take on single values on the level of the fact table grain.</t>
  </si>
  <si>
    <t>All the possible relationships between fact tables and dimensions are included, also for role-playing dimensions and shrunken rollup dimensions, where applicable. All dimensions indicated are true to the grain of the fact table and take on single values on the level of the fact table grain.</t>
  </si>
  <si>
    <t xml:space="preserve">Fact table template mostly correctly completed. Fact table includes all fields for relevant dimensions (as on the bus matrix) and measurements available in the source data. Some field names and description are not descriptive. Comments and ETL rules included everywhere to explain design. No additional effort made to include derived measurements. </t>
  </si>
  <si>
    <t>Fact table template correctly completed. Fact table includes all fields for relevant dimensions (as on the bus matrix) and measurements available in the source data. Field names and descriptions are clear. Primary and foreign keys correctly indicated. Comments and ETL rules included where necessary. Effort was made to include derived measurements to add value to the analysis options.</t>
  </si>
  <si>
    <t>(primary means important/main dimensions)</t>
  </si>
  <si>
    <t>Primary dimension 1</t>
  </si>
  <si>
    <t>Primary dimension 2</t>
  </si>
  <si>
    <t>(any other smaller/secondary dimensions)</t>
  </si>
  <si>
    <t>Secondary dimension 1</t>
  </si>
  <si>
    <t>Secondary dimension 2</t>
  </si>
  <si>
    <t>Primary Dimensions</t>
  </si>
  <si>
    <t>Secondary Dimensions</t>
  </si>
  <si>
    <t>Dimension template was completed fully and correctly. The dimension contains at least all the fields available in the source system. Field names are descriptive and descriptions and examples are included. Primary key and business key are indicated. SCD correctly indicated where applicable.</t>
  </si>
  <si>
    <t>Aim of this submission</t>
  </si>
  <si>
    <r>
      <t>This first project submission will contribute</t>
    </r>
    <r>
      <rPr>
        <b/>
        <sz val="11"/>
        <color theme="1"/>
        <rFont val="Calibri"/>
        <family val="2"/>
        <scheme val="minor"/>
      </rPr>
      <t xml:space="preserve"> 5% towards your final module mark</t>
    </r>
    <r>
      <rPr>
        <sz val="11"/>
        <color theme="1"/>
        <rFont val="Calibri"/>
        <family val="2"/>
        <scheme val="minor"/>
      </rPr>
      <t>.</t>
    </r>
  </si>
  <si>
    <r>
      <t xml:space="preserve">The aim of this first project submission is to
  1. develop a </t>
    </r>
    <r>
      <rPr>
        <b/>
        <sz val="11"/>
        <color theme="1"/>
        <rFont val="Calibri"/>
        <family val="2"/>
        <scheme val="minor"/>
      </rPr>
      <t xml:space="preserve">data architecture framework (bus matrix) </t>
    </r>
    <r>
      <rPr>
        <sz val="11"/>
        <color theme="1"/>
        <rFont val="Calibri"/>
        <family val="2"/>
        <scheme val="minor"/>
      </rPr>
      <t xml:space="preserve">for Instrument Makers and the relevant business processes.
  2. develop detailed </t>
    </r>
    <r>
      <rPr>
        <b/>
        <sz val="11"/>
        <color theme="1"/>
        <rFont val="Calibri"/>
        <family val="2"/>
        <scheme val="minor"/>
      </rPr>
      <t xml:space="preserve">dimensional models (and source to target maps) for these business processes.
</t>
    </r>
    <r>
      <rPr>
        <sz val="11"/>
        <color theme="1"/>
        <rFont val="Calibri"/>
        <family val="2"/>
        <scheme val="minor"/>
      </rPr>
      <t xml:space="preserve">  3. Receive feedback and incorporate it for the final project submission.</t>
    </r>
  </si>
  <si>
    <r>
      <t xml:space="preserve">This is a </t>
    </r>
    <r>
      <rPr>
        <b/>
        <sz val="11"/>
        <color theme="1"/>
        <rFont val="Calibri"/>
        <family val="2"/>
        <scheme val="minor"/>
      </rPr>
      <t>group assignment</t>
    </r>
  </si>
  <si>
    <r>
      <t xml:space="preserve">1. Update the bus matrix for the IM that will cover the business processes included in the given source data.
  -  Expand the existing Bus Matrix as given in the Design Document in your project folder.
  -  Identify all the relevant business processes relating to the given source data. </t>
    </r>
    <r>
      <rPr>
        <b/>
        <sz val="11"/>
        <color theme="1"/>
        <rFont val="Calibri"/>
        <family val="2"/>
        <scheme val="minor"/>
      </rPr>
      <t>Include at least TWO main fact tables.</t>
    </r>
    <r>
      <rPr>
        <sz val="11"/>
        <color theme="1"/>
        <rFont val="Calibri"/>
        <family val="2"/>
        <scheme val="minor"/>
      </rPr>
      <t xml:space="preserve">
  -  Identify all the relevant dimensions that relates to these business processes. 
2. Create detail dimensional model worksheets for each fact table and each dimension in the bus matrix.
  -  Use the fact table and the dimension table examples in the Design Document. (You can make copies of the sheets by right clicking and selecting Move or Copy -&gt; Create a copy.)
3. Update the bus matrix to
  -  indicate the table type and grain for each fact table that were designed
  -  indicate role-playing dimensions as well as shrunken conformed dimension where/if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</si>
</sst>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i/>
      <sz val="11"/>
      <color theme="1"/>
      <name val="Calibri"/>
      <family val="2"/>
      <scheme val="minor"/>
    </font>
    <font>
      <sz val="11"/>
      <color rgb="FF000000"/>
      <name val="Calibri"/>
      <family val="2"/>
    </font>
    <font>
      <b/>
      <sz val="14"/>
      <color theme="1"/>
      <name val="Calibri"/>
      <family val="2"/>
      <scheme val="minor"/>
    </font>
    <font>
      <sz val="14"/>
      <color theme="1"/>
      <name val="Calibri"/>
      <family val="2"/>
      <scheme val="minor"/>
    </font>
    <font>
      <b/>
      <sz val="15"/>
      <color theme="3"/>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s>
  <cellStyleXfs count="4">
    <xf numFmtId="0" fontId="0" fillId="0" borderId="0"/>
    <xf numFmtId="0" fontId="3" fillId="0" borderId="0"/>
    <xf numFmtId="0" fontId="6" fillId="0" borderId="2" applyNumberFormat="0" applyFill="0" applyAlignment="0" applyProtection="0"/>
    <xf numFmtId="0" fontId="7" fillId="0" borderId="0" applyNumberFormat="0" applyFill="0" applyBorder="0" applyAlignment="0" applyProtection="0"/>
  </cellStyleXfs>
  <cellXfs count="22">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1" fillId="0" borderId="0" xfId="0" applyFont="1" applyAlignment="1">
      <alignment vertical="top" wrapText="1"/>
    </xf>
    <xf numFmtId="0" fontId="0" fillId="0" borderId="0" xfId="0" applyAlignment="1">
      <alignment horizontal="center" vertical="top" wrapText="1"/>
    </xf>
    <xf numFmtId="0" fontId="1" fillId="0" borderId="0" xfId="0" applyFont="1" applyAlignment="1">
      <alignment horizontal="right" vertical="top" wrapText="1"/>
    </xf>
    <xf numFmtId="0" fontId="1" fillId="0" borderId="0" xfId="0" applyFont="1" applyAlignment="1">
      <alignment horizontal="center" vertical="top" wrapText="1"/>
    </xf>
    <xf numFmtId="0" fontId="1" fillId="2" borderId="1" xfId="0" applyFont="1" applyFill="1" applyBorder="1" applyAlignment="1">
      <alignment horizontal="center" vertical="top" wrapText="1"/>
    </xf>
    <xf numFmtId="0" fontId="1" fillId="0" borderId="1" xfId="0" applyFont="1"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1" fillId="2" borderId="1" xfId="0" applyFont="1" applyFill="1" applyBorder="1" applyAlignment="1">
      <alignment vertical="top" wrapText="1"/>
    </xf>
    <xf numFmtId="0" fontId="0" fillId="2" borderId="1" xfId="0" applyFill="1" applyBorder="1" applyAlignment="1">
      <alignment horizontal="center" vertical="top" wrapText="1"/>
    </xf>
    <xf numFmtId="0" fontId="2" fillId="0" borderId="1" xfId="0" applyFont="1" applyBorder="1" applyAlignment="1">
      <alignment vertical="top" wrapText="1"/>
    </xf>
    <xf numFmtId="0" fontId="5" fillId="0" borderId="0" xfId="0" applyFont="1" applyAlignment="1">
      <alignment vertical="top" wrapText="1"/>
    </xf>
    <xf numFmtId="0" fontId="4" fillId="2" borderId="1" xfId="0" applyFont="1" applyFill="1" applyBorder="1" applyAlignment="1">
      <alignment vertical="top" wrapText="1"/>
    </xf>
    <xf numFmtId="0" fontId="4" fillId="2" borderId="1" xfId="0" applyFont="1" applyFill="1" applyBorder="1" applyAlignment="1">
      <alignment horizontal="center" vertical="top" wrapText="1"/>
    </xf>
    <xf numFmtId="0" fontId="6" fillId="0" borderId="2" xfId="2" applyAlignment="1">
      <alignment horizontal="left" vertical="top"/>
    </xf>
    <xf numFmtId="0" fontId="0" fillId="0" borderId="0" xfId="0" applyAlignment="1">
      <alignment vertical="top"/>
    </xf>
    <xf numFmtId="0" fontId="7" fillId="0" borderId="0" xfId="3" applyAlignment="1">
      <alignment horizontal="left" vertical="top" wrapText="1"/>
    </xf>
    <xf numFmtId="0" fontId="1" fillId="2" borderId="1" xfId="0" applyFont="1" applyFill="1" applyBorder="1" applyAlignment="1">
      <alignment horizontal="right" vertical="top" wrapText="1"/>
    </xf>
  </cellXfs>
  <cellStyles count="4">
    <cellStyle name="Heading 1" xfId="2" builtinId="16"/>
    <cellStyle name="Hyperlink" xfId="3" builtinId="8"/>
    <cellStyle name="Normal" xfId="0" builtinId="0"/>
    <cellStyle name="Normal 3"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natural-sciences.nwu.ac.za/instrument-make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0"/>
  <sheetViews>
    <sheetView tabSelected="1" workbookViewId="0">
      <selection activeCell="A2" sqref="A2"/>
    </sheetView>
  </sheetViews>
  <sheetFormatPr defaultColWidth="18.28515625" defaultRowHeight="15" x14ac:dyDescent="0.25"/>
  <cols>
    <col min="1" max="1" width="22.7109375" style="1" customWidth="1"/>
    <col min="2" max="2" width="143.85546875" style="1" customWidth="1"/>
    <col min="3" max="16384" width="18.28515625" style="1"/>
  </cols>
  <sheetData>
    <row r="1" spans="1:2" s="18" customFormat="1" ht="20.25" thickBot="1" x14ac:dyDescent="0.3">
      <c r="A1" s="18" t="s">
        <v>55</v>
      </c>
    </row>
    <row r="2" spans="1:2" ht="90.75" thickTop="1" x14ac:dyDescent="0.25">
      <c r="A2" s="1" t="s">
        <v>0</v>
      </c>
      <c r="B2" s="2" t="s">
        <v>33</v>
      </c>
    </row>
    <row r="3" spans="1:2" ht="60" x14ac:dyDescent="0.25">
      <c r="A3" s="1" t="s">
        <v>70</v>
      </c>
      <c r="B3" s="2" t="s">
        <v>72</v>
      </c>
    </row>
    <row r="4" spans="1:2" x14ac:dyDescent="0.25">
      <c r="A4" s="1" t="s">
        <v>1</v>
      </c>
      <c r="B4" s="20" t="s">
        <v>53</v>
      </c>
    </row>
    <row r="5" spans="1:2" x14ac:dyDescent="0.25">
      <c r="B5" s="20" t="s">
        <v>52</v>
      </c>
    </row>
    <row r="6" spans="1:2" x14ac:dyDescent="0.25">
      <c r="B6" s="2" t="s">
        <v>54</v>
      </c>
    </row>
    <row r="7" spans="1:2" x14ac:dyDescent="0.25">
      <c r="A7" s="1" t="s">
        <v>2</v>
      </c>
      <c r="B7" s="2" t="s">
        <v>73</v>
      </c>
    </row>
    <row r="8" spans="1:2" ht="150" x14ac:dyDescent="0.25">
      <c r="A8" s="1" t="s">
        <v>3</v>
      </c>
      <c r="B8" s="2" t="s">
        <v>74</v>
      </c>
    </row>
    <row r="9" spans="1:2" ht="109.5" customHeight="1" x14ac:dyDescent="0.25">
      <c r="A9" s="1" t="s">
        <v>4</v>
      </c>
      <c r="B9" s="2" t="s">
        <v>32</v>
      </c>
    </row>
    <row r="10" spans="1:2" x14ac:dyDescent="0.25">
      <c r="A10" s="1" t="s">
        <v>5</v>
      </c>
      <c r="B10" s="1" t="s">
        <v>71</v>
      </c>
    </row>
  </sheetData>
  <hyperlinks>
    <hyperlink ref="B5" r:id="rId1" xr:uid="{00000000-0004-0000-0000-000000000000}"/>
    <hyperlink ref="B4" location="General!A1" display="General information about the project: see sheet General" xr:uid="{00000000-0004-0000-0000-000001000000}"/>
  </hyperlinks>
  <pageMargins left="0.25" right="0.25" top="0.75" bottom="0.75" header="0.3" footer="0.3"/>
  <pageSetup paperSize="9" scale="8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5"/>
  <sheetViews>
    <sheetView workbookViewId="0"/>
  </sheetViews>
  <sheetFormatPr defaultRowHeight="15" x14ac:dyDescent="0.25"/>
  <cols>
    <col min="1" max="1" width="17.5703125" style="3" customWidth="1"/>
    <col min="2" max="2" width="23.140625" style="3" customWidth="1"/>
    <col min="3" max="3" width="22" style="3" customWidth="1"/>
    <col min="4" max="6" width="39.7109375" style="3" customWidth="1"/>
    <col min="7" max="7" width="6.5703125" style="5" bestFit="1" customWidth="1"/>
    <col min="8" max="8" width="6.42578125" style="5" bestFit="1" customWidth="1"/>
    <col min="9" max="16384" width="9.140625" style="3"/>
  </cols>
  <sheetData>
    <row r="1" spans="1:8" x14ac:dyDescent="0.25">
      <c r="B1" s="6"/>
      <c r="C1" s="7"/>
      <c r="D1" s="7"/>
      <c r="E1" s="7"/>
      <c r="F1" s="7"/>
      <c r="G1" s="7" t="s">
        <v>16</v>
      </c>
      <c r="H1" s="7" t="s">
        <v>18</v>
      </c>
    </row>
    <row r="2" spans="1:8" s="4" customFormat="1" x14ac:dyDescent="0.25">
      <c r="A2" s="12" t="s">
        <v>6</v>
      </c>
      <c r="B2" s="21" t="s">
        <v>19</v>
      </c>
      <c r="C2" s="8">
        <v>0</v>
      </c>
      <c r="D2" s="8">
        <v>1</v>
      </c>
      <c r="E2" s="8">
        <v>2</v>
      </c>
      <c r="F2" s="8">
        <v>4</v>
      </c>
      <c r="G2" s="8">
        <f>SUM(G3:G5)</f>
        <v>12</v>
      </c>
      <c r="H2" s="8">
        <f>SUM(H3:H5)</f>
        <v>0</v>
      </c>
    </row>
    <row r="3" spans="1:8" ht="60" x14ac:dyDescent="0.25">
      <c r="A3" s="11"/>
      <c r="B3" s="9" t="s">
        <v>7</v>
      </c>
      <c r="C3" s="11" t="s">
        <v>10</v>
      </c>
      <c r="D3" s="11" t="s">
        <v>29</v>
      </c>
      <c r="E3" s="11" t="s">
        <v>8</v>
      </c>
      <c r="F3" s="11" t="s">
        <v>56</v>
      </c>
      <c r="G3" s="10">
        <f>F2</f>
        <v>4</v>
      </c>
      <c r="H3" s="10"/>
    </row>
    <row r="4" spans="1:8" ht="60" x14ac:dyDescent="0.25">
      <c r="A4" s="11"/>
      <c r="B4" s="9" t="s">
        <v>9</v>
      </c>
      <c r="C4" s="11" t="s">
        <v>11</v>
      </c>
      <c r="D4" s="11" t="s">
        <v>13</v>
      </c>
      <c r="E4" s="11" t="s">
        <v>12</v>
      </c>
      <c r="F4" s="11" t="s">
        <v>30</v>
      </c>
      <c r="G4" s="10">
        <f>F2</f>
        <v>4</v>
      </c>
      <c r="H4" s="10"/>
    </row>
    <row r="5" spans="1:8" ht="135" x14ac:dyDescent="0.25">
      <c r="A5" s="11"/>
      <c r="B5" s="9" t="s">
        <v>15</v>
      </c>
      <c r="C5" s="11" t="s">
        <v>14</v>
      </c>
      <c r="D5" s="11" t="s">
        <v>31</v>
      </c>
      <c r="E5" s="11" t="s">
        <v>57</v>
      </c>
      <c r="F5" s="11" t="s">
        <v>58</v>
      </c>
      <c r="G5" s="10">
        <f>F2</f>
        <v>4</v>
      </c>
      <c r="H5" s="10"/>
    </row>
    <row r="6" spans="1:8" x14ac:dyDescent="0.25">
      <c r="A6" s="12" t="s">
        <v>17</v>
      </c>
      <c r="B6" s="21" t="s">
        <v>19</v>
      </c>
      <c r="C6" s="8">
        <v>0</v>
      </c>
      <c r="D6" s="8">
        <v>2</v>
      </c>
      <c r="E6" s="8">
        <v>4</v>
      </c>
      <c r="F6" s="8">
        <v>8</v>
      </c>
      <c r="G6" s="8">
        <f>SUM(G7:G8)</f>
        <v>16</v>
      </c>
      <c r="H6" s="13"/>
    </row>
    <row r="7" spans="1:8" ht="150" x14ac:dyDescent="0.25">
      <c r="A7" s="11"/>
      <c r="B7" s="14" t="s">
        <v>21</v>
      </c>
      <c r="C7" s="11" t="s">
        <v>20</v>
      </c>
      <c r="D7" s="11" t="s">
        <v>23</v>
      </c>
      <c r="E7" s="11" t="s">
        <v>59</v>
      </c>
      <c r="F7" s="11" t="s">
        <v>60</v>
      </c>
      <c r="G7" s="10">
        <f>F6</f>
        <v>8</v>
      </c>
      <c r="H7" s="10"/>
    </row>
    <row r="8" spans="1:8" x14ac:dyDescent="0.25">
      <c r="A8" s="11"/>
      <c r="B8" s="14" t="s">
        <v>22</v>
      </c>
      <c r="D8" s="10" t="s">
        <v>28</v>
      </c>
      <c r="E8" s="10" t="s">
        <v>28</v>
      </c>
      <c r="F8" s="10" t="s">
        <v>28</v>
      </c>
      <c r="G8" s="10">
        <f>F6</f>
        <v>8</v>
      </c>
      <c r="H8" s="10"/>
    </row>
    <row r="9" spans="1:8" ht="30" x14ac:dyDescent="0.25">
      <c r="A9" s="12" t="s">
        <v>67</v>
      </c>
      <c r="B9" s="21" t="s">
        <v>19</v>
      </c>
      <c r="C9" s="8">
        <v>0</v>
      </c>
      <c r="D9" s="8">
        <v>2</v>
      </c>
      <c r="E9" s="8">
        <v>4</v>
      </c>
      <c r="F9" s="8">
        <v>8</v>
      </c>
      <c r="G9" s="8">
        <f>G10+G11</f>
        <v>16</v>
      </c>
      <c r="H9" s="13"/>
    </row>
    <row r="10" spans="1:8" ht="120" x14ac:dyDescent="0.25">
      <c r="A10" s="11" t="s">
        <v>61</v>
      </c>
      <c r="B10" s="9" t="s">
        <v>62</v>
      </c>
      <c r="C10" s="11" t="s">
        <v>24</v>
      </c>
      <c r="D10" s="11" t="s">
        <v>27</v>
      </c>
      <c r="E10" s="11" t="s">
        <v>26</v>
      </c>
      <c r="F10" s="11" t="s">
        <v>69</v>
      </c>
      <c r="G10" s="10">
        <f>F9</f>
        <v>8</v>
      </c>
      <c r="H10" s="10"/>
    </row>
    <row r="11" spans="1:8" x14ac:dyDescent="0.25">
      <c r="A11" s="11"/>
      <c r="B11" s="9" t="s">
        <v>63</v>
      </c>
      <c r="C11" s="10" t="s">
        <v>28</v>
      </c>
      <c r="D11" s="10" t="s">
        <v>28</v>
      </c>
      <c r="E11" s="10" t="s">
        <v>28</v>
      </c>
      <c r="F11" s="10" t="s">
        <v>28</v>
      </c>
      <c r="G11" s="10">
        <f>F9</f>
        <v>8</v>
      </c>
      <c r="H11" s="10"/>
    </row>
    <row r="12" spans="1:8" ht="30" x14ac:dyDescent="0.25">
      <c r="A12" s="12" t="s">
        <v>68</v>
      </c>
      <c r="B12" s="21" t="s">
        <v>19</v>
      </c>
      <c r="C12" s="8">
        <v>0</v>
      </c>
      <c r="D12" s="8">
        <v>1</v>
      </c>
      <c r="E12" s="8">
        <v>2</v>
      </c>
      <c r="F12" s="8">
        <v>3</v>
      </c>
      <c r="G12" s="8">
        <f>G13+G14</f>
        <v>6</v>
      </c>
      <c r="H12" s="13"/>
    </row>
    <row r="13" spans="1:8" ht="45" x14ac:dyDescent="0.25">
      <c r="A13" s="11" t="s">
        <v>64</v>
      </c>
      <c r="B13" s="9" t="s">
        <v>65</v>
      </c>
      <c r="C13" s="10" t="s">
        <v>28</v>
      </c>
      <c r="D13" s="10" t="s">
        <v>28</v>
      </c>
      <c r="E13" s="10" t="s">
        <v>28</v>
      </c>
      <c r="F13" s="10" t="s">
        <v>28</v>
      </c>
      <c r="G13" s="10">
        <f>F12</f>
        <v>3</v>
      </c>
      <c r="H13" s="10"/>
    </row>
    <row r="14" spans="1:8" x14ac:dyDescent="0.25">
      <c r="A14" s="11"/>
      <c r="B14" s="9" t="s">
        <v>66</v>
      </c>
      <c r="C14" s="10" t="s">
        <v>28</v>
      </c>
      <c r="D14" s="10" t="s">
        <v>28</v>
      </c>
      <c r="E14" s="10" t="s">
        <v>28</v>
      </c>
      <c r="F14" s="10" t="s">
        <v>28</v>
      </c>
      <c r="G14" s="10">
        <f>F12</f>
        <v>3</v>
      </c>
      <c r="H14" s="10"/>
    </row>
    <row r="15" spans="1:8" s="15" customFormat="1" ht="18.75" x14ac:dyDescent="0.25">
      <c r="A15" s="16" t="s">
        <v>25</v>
      </c>
      <c r="B15" s="16"/>
      <c r="C15" s="16"/>
      <c r="D15" s="16"/>
      <c r="E15" s="16"/>
      <c r="F15" s="16"/>
      <c r="G15" s="17">
        <f>G12+G9+G6+G2</f>
        <v>50</v>
      </c>
      <c r="H15" s="17"/>
    </row>
  </sheetData>
  <pageMargins left="0.25" right="0.25" top="0.75" bottom="0.75" header="0.3" footer="0.3"/>
  <pageSetup paperSize="9" scale="6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heetViews>
  <sheetFormatPr defaultColWidth="19" defaultRowHeight="15" x14ac:dyDescent="0.25"/>
  <cols>
    <col min="1" max="1" width="19" style="19"/>
    <col min="2" max="2" width="19" style="3"/>
    <col min="3" max="16384" width="19" style="19"/>
  </cols>
  <sheetData>
    <row r="1" spans="1:3" x14ac:dyDescent="0.25">
      <c r="A1" s="19" t="s">
        <v>34</v>
      </c>
    </row>
    <row r="3" spans="1:3" x14ac:dyDescent="0.25">
      <c r="B3" s="19" t="s">
        <v>35</v>
      </c>
    </row>
    <row r="4" spans="1:3" x14ac:dyDescent="0.25">
      <c r="B4" s="19" t="s">
        <v>36</v>
      </c>
    </row>
    <row r="5" spans="1:3" x14ac:dyDescent="0.25">
      <c r="B5" s="19" t="s">
        <v>37</v>
      </c>
    </row>
    <row r="6" spans="1:3" x14ac:dyDescent="0.25">
      <c r="B6" s="19" t="s">
        <v>38</v>
      </c>
    </row>
    <row r="7" spans="1:3" x14ac:dyDescent="0.25">
      <c r="C7" s="19" t="s">
        <v>39</v>
      </c>
    </row>
    <row r="8" spans="1:3" x14ac:dyDescent="0.25">
      <c r="C8" s="19" t="s">
        <v>40</v>
      </c>
    </row>
    <row r="9" spans="1:3" x14ac:dyDescent="0.25">
      <c r="C9" s="19" t="s">
        <v>41</v>
      </c>
    </row>
    <row r="10" spans="1:3" x14ac:dyDescent="0.25">
      <c r="C10" s="19" t="s">
        <v>42</v>
      </c>
    </row>
    <row r="11" spans="1:3" x14ac:dyDescent="0.25">
      <c r="C11" s="19" t="s">
        <v>43</v>
      </c>
    </row>
    <row r="12" spans="1:3" x14ac:dyDescent="0.25">
      <c r="B12" s="19" t="s">
        <v>49</v>
      </c>
    </row>
    <row r="13" spans="1:3" x14ac:dyDescent="0.25">
      <c r="C13" s="19" t="s">
        <v>44</v>
      </c>
    </row>
    <row r="14" spans="1:3" x14ac:dyDescent="0.25">
      <c r="C14" s="19" t="s">
        <v>45</v>
      </c>
    </row>
    <row r="15" spans="1:3" x14ac:dyDescent="0.25">
      <c r="C15" s="19" t="s">
        <v>46</v>
      </c>
    </row>
    <row r="16" spans="1:3" x14ac:dyDescent="0.25">
      <c r="C16" s="19" t="s">
        <v>47</v>
      </c>
    </row>
    <row r="17" spans="2:3" x14ac:dyDescent="0.25">
      <c r="B17" s="19" t="s">
        <v>48</v>
      </c>
    </row>
    <row r="18" spans="2:3" x14ac:dyDescent="0.25">
      <c r="C18" s="19" t="s">
        <v>50</v>
      </c>
    </row>
    <row r="19" spans="2:3" x14ac:dyDescent="0.25">
      <c r="C19" s="19"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Rubric</vt:lpstr>
      <vt:lpstr>General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10974318</dc:creator>
  <cp:lastModifiedBy>Susan Campher</cp:lastModifiedBy>
  <cp:lastPrinted>2020-10-19T12:34:04Z</cp:lastPrinted>
  <dcterms:created xsi:type="dcterms:W3CDTF">2020-06-15T13:39:39Z</dcterms:created>
  <dcterms:modified xsi:type="dcterms:W3CDTF">2022-05-06T08:23:13Z</dcterms:modified>
</cp:coreProperties>
</file>