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Llewellyn\Desktop\Honours Resources\DATA WAREHOUSING\PROJECT\DW2022\"/>
    </mc:Choice>
  </mc:AlternateContent>
  <xr:revisionPtr revIDLastSave="0" documentId="13_ncr:1_{97D4BF8E-EF68-412F-9913-09A2A04D4CF6}" xr6:coauthVersionLast="47" xr6:coauthVersionMax="47" xr10:uidLastSave="{00000000-0000-0000-0000-000000000000}"/>
  <bookViews>
    <workbookView xWindow="-108" yWindow="-108" windowWidth="23256" windowHeight="12696" xr2:uid="{00000000-000D-0000-FFFF-FFFF00000000}"/>
  </bookViews>
  <sheets>
    <sheet name="Sheet1" sheetId="1" r:id="rId1"/>
  </sheets>
  <calcPr calcId="191029"/>
  <pivotCaches>
    <pivotCache cacheId="3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6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DDDF41-615B-4D9C-A008-C328529AFE64}" odcFile="C:\Users\Llewellyn\Documents\My Data Sources\LAPTOP-QKV1G6CM_SQLSERVER IM_SSAS Material Management.odc" keepAlive="1" name="LAPTOP-QKV1G6CM_SQLSERVER IM_SSAS Material Management" type="5" refreshedVersion="7" background="1">
    <dbPr connection="Provider=MSOLAP.8;Integrated Security=SSPI;Persist Security Info=True;Initial Catalog=IM_SSAS;Data Source=LAPTOP-QKV1G6CM\SQLSERVER;MDX Compatibility=1;Safety Options=2;MDX Missing Member Mode=Error;Update Isolation Level=2" command="Material Management" commandType="1"/>
    <olapPr sendLocale="1" rowDrillCount="1000"/>
  </connection>
</connections>
</file>

<file path=xl/sharedStrings.xml><?xml version="1.0" encoding="utf-8"?>
<sst xmlns="http://schemas.openxmlformats.org/spreadsheetml/2006/main" count="37" uniqueCount="27">
  <si>
    <t>Column Labels</t>
  </si>
  <si>
    <t>2020</t>
  </si>
  <si>
    <t>2021</t>
  </si>
  <si>
    <t>Grand Total</t>
  </si>
  <si>
    <t>Row Labels</t>
  </si>
  <si>
    <t>Material scrapped</t>
  </si>
  <si>
    <t>No material scrapped</t>
  </si>
  <si>
    <t>Aluminium</t>
  </si>
  <si>
    <t>Brass</t>
  </si>
  <si>
    <t>Mild steel</t>
  </si>
  <si>
    <t>PVC</t>
  </si>
  <si>
    <t>Stainless steel</t>
  </si>
  <si>
    <t>Tufnol/Teflon</t>
  </si>
  <si>
    <t>Copper</t>
  </si>
  <si>
    <t>Ertalon/Vescolene</t>
  </si>
  <si>
    <t>Glass</t>
  </si>
  <si>
    <t>Perspex</t>
  </si>
  <si>
    <t>Polyethylene</t>
  </si>
  <si>
    <t>Polypropylene</t>
  </si>
  <si>
    <t>Material Quantity On Hand</t>
  </si>
  <si>
    <t>Total Material Quantity On Hand</t>
  </si>
  <si>
    <t>Total Material Quantity Counted</t>
  </si>
  <si>
    <t>Material Quantity Counted</t>
  </si>
  <si>
    <t>Total Material Value Scrapped Excl VAT</t>
  </si>
  <si>
    <t>Material Value Scrapped Excl VAT</t>
  </si>
  <si>
    <t>Total KPI Material Scrapped</t>
  </si>
  <si>
    <t>KPI Material Scrapped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</si>
</sst>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4654.870900810187" backgroundQuery="1" createdVersion="7" refreshedVersion="7" minRefreshableVersion="3" recordCount="0" supportSubquery="1" supportAdvancedDrill="1" xr:uid="{C435E124-F52A-48EF-9BE7-6BB5C8A90BBC}">
  <cacheSource type="external" connectionId="1"/>
  <cacheFields count="7">
    <cacheField name="[Year].[Year].[Year]" caption="Year" numFmtId="0" hierarchy="28" level="1">
      <sharedItems count="2">
        <s v="[Year].[Year].&amp;[2020]" c="2020"/>
        <s v="[Year].[Year].&amp;[2021]" c="2021"/>
      </sharedItems>
    </cacheField>
    <cacheField name="[Stock Take Indicators].[Material Scrapped Indicator].[Material Scrapped Indicator]" caption="Material Scrapped Indicator" numFmtId="0" hierarchy="23" level="1">
      <sharedItems count="2">
        <s v="[Stock Take Indicators].[Material Scrapped Indicator].&amp;[Material scrapped]" c="Material scrapped"/>
        <s v="[Stock Take Indicators].[Material Scrapped Indicator].&amp;[No material scrapped]" c="No material scrapped"/>
      </sharedItems>
    </cacheField>
    <cacheField name="[Material].[Material Group].[Material Group]" caption="Material Group" numFmtId="0" hierarchy="2" level="1">
      <sharedItems count="12">
        <s v="[Material].[Material Group].&amp;[Aluminium]" c="Aluminium"/>
        <s v="[Material].[Material Group].&amp;[Brass]" c="Brass"/>
        <s v="[Material].[Material Group].&amp;[Copper]" c="Copper"/>
        <s v="[Material].[Material Group].&amp;[Ertalon/Vescolene]" c="Ertalon/Vescolene"/>
        <s v="[Material].[Material Group].&amp;[Glass]" c="Glass"/>
        <s v="[Material].[Material Group].&amp;[Mild steel]" c="Mild steel"/>
        <s v="[Material].[Material Group].&amp;[Perspex]" c="Perspex"/>
        <s v="[Material].[Material Group].&amp;[Polyethylene]" c="Polyethylene"/>
        <s v="[Material].[Material Group].&amp;[Polypropylene]" c="Polypropylene"/>
        <s v="[Material].[Material Group].&amp;[PVC]" c="PVC"/>
        <s v="[Material].[Material Group].&amp;[Stainless steel]" c="Stainless steel"/>
        <s v="[Material].[Material Group].&amp;[Tufnol/Teflon]" c="Tufnol/Teflon"/>
      </sharedItems>
    </cacheField>
    <cacheField name="[Measures].[Material Quantity On Hand]" caption="Material Quantity On Hand" numFmtId="0" hierarchy="39" level="32767"/>
    <cacheField name="[Measures].[Material Quantity Counted]" caption="Material Quantity Counted" numFmtId="0" hierarchy="38" level="32767"/>
    <cacheField name="[Measures].[Material Value Scrapped Excl VAT]" caption="Material Value Scrapped Excl VAT" numFmtId="0" hierarchy="41" level="32767"/>
    <cacheField name="[Measures].[Material Quantity Scrapped]" caption="Material Quantity Scrapped" numFmtId="0" hierarchy="34" level="32767"/>
  </cacheFields>
  <cacheHierarchies count="50">
    <cacheHierarchy uniqueName="[Material].[Material Category Item Type]" caption="Material Category Item Type" attribute="1" defaultMemberUniqueName="[Material].[Material Category Item Type].[All]" allUniqueName="[Material].[Material Category Item Type].[All]" dimensionUniqueName="[Material]" displayFolder="" count="0" unbalanced="0"/>
    <cacheHierarchy uniqueName="[Material].[Material Current Group]" caption="Material Current Group" attribute="1" defaultMemberUniqueName="[Material].[Material Current Group].[All]" allUniqueName="[Material].[Material Current Group].[All]" dimensionUniqueName="[Material]" displayFolder="" count="0" unbalanced="0"/>
    <cacheHierarchy uniqueName="[Material].[Material Group]" caption="Material Group" attribute="1" defaultMemberUniqueName="[Material].[Material Group].[All]" allUniqueName="[Material].[Material Group].[All]" dimensionUniqueName="[Material]" displayFolder="" count="2" unbalanced="0">
      <fieldsUsage count="2">
        <fieldUsage x="-1"/>
        <fieldUsage x="2"/>
      </fieldsUsage>
    </cacheHierarchy>
    <cacheHierarchy uniqueName="[Material].[Material Item Category]" caption="Material Item Category" attribute="1" defaultMemberUniqueName="[Material].[Material Item Category].[All]" allUniqueName="[Material].[Material Item Category].[All]" dimensionUniqueName="[Material]" displayFolder="" count="0" unbalanced="0"/>
    <cacheHierarchy uniqueName="[Material].[Material Item Current Name]" caption="Material Item Current Name" attribute="1" defaultMemberUniqueName="[Material].[Material Item Current Name].[All]" allUniqueName="[Material].[Material Item Current Name].[All]" dimensionUniqueName="[Material]" displayFolder="" count="0" unbalanced="0"/>
    <cacheHierarchy uniqueName="[Material].[Material Item Detail 1]" caption="Material Item Detail 1" attribute="1" defaultMemberUniqueName="[Material].[Material Item Detail 1].[All]" allUniqueName="[Material].[Material Item Detail 1].[All]" dimensionUniqueName="[Material]" displayFolder="" count="0" unbalanced="0"/>
    <cacheHierarchy uniqueName="[Material].[Material Item Detail 2]" caption="Material Item Detail 2" attribute="1" defaultMemberUniqueName="[Material].[Material Item Detail 2].[All]" allUniqueName="[Material].[Material Item Detail 2].[All]" dimensionUniqueName="[Material]" displayFolder="" count="0" unbalanced="0"/>
    <cacheHierarchy uniqueName="[Material].[Material Item ID]" caption="Material Item ID" attribute="1" defaultMemberUniqueName="[Material].[Material Item ID].[All]" allUniqueName="[Material].[Material Item ID].[All]" dimensionUniqueName="[Material]" displayFolder="" count="0" unbalanced="0"/>
    <cacheHierarchy uniqueName="[Material].[Material Item Key]" caption="Material Item Key" attribute="1" keyAttribute="1" defaultMemberUniqueName="[Material].[Material Item Key].[All]" allUniqueName="[Material].[Material Item Key].[All]" dimensionUniqueName="[Material]" displayFolder="" count="0" unbalanced="0"/>
    <cacheHierarchy uniqueName="[Material].[Material Item Name]" caption="Material Item Name" attribute="1" defaultMemberUniqueName="[Material].[Material Item Name].[All]" allUniqueName="[Material].[Material Item Name].[All]" dimensionUniqueName="[Material]" displayFolder="" count="0" unbalanced="0"/>
    <cacheHierarchy uniqueName="[Material].[Material Item Quantity Unit Of Measure]" caption="Material Item Quantity Unit Of Measure" attribute="1" defaultMemberUniqueName="[Material].[Material Item Quantity Unit Of Measure].[All]" allUniqueName="[Material].[Material Item Quantity Unit Of Measure].[All]" dimensionUniqueName="[Material]" displayFolder="" count="0" unbalanced="0"/>
    <cacheHierarchy uniqueName="[Material].[Material Item Size]" caption="Material Item Size" attribute="1" defaultMemberUniqueName="[Material].[Material Item Size].[All]" allUniqueName="[Material].[Material Item Size].[All]" dimensionUniqueName="[Material]" displayFolder="" count="0" unbalanced="0"/>
    <cacheHierarchy uniqueName="[Material].[Material Item Size Note]" caption="Material Item Size Note" attribute="1" defaultMemberUniqueName="[Material].[Material Item Size Note].[All]" allUniqueName="[Material].[Material Item Size Note].[All]" dimensionUniqueName="[Material]" displayFolder="" count="0" unbalanced="0"/>
    <cacheHierarchy uniqueName="[Material].[Material Item Size Unit Of Measure]" caption="Material Item Size Unit Of Measure" attribute="1" defaultMemberUniqueName="[Material].[Material Item Size Unit Of Measure].[All]" allUniqueName="[Material].[Material Item Size Unit Of Measure].[All]" dimensionUniqueName="[Material]" displayFolder="" count="0" unbalanced="0"/>
    <cacheHierarchy uniqueName="[Material].[Material Item Standard Height mm]" caption="Material Item Standard Height mm" attribute="1" defaultMemberUniqueName="[Material].[Material Item Standard Height mm].[All]" allUniqueName="[Material].[Material Item Standard Height mm].[All]" dimensionUniqueName="[Material]" displayFolder="Material standard measurement" count="0" unbalanced="0"/>
    <cacheHierarchy uniqueName="[Material].[Material Item Standard Interior Diameter mm]" caption="Material Item Standard Interior Diameter mm" attribute="1" defaultMemberUniqueName="[Material].[Material Item Standard Interior Diameter mm].[All]" allUniqueName="[Material].[Material Item Standard Interior Diameter mm].[All]" dimensionUniqueName="[Material]" displayFolder="Material standard measurement" count="0" unbalanced="0"/>
    <cacheHierarchy uniqueName="[Material].[Material Item Standard Length mm]" caption="Material Item Standard Length mm" attribute="1" defaultMemberUniqueName="[Material].[Material Item Standard Length mm].[All]" allUniqueName="[Material].[Material Item Standard Length mm].[All]" dimensionUniqueName="[Material]" displayFolder="Material standard measurement" count="0" unbalanced="0"/>
    <cacheHierarchy uniqueName="[Material].[Material Item Standard Thinkness Or Wall mm]" caption="Material Item Standard Thinkness Or Wall mm" attribute="1" defaultMemberUniqueName="[Material].[Material Item Standard Thinkness Or Wall mm].[All]" allUniqueName="[Material].[Material Item Standard Thinkness Or Wall mm].[All]" dimensionUniqueName="[Material]" displayFolder="Material standard measurement" count="0" unbalanced="0"/>
    <cacheHierarchy uniqueName="[Material].[Material Item Standard Width Or Diameter mm]" caption="Material Item Standard Width Or Diameter mm" attribute="1" defaultMemberUniqueName="[Material].[Material Item Standard Width Or Diameter mm].[All]" allUniqueName="[Material].[Material Item Standard Width Or Diameter mm].[All]" dimensionUniqueName="[Material]" displayFolder="Material standard measurement" count="0" unbalanced="0"/>
    <cacheHierarchy uniqueName="[Material].[Material Type]" caption="Material Type" attribute="1" defaultMemberUniqueName="[Material].[Material Type].[All]" allUniqueName="[Material].[Material Type].[All]" dimensionUniqueName="[Material]" displayFolder="" count="0" unbalanced="0"/>
    <cacheHierarchy uniqueName="[Material].[Material Type Hierarchy]" caption="Material Type Hierarchy" defaultMemberUniqueName="[Material].[Material Type Hierarchy].[All]" allUniqueName="[Material].[Material Type Hierarchy].[All]" dimensionUniqueName="[Material]" displayFolder="" count="0" unbalanced="0"/>
    <cacheHierarchy uniqueName="[Stock Take Indicators].[Full Units Counted Indicator]" caption="Full Units Counted Indicator" attribute="1" defaultMemberUniqueName="[Stock Take Indicators].[Full Units Counted Indicator].[All]" allUniqueName="[Stock Take Indicators].[Full Units Counted Indicator].[All]" dimensionUniqueName="[Stock Take Indicators]" displayFolder="" count="0" unbalanced="0"/>
    <cacheHierarchy uniqueName="[Stock Take Indicators].[Length Measured Indicator]" caption="Length Measured Indicator" attribute="1" defaultMemberUniqueName="[Stock Take Indicators].[Length Measured Indicator].[All]" allUniqueName="[Stock Take Indicators].[Length Measured Indicator].[All]" dimensionUniqueName="[Stock Take Indicators]" displayFolder="" count="0" unbalanced="0"/>
    <cacheHierarchy uniqueName="[Stock Take Indicators].[Material Scrapped Indicator]" caption="Material Scrapped Indicator" attribute="1" defaultMemberUniqueName="[Stock Take Indicators].[Material Scrapped Indicator].[All]" allUniqueName="[Stock Take Indicators].[Material Scrapped Indicator].[All]" dimensionUniqueName="[Stock Take Indicators]" displayFolder="" count="2" unbalanced="0">
      <fieldsUsage count="2">
        <fieldUsage x="-1"/>
        <fieldUsage x="1"/>
      </fieldsUsage>
    </cacheHierarchy>
    <cacheHierarchy uniqueName="[Stock Take Indicators].[Stock Take Comment]" caption="Stock Take Comment" attribute="1" defaultMemberUniqueName="[Stock Take Indicators].[Stock Take Comment].[All]" allUniqueName="[Stock Take Indicators].[Stock Take Comment].[All]" dimensionUniqueName="[Stock Take Indicators]" displayFolder="" count="0" unbalanced="0"/>
    <cacheHierarchy uniqueName="[Stock Take Indicators].[Unit Price Available Indicator]" caption="Unit Price Available Indicator" attribute="1" defaultMemberUniqueName="[Stock Take Indicators].[Unit Price Available Indicator].[All]" allUniqueName="[Stock Take Indicators].[Unit Price Available Indicator].[All]" dimensionUniqueName="[Stock Take Indicators]" displayFolder="" count="0" unbalanced="0"/>
    <cacheHierarchy uniqueName="[Stock Take Indicators].[VAT Percentage]" caption="VAT Percentage" attribute="1" defaultMemberUniqueName="[Stock Take Indicators].[VAT Percentage].[All]" allUniqueName="[Stock Take Indicators].[VAT Percentage].[All]" dimensionUniqueName="[Stock Take Indicators]" displayFolder="" count="0" unbalanced="0"/>
    <cacheHierarchy uniqueName="[Stock Take Indicators].[Width Measured Indicator]" caption="Width Measured Indicator" attribute="1" defaultMemberUniqueName="[Stock Take Indicators].[Width Measured Indicator].[All]" allUniqueName="[Stock Take Indicators].[Width Measured Indicator].[All]" dimensionUniqueName="[Stock Take Indicators]" displayFolder="" count="0" unbalanced="0"/>
    <cacheHierarchy uniqueName="[Year].[Year]" caption="Year" attribute="1" defaultMemberUniqueName="[Year].[Year].[All]" allUniqueName="[Year].[Year].[All]" dimensionUniqueName="[Year]" displayFolder="" count="2" unbalanced="0">
      <fieldsUsage count="2">
        <fieldUsage x="-1"/>
        <fieldUsage x="0"/>
      </fieldsUsage>
    </cacheHierarchy>
    <cacheHierarchy uniqueName="[Stock Take Indicators].[Stock Take Indicators Key]" caption="Stock Take Indicators Key" attribute="1" keyAttribute="1" defaultMemberUniqueName="[Stock Take Indicators].[Stock Take Indicators Key].[All]" allUniqueName="[Stock Take Indicators].[Stock Take Indicators Key].[All]" dimensionUniqueName="[Stock Take Indicators]" displayFolder="" count="0" unbalanced="0" hidden="1"/>
    <cacheHierarchy uniqueName="[Year].[Year Key]" caption="Year Key" attribute="1" keyAttribute="1" defaultMemberUniqueName="[Year].[Year Key].[All]" allUniqueName="[Year].[Year Key].[All]" dimensionUniqueName="[Year]" displayFolder="" count="0" unbalanced="0" hidden="1"/>
    <cacheHierarchy uniqueName="[Measures].[Material Length Measured m]" caption="Material Length Measured m" measure="1" displayFolder="Material Quantities" measureGroup="Stock Take Fact" count="0"/>
    <cacheHierarchy uniqueName="[Measures].[Material Width Measured m]" caption="Material Width Measured m" measure="1" displayFolder="Material Quantities" measureGroup="Stock Take Fact" count="0"/>
    <cacheHierarchy uniqueName="[Measures].[Material Full Units Counted]" caption="Material Full Units Counted" measure="1" displayFolder="Material Quantities" measureGroup="Stock Take Fact" count="0"/>
    <cacheHierarchy uniqueName="[Measures].[Material Quantity Scrapped]" caption="Material Quantity Scrapped" measure="1" displayFolder="Material Quantities" measureGroup="Stock Take Fact" count="0" oneField="1">
      <fieldsUsage count="1">
        <fieldUsage x="6"/>
      </fieldsUsage>
    </cacheHierarchy>
    <cacheHierarchy uniqueName="[Measures].[Material Unit Price Incl VAT]" caption="Material Unit Price Incl VAT" measure="1" displayFolder="Material Unit Prices" measureGroup="Stock Take Fact" count="0"/>
    <cacheHierarchy uniqueName="[Measures].[Material Source Quantity On Hand Value Excl VAT]" caption="Material Source Quantity On Hand Value Excl VAT" measure="1" displayFolder="Material Quantities" measureGroup="Stock Take Fact" count="0"/>
    <cacheHierarchy uniqueName="[Measures].[Material Unit Price Excl VAT]" caption="Material Unit Price Excl VAT" measure="1" displayFolder="Material Unit Prices" measureGroup="Stock Take Fact" count="0"/>
    <cacheHierarchy uniqueName="[Measures].[Material Quantity Counted]" caption="Material Quantity Counted" measure="1" displayFolder="Material Quantities" measureGroup="Stock Take Fact" count="0" oneField="1">
      <fieldsUsage count="1">
        <fieldUsage x="4"/>
      </fieldsUsage>
    </cacheHierarchy>
    <cacheHierarchy uniqueName="[Measures].[Material Quantity On Hand]" caption="Material Quantity On Hand" measure="1" displayFolder="Material Quantities" measureGroup="Stock Take Fact" count="0" oneField="1">
      <fieldsUsage count="1">
        <fieldUsage x="3"/>
      </fieldsUsage>
    </cacheHierarchy>
    <cacheHierarchy uniqueName="[Measures].[Material Value On Hand Excl VAT]" caption="Material Value On Hand Excl VAT" measure="1" displayFolder="Material values" measureGroup="Stock Take Fact" count="0"/>
    <cacheHierarchy uniqueName="[Measures].[Material Value Scrapped Excl VAT]" caption="Material Value Scrapped Excl VAT" measure="1" displayFolder="Material values" measureGroup="Stock Take Fact" count="0" oneField="1">
      <fieldsUsage count="1">
        <fieldUsage x="5"/>
      </fieldsUsage>
    </cacheHierarchy>
    <cacheHierarchy uniqueName="[Measures].[Stock Take Fact Count]" caption="Stock Take Fact Count" measure="1" displayFolder="Stock Take Event Counts" measureGroup="Stock Take Fact" count="0"/>
    <cacheHierarchy uniqueName="[Measures].[Stock Take Transaction Distinct Count]" caption="Stock Take Transaction Distinct Count" measure="1" displayFolder="Stock Take Event Counts" measureGroup="Stock Take Fact" count="0"/>
    <cacheHierarchy uniqueName="[Measures].[Material Percentage Scrapped]" caption="Material Percentage Scrapped" measure="1" displayFolder="Material Percentages" measureGroup="Stock Take Fact" count="0"/>
    <cacheHierarchy uniqueName="[Measures].[VAT Decimal]" caption="VAT Decimal" measure="1" displayFolder="" measureGroup="Stock Take Fact" count="0" hidden="1"/>
    <cacheHierarchy uniqueName="[Measures].[___KPI Material Scrapped Value]" caption="KPI Material Scrapped" measure="1" displayFolder="" measureGroup="Stock Take Fact" count="0" hidden="1"/>
    <cacheHierarchy uniqueName="[Measures].[KPI Material Scrapped Goal]" caption="KPI Material Scrapped (Goal)" measure="1" displayFolder="" measureGroup="Stock Take Fact" count="0" hidden="1"/>
    <cacheHierarchy uniqueName="[Measures].[KPI Material Scrapped Status]" caption="KPI Material Scrapped (Status)" measure="1" iconSet="10" displayFolder="" measureGroup="Stock Take Fact" count="0" hidden="1"/>
    <cacheHierarchy uniqueName="[Measures].[KPI Material Scrapped Trend]" caption="KPI Material Scrapped (Trend)" measure="1" iconSet="5" displayFolder="" measureGroup="Stock Take Fact" count="0" hidden="1"/>
  </cacheHierarchies>
  <kpis count="1">
    <kpi uniqueName="KPI Material Scrapped" caption="KPI Material Scrapped" displayFolder="" measureGroup="Stock Take Fact" parent="" value="[Measures].[Material Quantity Scrapped]" goal="[Measures].[KPI Material Scrapped Goal]" status="[Measures].[KPI Material Scrapped Status]" trend="[Measures].[KPI Material Scrapped Trend]" weight=""/>
  </kpis>
  <dimensions count="4">
    <dimension name="Material" uniqueName="[Material]" caption="Material"/>
    <dimension measure="1" name="Measures" uniqueName="[Measures]" caption="Measures"/>
    <dimension name="Stock Take Indicators" uniqueName="[Stock Take Indicators]" caption="Stock Take Indicators"/>
    <dimension name="Year" uniqueName="[Year]" caption="Year"/>
  </dimensions>
  <measureGroups count="1">
    <measureGroup name="Stock Take Fact" caption="Stock Take Fact"/>
  </measureGroups>
  <maps count="3">
    <map measureGroup="0" dimension="0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E5F8A6-B9A4-458D-8678-FC854EC46234}" name="PivotTable1" cacheId="3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fieldListSortAscending="1">
  <location ref="A1:M24" firstHeaderRow="1" firstDataRow="3" firstDataCol="1"/>
  <pivotFields count="7"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1"/>
    <field x="2"/>
  </rowFields>
  <rowItems count="21">
    <i>
      <x/>
    </i>
    <i r="1">
      <x/>
    </i>
    <i r="1">
      <x v="1"/>
    </i>
    <i r="1">
      <x v="5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2">
    <field x="0"/>
    <field x="-2"/>
  </colFields>
  <colItems count="12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colItems>
  <dataFields count="4">
    <dataField fld="4" baseField="0" baseItem="0"/>
    <dataField fld="3" baseField="0" baseItem="0"/>
    <dataField fld="5" baseField="0" baseItem="0"/>
    <dataField name="KPI Material Scrapped" fld="6" baseField="0" baseItem="0"/>
  </dataFields>
  <pivotHierarchies count="5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2">
    <rowHierarchyUsage hierarchyUsage="23"/>
    <rowHierarchyUsage hierarchyUsage="2"/>
  </rowHierarchiesUsage>
  <colHierarchiesUsage count="2">
    <colHierarchyUsage hierarchyUsage="28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selection activeCell="B7" sqref="B7"/>
    </sheetView>
  </sheetViews>
  <sheetFormatPr defaultRowHeight="14.4" x14ac:dyDescent="0.3"/>
  <cols>
    <col min="1" max="1" width="21.109375" bestFit="1" customWidth="1"/>
    <col min="2" max="2" width="23.77734375" bestFit="1" customWidth="1"/>
    <col min="3" max="3" width="23.88671875" bestFit="1" customWidth="1"/>
    <col min="4" max="4" width="29.6640625" bestFit="1" customWidth="1"/>
    <col min="5" max="5" width="19.77734375" bestFit="1" customWidth="1"/>
    <col min="6" max="6" width="23.77734375" bestFit="1" customWidth="1"/>
    <col min="7" max="7" width="23.88671875" bestFit="1" customWidth="1"/>
    <col min="8" max="8" width="29.6640625" bestFit="1" customWidth="1"/>
    <col min="9" max="9" width="19.77734375" bestFit="1" customWidth="1"/>
    <col min="10" max="10" width="28.5546875" bestFit="1" customWidth="1"/>
    <col min="11" max="11" width="28.6640625" bestFit="1" customWidth="1"/>
    <col min="12" max="12" width="34.44140625" bestFit="1" customWidth="1"/>
    <col min="13" max="13" width="24.5546875" bestFit="1" customWidth="1"/>
  </cols>
  <sheetData>
    <row r="1" spans="1:13" x14ac:dyDescent="0.3">
      <c r="B1" s="1" t="s">
        <v>0</v>
      </c>
    </row>
    <row r="2" spans="1:13" x14ac:dyDescent="0.3">
      <c r="B2" t="s">
        <v>1</v>
      </c>
      <c r="F2" t="s">
        <v>2</v>
      </c>
      <c r="J2" t="s">
        <v>21</v>
      </c>
      <c r="K2" t="s">
        <v>20</v>
      </c>
      <c r="L2" t="s">
        <v>23</v>
      </c>
      <c r="M2" t="s">
        <v>25</v>
      </c>
    </row>
    <row r="3" spans="1:13" x14ac:dyDescent="0.3">
      <c r="A3" s="1" t="s">
        <v>4</v>
      </c>
      <c r="B3" t="s">
        <v>22</v>
      </c>
      <c r="C3" t="s">
        <v>19</v>
      </c>
      <c r="D3" t="s">
        <v>24</v>
      </c>
      <c r="E3" t="s">
        <v>26</v>
      </c>
      <c r="F3" t="s">
        <v>22</v>
      </c>
      <c r="G3" t="s">
        <v>19</v>
      </c>
      <c r="H3" t="s">
        <v>24</v>
      </c>
      <c r="I3" t="s">
        <v>26</v>
      </c>
    </row>
    <row r="4" spans="1:13" x14ac:dyDescent="0.3">
      <c r="A4" s="2" t="s">
        <v>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3">
      <c r="A5" s="3" t="s">
        <v>7</v>
      </c>
      <c r="B5" s="4"/>
      <c r="C5" s="4"/>
      <c r="D5" s="4"/>
      <c r="E5" s="4"/>
      <c r="F5" s="4">
        <v>12.506425</v>
      </c>
      <c r="G5" s="4">
        <v>0</v>
      </c>
      <c r="H5" s="4">
        <v>4744.5953210526313</v>
      </c>
      <c r="I5" s="4">
        <v>12.506425</v>
      </c>
      <c r="J5" s="4">
        <v>12.506425</v>
      </c>
      <c r="K5" s="4">
        <v>0</v>
      </c>
      <c r="L5" s="4">
        <v>4744.5953210526313</v>
      </c>
      <c r="M5" s="4">
        <v>12.506425</v>
      </c>
    </row>
    <row r="6" spans="1:13" x14ac:dyDescent="0.3">
      <c r="A6" s="3" t="s">
        <v>8</v>
      </c>
      <c r="B6" s="4"/>
      <c r="C6" s="4"/>
      <c r="D6" s="4"/>
      <c r="E6" s="4"/>
      <c r="F6" s="4">
        <v>0.13705000000000001</v>
      </c>
      <c r="G6" s="4">
        <v>0</v>
      </c>
      <c r="H6" s="4">
        <v>892.54962499999999</v>
      </c>
      <c r="I6" s="4">
        <v>0.13705000000000001</v>
      </c>
      <c r="J6" s="4">
        <v>0.13705000000000001</v>
      </c>
      <c r="K6" s="4">
        <v>0</v>
      </c>
      <c r="L6" s="4">
        <v>892.54962499999999</v>
      </c>
      <c r="M6" s="4">
        <v>0.13705000000000001</v>
      </c>
    </row>
    <row r="7" spans="1:13" x14ac:dyDescent="0.3">
      <c r="A7" s="3" t="s">
        <v>9</v>
      </c>
      <c r="B7" s="4"/>
      <c r="C7" s="4"/>
      <c r="D7" s="4"/>
      <c r="E7" s="4"/>
      <c r="F7" s="4">
        <v>2.8925999999999998</v>
      </c>
      <c r="G7" s="4">
        <v>0</v>
      </c>
      <c r="H7" s="4">
        <v>411.18007631578945</v>
      </c>
      <c r="I7" s="4">
        <v>2.8925999999999998</v>
      </c>
      <c r="J7" s="4">
        <v>2.8925999999999998</v>
      </c>
      <c r="K7" s="4">
        <v>0</v>
      </c>
      <c r="L7" s="4">
        <v>411.18007631578945</v>
      </c>
      <c r="M7" s="4">
        <v>2.8925999999999998</v>
      </c>
    </row>
    <row r="8" spans="1:13" x14ac:dyDescent="0.3">
      <c r="A8" s="3" t="s">
        <v>10</v>
      </c>
      <c r="B8" s="4"/>
      <c r="C8" s="4"/>
      <c r="D8" s="4"/>
      <c r="E8" s="4"/>
      <c r="F8" s="4">
        <v>2.6917999999999997</v>
      </c>
      <c r="G8" s="4">
        <v>0</v>
      </c>
      <c r="H8" s="4">
        <v>1683.2187379385964</v>
      </c>
      <c r="I8" s="4">
        <v>2.6917999999999997</v>
      </c>
      <c r="J8" s="4">
        <v>2.6917999999999997</v>
      </c>
      <c r="K8" s="4">
        <v>0</v>
      </c>
      <c r="L8" s="4">
        <v>1683.2187379385964</v>
      </c>
      <c r="M8" s="4">
        <v>2.6917999999999997</v>
      </c>
    </row>
    <row r="9" spans="1:13" x14ac:dyDescent="0.3">
      <c r="A9" s="3" t="s">
        <v>11</v>
      </c>
      <c r="B9" s="4"/>
      <c r="C9" s="4"/>
      <c r="D9" s="4"/>
      <c r="E9" s="4"/>
      <c r="F9" s="4">
        <v>16.354749999999999</v>
      </c>
      <c r="G9" s="4">
        <v>0</v>
      </c>
      <c r="H9" s="4">
        <v>3223.7390350877195</v>
      </c>
      <c r="I9" s="4">
        <v>16.354749999999999</v>
      </c>
      <c r="J9" s="4">
        <v>16.354749999999999</v>
      </c>
      <c r="K9" s="4">
        <v>0</v>
      </c>
      <c r="L9" s="4">
        <v>3223.7390350877195</v>
      </c>
      <c r="M9" s="4">
        <v>16.354749999999999</v>
      </c>
    </row>
    <row r="10" spans="1:13" x14ac:dyDescent="0.3">
      <c r="A10" s="3" t="s">
        <v>12</v>
      </c>
      <c r="B10" s="4"/>
      <c r="C10" s="4"/>
      <c r="D10" s="4"/>
      <c r="E10" s="4"/>
      <c r="F10" s="4">
        <v>1.6500000000000001E-2</v>
      </c>
      <c r="G10" s="4">
        <v>0</v>
      </c>
      <c r="H10" s="4">
        <v>0</v>
      </c>
      <c r="I10" s="4">
        <v>1.6500000000000001E-2</v>
      </c>
      <c r="J10" s="4">
        <v>1.6500000000000001E-2</v>
      </c>
      <c r="K10" s="4">
        <v>0</v>
      </c>
      <c r="L10" s="4">
        <v>0</v>
      </c>
      <c r="M10" s="4">
        <v>1.6500000000000001E-2</v>
      </c>
    </row>
    <row r="11" spans="1:13" x14ac:dyDescent="0.3">
      <c r="A11" s="2" t="s">
        <v>6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x14ac:dyDescent="0.3">
      <c r="A12" s="3" t="s">
        <v>7</v>
      </c>
      <c r="B12" s="4">
        <v>899.67197499999963</v>
      </c>
      <c r="C12" s="4">
        <v>899.67197499999963</v>
      </c>
      <c r="D12" s="4">
        <v>0</v>
      </c>
      <c r="E12" s="4">
        <v>0</v>
      </c>
      <c r="F12" s="4">
        <v>863.67064999999991</v>
      </c>
      <c r="G12" s="4">
        <v>863.67064999999991</v>
      </c>
      <c r="H12" s="4">
        <v>0</v>
      </c>
      <c r="I12" s="4">
        <v>0</v>
      </c>
      <c r="J12" s="4">
        <v>1763.3426249999998</v>
      </c>
      <c r="K12" s="4">
        <v>1763.3426249999998</v>
      </c>
      <c r="L12" s="4">
        <v>0</v>
      </c>
      <c r="M12" s="4">
        <v>0</v>
      </c>
    </row>
    <row r="13" spans="1:13" x14ac:dyDescent="0.3">
      <c r="A13" s="3" t="s">
        <v>8</v>
      </c>
      <c r="B13" s="4">
        <v>352.12552500000021</v>
      </c>
      <c r="C13" s="4">
        <v>352.12552500000021</v>
      </c>
      <c r="D13" s="4">
        <v>0</v>
      </c>
      <c r="E13" s="4">
        <v>0</v>
      </c>
      <c r="F13" s="4">
        <v>362.19547500000022</v>
      </c>
      <c r="G13" s="4">
        <v>362.19547500000022</v>
      </c>
      <c r="H13" s="4">
        <v>0</v>
      </c>
      <c r="I13" s="4">
        <v>0</v>
      </c>
      <c r="J13" s="4">
        <v>714.32100000000037</v>
      </c>
      <c r="K13" s="4">
        <v>714.32100000000037</v>
      </c>
      <c r="L13" s="4">
        <v>0</v>
      </c>
      <c r="M13" s="4">
        <v>0</v>
      </c>
    </row>
    <row r="14" spans="1:13" x14ac:dyDescent="0.3">
      <c r="A14" s="3" t="s">
        <v>13</v>
      </c>
      <c r="B14" s="4">
        <v>26.815000000000001</v>
      </c>
      <c r="C14" s="4">
        <v>26.815000000000001</v>
      </c>
      <c r="D14" s="4">
        <v>0</v>
      </c>
      <c r="E14" s="4">
        <v>0</v>
      </c>
      <c r="F14" s="4">
        <v>32.983800000000002</v>
      </c>
      <c r="G14" s="4">
        <v>32.983800000000002</v>
      </c>
      <c r="H14" s="4">
        <v>0</v>
      </c>
      <c r="I14" s="4">
        <v>0</v>
      </c>
      <c r="J14" s="4">
        <v>59.7988</v>
      </c>
      <c r="K14" s="4">
        <v>59.7988</v>
      </c>
      <c r="L14" s="4">
        <v>0</v>
      </c>
      <c r="M14" s="4">
        <v>0</v>
      </c>
    </row>
    <row r="15" spans="1:13" x14ac:dyDescent="0.3">
      <c r="A15" s="3" t="s">
        <v>14</v>
      </c>
      <c r="B15" s="4">
        <v>9.6349999999999998</v>
      </c>
      <c r="C15" s="4">
        <v>9.6349999999999998</v>
      </c>
      <c r="D15" s="4">
        <v>0</v>
      </c>
      <c r="E15" s="4">
        <v>0</v>
      </c>
      <c r="F15" s="4">
        <v>5.3900000000000006</v>
      </c>
      <c r="G15" s="4">
        <v>5.3900000000000006</v>
      </c>
      <c r="H15" s="4">
        <v>0</v>
      </c>
      <c r="I15" s="4">
        <v>0</v>
      </c>
      <c r="J15" s="4">
        <v>15.025000000000002</v>
      </c>
      <c r="K15" s="4">
        <v>15.025000000000002</v>
      </c>
      <c r="L15" s="4">
        <v>0</v>
      </c>
      <c r="M15" s="4">
        <v>0</v>
      </c>
    </row>
    <row r="16" spans="1:13" x14ac:dyDescent="0.3">
      <c r="A16" s="3" t="s">
        <v>15</v>
      </c>
      <c r="B16" s="4">
        <v>1705.8099999999993</v>
      </c>
      <c r="C16" s="4">
        <v>1705.8099999999993</v>
      </c>
      <c r="D16" s="4">
        <v>0</v>
      </c>
      <c r="E16" s="4">
        <v>0</v>
      </c>
      <c r="F16" s="4">
        <v>1640.0099999999995</v>
      </c>
      <c r="G16" s="4">
        <v>1640.0099999999995</v>
      </c>
      <c r="H16" s="4">
        <v>0</v>
      </c>
      <c r="I16" s="4">
        <v>0</v>
      </c>
      <c r="J16" s="4">
        <v>3345.8199999999997</v>
      </c>
      <c r="K16" s="4">
        <v>3345.8199999999997</v>
      </c>
      <c r="L16" s="4">
        <v>0</v>
      </c>
      <c r="M16" s="4">
        <v>0</v>
      </c>
    </row>
    <row r="17" spans="1:13" x14ac:dyDescent="0.3">
      <c r="A17" s="3" t="s">
        <v>9</v>
      </c>
      <c r="B17" s="4">
        <v>1128.1042500000001</v>
      </c>
      <c r="C17" s="4">
        <v>1128.1042500000001</v>
      </c>
      <c r="D17" s="4">
        <v>0</v>
      </c>
      <c r="E17" s="4">
        <v>0</v>
      </c>
      <c r="F17" s="4">
        <v>1079.6986000000002</v>
      </c>
      <c r="G17" s="4">
        <v>1079.6986000000002</v>
      </c>
      <c r="H17" s="4">
        <v>0</v>
      </c>
      <c r="I17" s="4">
        <v>0</v>
      </c>
      <c r="J17" s="4">
        <v>2207.8028499999987</v>
      </c>
      <c r="K17" s="4">
        <v>2207.8028499999987</v>
      </c>
      <c r="L17" s="4">
        <v>0</v>
      </c>
      <c r="M17" s="4">
        <v>0</v>
      </c>
    </row>
    <row r="18" spans="1:13" x14ac:dyDescent="0.3">
      <c r="A18" s="3" t="s">
        <v>16</v>
      </c>
      <c r="B18" s="4">
        <v>92.607115000000036</v>
      </c>
      <c r="C18" s="4">
        <v>92.607115000000036</v>
      </c>
      <c r="D18" s="4">
        <v>0</v>
      </c>
      <c r="E18" s="4">
        <v>0</v>
      </c>
      <c r="F18" s="4">
        <v>103.68637500000004</v>
      </c>
      <c r="G18" s="4">
        <v>103.68637500000004</v>
      </c>
      <c r="H18" s="4">
        <v>0</v>
      </c>
      <c r="I18" s="4">
        <v>0</v>
      </c>
      <c r="J18" s="4">
        <v>196.29349000000005</v>
      </c>
      <c r="K18" s="4">
        <v>196.29349000000005</v>
      </c>
      <c r="L18" s="4">
        <v>0</v>
      </c>
      <c r="M18" s="4">
        <v>0</v>
      </c>
    </row>
    <row r="19" spans="1:13" x14ac:dyDescent="0.3">
      <c r="A19" s="3" t="s">
        <v>17</v>
      </c>
      <c r="B19" s="4">
        <v>0</v>
      </c>
      <c r="C19" s="4">
        <v>0</v>
      </c>
      <c r="D19" s="4">
        <v>0</v>
      </c>
      <c r="E19" s="4">
        <v>0</v>
      </c>
      <c r="F19" s="4">
        <v>3.4449999999999998</v>
      </c>
      <c r="G19" s="4">
        <v>3.4449999999999998</v>
      </c>
      <c r="H19" s="4">
        <v>0</v>
      </c>
      <c r="I19" s="4">
        <v>0</v>
      </c>
      <c r="J19" s="4">
        <v>3.4449999999999998</v>
      </c>
      <c r="K19" s="4">
        <v>3.4449999999999998</v>
      </c>
      <c r="L19" s="4">
        <v>0</v>
      </c>
      <c r="M19" s="4">
        <v>0</v>
      </c>
    </row>
    <row r="20" spans="1:13" x14ac:dyDescent="0.3">
      <c r="A20" s="3" t="s">
        <v>18</v>
      </c>
      <c r="B20" s="4">
        <v>18.263824999999997</v>
      </c>
      <c r="C20" s="4">
        <v>18.263824999999997</v>
      </c>
      <c r="D20" s="4">
        <v>0</v>
      </c>
      <c r="E20" s="4">
        <v>0</v>
      </c>
      <c r="F20" s="4">
        <v>17.079650000000004</v>
      </c>
      <c r="G20" s="4">
        <v>17.079650000000004</v>
      </c>
      <c r="H20" s="4">
        <v>0</v>
      </c>
      <c r="I20" s="4">
        <v>0</v>
      </c>
      <c r="J20" s="4">
        <v>35.343474999999991</v>
      </c>
      <c r="K20" s="4">
        <v>35.343474999999991</v>
      </c>
      <c r="L20" s="4">
        <v>0</v>
      </c>
      <c r="M20" s="4">
        <v>0</v>
      </c>
    </row>
    <row r="21" spans="1:13" x14ac:dyDescent="0.3">
      <c r="A21" s="3" t="s">
        <v>10</v>
      </c>
      <c r="B21" s="4">
        <v>100.90802500000001</v>
      </c>
      <c r="C21" s="4">
        <v>100.90802500000001</v>
      </c>
      <c r="D21" s="4">
        <v>0</v>
      </c>
      <c r="E21" s="4">
        <v>0</v>
      </c>
      <c r="F21" s="4">
        <v>99.048124999999999</v>
      </c>
      <c r="G21" s="4">
        <v>99.048124999999999</v>
      </c>
      <c r="H21" s="4">
        <v>0</v>
      </c>
      <c r="I21" s="4">
        <v>0</v>
      </c>
      <c r="J21" s="4">
        <v>199.95614999999998</v>
      </c>
      <c r="K21" s="4">
        <v>199.95614999999998</v>
      </c>
      <c r="L21" s="4">
        <v>0</v>
      </c>
      <c r="M21" s="4">
        <v>0</v>
      </c>
    </row>
    <row r="22" spans="1:13" x14ac:dyDescent="0.3">
      <c r="A22" s="3" t="s">
        <v>11</v>
      </c>
      <c r="B22" s="4">
        <v>622.56799999999987</v>
      </c>
      <c r="C22" s="4">
        <v>622.56799999999987</v>
      </c>
      <c r="D22" s="4">
        <v>0</v>
      </c>
      <c r="E22" s="4">
        <v>0</v>
      </c>
      <c r="F22" s="4">
        <v>569.59115000000008</v>
      </c>
      <c r="G22" s="4">
        <v>569.59115000000008</v>
      </c>
      <c r="H22" s="4">
        <v>0</v>
      </c>
      <c r="I22" s="4">
        <v>0</v>
      </c>
      <c r="J22" s="4">
        <v>1192.1591499999997</v>
      </c>
      <c r="K22" s="4">
        <v>1192.1591499999997</v>
      </c>
      <c r="L22" s="4">
        <v>0</v>
      </c>
      <c r="M22" s="4">
        <v>0</v>
      </c>
    </row>
    <row r="23" spans="1:13" x14ac:dyDescent="0.3">
      <c r="A23" s="3" t="s">
        <v>12</v>
      </c>
      <c r="B23" s="4">
        <v>71.994024999999993</v>
      </c>
      <c r="C23" s="4">
        <v>71.994024999999993</v>
      </c>
      <c r="D23" s="4">
        <v>0</v>
      </c>
      <c r="E23" s="4">
        <v>0</v>
      </c>
      <c r="F23" s="4">
        <v>72.576800000000006</v>
      </c>
      <c r="G23" s="4">
        <v>72.576800000000006</v>
      </c>
      <c r="H23" s="4">
        <v>0</v>
      </c>
      <c r="I23" s="4">
        <v>0</v>
      </c>
      <c r="J23" s="4">
        <v>144.57082499999999</v>
      </c>
      <c r="K23" s="4">
        <v>144.57082499999999</v>
      </c>
      <c r="L23" s="4">
        <v>0</v>
      </c>
      <c r="M23" s="4">
        <v>0</v>
      </c>
    </row>
    <row r="24" spans="1:13" x14ac:dyDescent="0.3">
      <c r="A24" s="2" t="s">
        <v>3</v>
      </c>
      <c r="B24" s="4">
        <v>5028.5027400000026</v>
      </c>
      <c r="C24" s="4">
        <v>5028.5027400000026</v>
      </c>
      <c r="D24" s="4">
        <v>0</v>
      </c>
      <c r="E24" s="4">
        <v>0</v>
      </c>
      <c r="F24" s="4">
        <v>4883.9747500000003</v>
      </c>
      <c r="G24" s="4">
        <v>4849.3756249999988</v>
      </c>
      <c r="H24" s="4">
        <v>10955.282795394738</v>
      </c>
      <c r="I24" s="4">
        <v>34.599125000000001</v>
      </c>
      <c r="J24" s="4">
        <v>9912.4774899999975</v>
      </c>
      <c r="K24" s="4">
        <v>9877.8783649999987</v>
      </c>
      <c r="L24" s="4">
        <v>10955.282795394738</v>
      </c>
      <c r="M24" s="4">
        <v>34.599125000000001</v>
      </c>
    </row>
    <row r="26" spans="1:13" x14ac:dyDescent="0.3">
      <c r="D26">
        <f>SUM($D12:$E12)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E18CAF-139B-4A97-8538-7C8A004DF9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LLEWELLYN</dc:creator>
  <cp:lastModifiedBy>User</cp:lastModifiedBy>
  <dcterms:created xsi:type="dcterms:W3CDTF">2015-06-05T18:17:20Z</dcterms:created>
  <dcterms:modified xsi:type="dcterms:W3CDTF">2022-04-03T18:55:19Z</dcterms:modified>
</cp:coreProperties>
</file>