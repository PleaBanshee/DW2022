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DW2022\Documentation\"/>
    </mc:Choice>
  </mc:AlternateContent>
  <xr:revisionPtr revIDLastSave="0" documentId="13_ncr:1_{7AFB6E2E-A347-4E68-9B56-F9A49086EC25}" xr6:coauthVersionLast="47" xr6:coauthVersionMax="47" xr10:uidLastSave="{00000000-0000-0000-0000-000000000000}"/>
  <bookViews>
    <workbookView xWindow="-108" yWindow="-108" windowWidth="23256" windowHeight="12696" tabRatio="887" firstSheet="5" activeTab="14"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Management_Fact" sheetId="52" r:id="rId7"/>
    <sheet name="Date" sheetId="7" r:id="rId8"/>
    <sheet name="Date records" sheetId="8" r:id="rId9"/>
    <sheet name="Material" sheetId="28" r:id="rId10"/>
    <sheet name="Project" sheetId="55" r:id="rId11"/>
    <sheet name="Project_Status" sheetId="54" r:id="rId12"/>
    <sheet name="Employee_Dimension" sheetId="60" r:id="rId13"/>
    <sheet name="Customer" sheetId="56" r:id="rId14"/>
    <sheet name="Service_Billing_Number Dim" sheetId="62" r:id="rId15"/>
    <sheet name="Stock_Take_Indicators" sheetId="35" r:id="rId16"/>
    <sheet name="Source Files" sheetId="2" r:id="rId17"/>
    <sheet name="SF_PW_Employees" sheetId="46" r:id="rId18"/>
    <sheet name="SF_PW_Employee_Timesheet" sheetId="47" r:id="rId19"/>
    <sheet name="SF_PW_Internal_Projects" sheetId="50" r:id="rId20"/>
    <sheet name="SF_PW_Customer_Department_Group" sheetId="44" r:id="rId21"/>
    <sheet name="SF_PW_Customer_Department" sheetId="43" r:id="rId22"/>
    <sheet name="SF_PW_Customer" sheetId="38" r:id="rId23"/>
    <sheet name="SF_MM_Stock_Take" sheetId="3" r:id="rId24"/>
    <sheet name="Stage1" sheetId="4" r:id="rId25"/>
    <sheet name="S1_PW_Customer" sheetId="40" r:id="rId26"/>
    <sheet name="S1_PW_Customer_Department" sheetId="41" r:id="rId27"/>
    <sheet name="S1_PW_Employees" sheetId="49" r:id="rId28"/>
    <sheet name="S1_PW_Internal_Projects" sheetId="51" r:id="rId29"/>
    <sheet name="S1_PW_Employee_Timesheet" sheetId="48" r:id="rId30"/>
    <sheet name="S1_PW_Customer_Department_Group" sheetId="42" r:id="rId31"/>
    <sheet name="S1_MM_Stock_Take" sheetId="31" r:id="rId32"/>
    <sheet name="Stage2" sheetId="32" r:id="rId33"/>
    <sheet name="S2_MM_Material_Group_Lookup" sheetId="33" r:id="rId34"/>
    <sheet name="S2_MM_Material" sheetId="34" r:id="rId35"/>
    <sheet name="S2_MM_Stock_Take" sheetId="36" r:id="rId36"/>
    <sheet name="Process Metadata" sheetId="9" r:id="rId37"/>
  </sheets>
  <externalReferences>
    <externalReference r:id="rId38"/>
    <externalReference r:id="rId39"/>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1">#REF!</definedName>
    <definedName name="LU_DOW" localSheetId="34">#REF!</definedName>
    <definedName name="LU_DOW" localSheetId="33">#REF!</definedName>
    <definedName name="LU_DOW" localSheetId="35">#REF!</definedName>
    <definedName name="LU_DOW" localSheetId="18">#REF!</definedName>
    <definedName name="LU_DOW" localSheetId="17">#REF!</definedName>
    <definedName name="LU_DOW" localSheetId="32">#REF!</definedName>
    <definedName name="LU_DOW" localSheetId="15">#REF!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6" i="52" l="1"/>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<sst xmlns="http://schemas.openxmlformats.org/spreadsheetml/2006/main" count="2310" uniqueCount="908">
  <si>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</si>
  <si>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</si>
  <si>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</si>
  <si>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</si>
  <si>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</si>
  <si>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</si>
  <si>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</si>
  <si>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</si>
  <si>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</si>
  <si>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</si>
  <si>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</si>
  <si>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</si>
  <si>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</si>
  <si>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</si>
  <si>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</si>
  <si>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</si>
  <si>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</si>
  <si>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</si>
  <si>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</si>
  <si>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</si>
  <si>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</si>
  <si>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</si>
  <si>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</si>
  <si>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</si>
  <si>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</si>
  <si>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</si>
  <si>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</si>
  <si>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</si>
  <si>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</si>
  <si>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</si>
  <si>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</si>
  <si>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</si>
  <si>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</si>
  <si>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</si>
  <si>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</si>
  <si>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</si>
  <si>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</si>
  <si>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</si>
  <si>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</si>
  <si>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</si>
  <si>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</si>
  <si>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</si>
  <si>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</si>
  <si>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</si>
  <si>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</si>
  <si>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</si>
  <si>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</si>
  <si>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</si>
  <si>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</si>
  <si>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</si>
  <si>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</si>
  <si>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</si>
  <si>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</si>
  <si>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</si>
  <si>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</si>
  <si>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</si>
  <si>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</si>
  <si>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</si>
  <si>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</si>
  <si>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</si>
  <si>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</si>
  <si>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</si>
  <si>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</si>
  <si>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</si>
  <si>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</si>
  <si>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</si>
  <si>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</si>
  <si>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</si>
  <si>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</si>
  <si>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</si>
  <si>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</si>
  <si>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</si>
  <si>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</si>
  <si>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</si>
  <si>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</si>
  <si>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</si>
  <si>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</si>
  <si>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</si>
  <si>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</si>
  <si>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</si>
  <si>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</si>
  <si>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</si>
  <si>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</si>
  <si>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</si>
  <si>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</si>
  <si>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</si>
  <si>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</si>
  <si>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</si>
  <si>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</si>
  <si>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</si>
  <si>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</si>
  <si>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</si>
  <si>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</si>
  <si>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</si>
  <si>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</si>
  <si>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</si>
  <si>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</si>
  <si>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</si>
  <si>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</si>
  <si>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</si>
  <si>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</si>
  <si>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</si>
  <si>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</si>
  <si>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</si>
  <si>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</si>
  <si>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</si>
  <si>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</si>
  <si>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</si>
  <si>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</si>
  <si>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</si>
  <si>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</si>
  <si>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</si>
  <si>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</si>
  <si>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</si>
  <si>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</si>
  <si>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</si>
  <si>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</si>
  <si>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</si>
  <si>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</si>
  <si>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</si>
  <si>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</si>
  <si>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</si>
  <si>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</si>
  <si>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</si>
  <si>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</si>
  <si>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</si>
  <si>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</si>
  <si>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</si>
  <si>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</si>
  <si>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</si>
  <si>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</si>
  <si>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</si>
  <si>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</si>
  <si>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</si>
  <si>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</si>
  <si>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</si>
  <si>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</si>
  <si>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</si>
  <si>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</si>
  <si>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</si>
  <si>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</si>
  <si>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</si>
  <si>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</si>
  <si>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</si>
  <si>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</si>
  <si>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</si>
  <si>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</si>
  <si>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</si>
  <si>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</si>
  <si>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</si>
  <si>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</si>
  <si>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</si>
  <si>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</si>
  <si>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</si>
  <si>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</si>
  <si>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</si>
  <si>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</si>
  <si>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</si>
  <si>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</si>
  <si>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</si>
  <si>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</si>
  <si>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</si>
  <si>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</si>
  <si>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</si>
  <si>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</si>
  <si>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</si>
  <si>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</si>
  <si>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</si>
  <si>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</si>
  <si>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</si>
  <si>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</si>
  <si>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</si>
  <si>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</si>
  <si>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</si>
  <si>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</si>
  <si>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</si>
  <si>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</si>
  <si>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</si>
  <si>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</si>
  <si>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</si>
  <si>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</si>
  <si>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</si>
  <si>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</si>
  <si>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</si>
  <si>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</si>
  <si>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</si>
  <si>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</si>
  <si>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</si>
  <si>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</si>
  <si>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</si>
  <si>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</si>
  <si>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</si>
  <si>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</si>
  <si>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</si>
  <si>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</si>
  <si>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</si>
  <si>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</si>
  <si>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</si>
  <si>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</si>
  <si>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</si>
  <si>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</si>
  <si>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</si>
  <si>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</si>
  <si>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</si>
  <si>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</si>
  <si>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</si>
  <si>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</si>
  <si>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</si>
  <si>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</si>
  <si>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</si>
  <si>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</si>
  <si>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</si>
  <si>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</si>
  <si>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</si>
  <si>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</si>
  <si>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</si>
  <si>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</si>
  <si>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</si>
  <si>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</si>
  <si>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</si>
  <si>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</si>
  <si>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</si>
  <si>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</si>
  <si>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</si>
  <si>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</si>
  <si>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</si>
  <si>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</si>
  <si>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</si>
  <si>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</si>
  <si>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</si>
  <si>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</si>
  <si>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</si>
  <si>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</si>
  <si>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</si>
  <si>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</si>
  <si>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</si>
  <si>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</si>
  <si>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</si>
  <si>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</si>
  <si>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</si>
  <si>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</si>
  <si>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</si>
  <si>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</si>
  <si>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</si>
  <si>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</si>
  <si>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</si>
  <si>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</si>
  <si>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</si>
  <si>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</si>
  <si>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</si>
  <si>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</si>
  <si>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</si>
  <si>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</si>
  <si>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</si>
  <si>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</si>
  <si>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</si>
  <si>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</si>
  <si>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</si>
  <si>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</si>
  <si>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</si>
  <si>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</si>
  <si>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</si>
  <si>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</si>
  <si>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</si>
  <si>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</si>
  <si>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</si>
  <si>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</si>
  <si>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</si>
  <si>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</si>
  <si>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</si>
  <si>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</si>
  <si>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</si>
  <si>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</si>
  <si>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</si>
  <si>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</si>
  <si>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</si>
  <si>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</si>
  <si>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</si>
  <si>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</si>
  <si>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</si>
  <si>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</si>
  <si>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</si>
  <si>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</si>
  <si>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</si>
  <si>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</si>
  <si>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</si>
  <si>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</si>
  <si>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</si>
  <si>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</si>
  <si>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</si>
  <si>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</si>
  <si>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</si>
  <si>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</si>
  <si>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</si>
  <si>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</si>
  <si>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</si>
  <si>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</si>
  <si>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</si>
  <si>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</si>
  <si>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</si>
  <si>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</si>
  <si>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</si>
  <si>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</si>
  <si>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</si>
  <si>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</si>
  <si>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</si>
  <si>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</si>
  <si>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</si>
  <si>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</si>
  <si>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</si>
  <si>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</si>
  <si>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</si>
  <si>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</si>
  <si>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</si>
  <si>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</si>
  <si>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</si>
  <si>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</si>
  <si>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</si>
  <si>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</si>
  <si>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</si>
  <si>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</si>
  <si>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</si>
  <si>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</si>
  <si>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</si>
  <si>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</si>
  <si>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</si>
  <si>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</si>
  <si>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</si>
  <si>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</si>
  <si>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</si>
  <si>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</si>
  <si>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</si>
  <si>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</si>
  <si>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</si>
  <si>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</si>
  <si>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</si>
  <si>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</si>
  <si>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</si>
  <si>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</si>
  <si>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</si>
  <si>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</si>
  <si>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</si>
  <si>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</si>
  <si>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</si>
  <si>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</si>
  <si>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</si>
  <si>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</si>
  <si>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</si>
  <si>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</si>
  <si>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</si>
  <si>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</si>
  <si>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</si>
  <si>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</si>
  <si>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</si>
  <si>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</si>
  <si>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</si>
  <si>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</si>
  <si>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</si>
  <si>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</si>
  <si>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</si>
  <si>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</si>
  <si>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</si>
  <si>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</si>
  <si>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</si>
  <si>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</si>
  <si>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</si>
  <si>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</si>
  <si>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</si>
  <si>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</si>
  <si>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</si>
  <si>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</si>
  <si>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</si>
  <si>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</si>
  <si>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</si>
  <si>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</si>
  <si>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</si>
  <si>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</si>
  <si>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</si>
  <si>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</si>
  <si>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</si>
  <si>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</si>
  <si>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</si>
  <si>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</si>
  <si>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</si>
  <si>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</si>
  <si>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</si>
  <si>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</si>
  <si>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</si>
  <si>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</si>
  <si>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</si>
  <si>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</si>
  <si>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</si>
  <si>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</si>
  <si>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</si>
  <si>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</si>
  <si>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</si>
  <si>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</si>
  <si>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</si>
  <si>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</si>
  <si>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</si>
  <si>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</si>
  <si>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</si>
  <si>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</si>
  <si>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</si>
  <si>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</si>
  <si>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</si>
  <si>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</si>
  <si>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</si>
  <si>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</si>
  <si>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</si>
  <si>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</si>
  <si>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</si>
  <si>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</si>
  <si>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</si>
  <si>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</si>
  <si>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</si>
  <si>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</si>
  <si>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</si>
  <si>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</si>
  <si>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</si>
  <si>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</si>
  <si>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</si>
  <si>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</si>
  <si>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</si>
  <si>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</si>
  <si>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</si>
  <si>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</si>
  <si>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</si>
  <si>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</si>
  <si>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</si>
  <si>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</si>
  <si>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</si>
  <si>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</si>
  <si>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</si>
  <si>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</si>
  <si>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</si>
  <si>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</si>
  <si>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</si>
  <si>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</si>
  <si>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</si>
  <si>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</si>
  <si>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</si>
  <si>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</si>
  <si>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</si>
  <si>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</si>
  <si>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</si>
  <si>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</si>
  <si>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</si>
  <si>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</si>
  <si>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</si>
  <si>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</si>
  <si>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</si>
  <si>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</si>
  <si>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</si>
  <si>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</si>
  <si>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</si>
  <si>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</si>
  <si>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</si>
  <si>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</si>
  <si>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</si>
  <si>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</si>
  <si>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</si>
  <si>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</si>
  <si>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</si>
  <si>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</si>
  <si>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</si>
  <si>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</si>
  <si>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</si>
  <si>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</si>
  <si>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</si>
  <si>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</si>
  <si>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</si>
  <si>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</si>
  <si>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</si>
  <si>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</si>
  <si>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</si>
  <si>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</si>
  <si>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</si>
  <si>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</si>
  <si>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</si>
  <si>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</si>
  <si>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</si>
  <si>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</si>
  <si>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</si>
  <si>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</si>
  <si>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</si>
  <si>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</si>
  <si>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</si>
  <si>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</si>
  <si>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</si>
  <si>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</si>
  <si>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</si>
  <si>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</si>
  <si>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</si>
  <si>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</si>
  <si>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</si>
  <si>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</si>
  <si>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</si>
  <si>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</si>
  <si>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</si>
  <si>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</si>
  <si>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</si>
  <si>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</si>
  <si>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</si>
  <si>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</si>
  <si>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</si>
  <si>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</si>
  <si>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</si>
  <si>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</si>
  <si>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</si>
  <si>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</si>
  <si>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</si>
  <si>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</si>
  <si>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</si>
  <si>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</si>
  <si>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</si>
  <si>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</si>
  <si>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</si>
  <si>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</si>
  <si>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</si>
  <si>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</si>
  <si>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</si>
  <si>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</si>
  <si>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</si>
  <si>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</si>
  <si>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</si>
  <si>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</si>
  <si>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</si>
  <si>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</si>
  <si>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</si>
  <si>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</si>
  <si>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</si>
  <si>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</si>
  <si>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</si>
  <si>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</si>
  <si>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</si>
  <si>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</si>
  <si>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</si>
  <si>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</si>
  <si>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</si>
  <si>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</si>
  <si>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</si>
  <si>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</si>
  <si>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</si>
  <si>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</si>
  <si>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</si>
  <si>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</si>
  <si>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</si>
  <si>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</si>
  <si>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</si>
  <si>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</si>
  <si>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</si>
  <si>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</si>
  <si>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</si>
  <si>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</si>
  <si>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</si>
  <si>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</si>
  <si>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</si>
  <si>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</si>
  <si>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</si>
  <si>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</si>
  <si>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</si>
  <si>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</si>
  <si>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</si>
  <si>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</si>
  <si>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</si>
  <si>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</si>
  <si>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</si>
  <si>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</si>
  <si>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</si>
  <si>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</si>
  <si>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</si>
  <si>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</si>
  <si>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</si>
  <si>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</si>
  <si>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</si>
  <si>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</si>
  <si>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</si>
  <si>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</si>
  <si>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</si>
  <si>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</si>
  <si>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</si>
  <si>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</si>
  <si>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</si>
  <si>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</si>
  <si>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</si>
  <si>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</si>
  <si>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</si>
  <si>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</si>
  <si>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</si>
  <si>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</si>
  <si>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</si>
  <si>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</si>
  <si>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</si>
  <si>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</si>
  <si>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</si>
  <si>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</si>
  <si>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</si>
  <si>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</si>
  <si>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</si>
  <si>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</si>
  <si>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</si>
  <si>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</si>
  <si>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</si>
  <si>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</si>
  <si>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</si>
  <si>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</si>
  <si>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</si>
  <si>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</si>
  <si>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</si>
  <si>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</si>
  <si>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</si>
  <si>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</si>
  <si>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</si>
  <si>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</si>
  <si>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</si>
  <si>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</si>
  <si>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</si>
  <si>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</si>
  <si>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</si>
  <si>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</si>
  <si>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</si>
  <si>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</si>
  <si>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</si>
  <si>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</si>
  <si>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</si>
  <si>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</si>
  <si>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</si>
  <si>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</si>
  <si>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</si>
  <si>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</si>
  <si>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</si>
  <si>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</si>
  <si>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</si>
  <si>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</si>
  <si>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</si>
  <si>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</si>
  <si>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</si>
  <si>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</si>
  <si>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</si>
  <si>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</si>
  <si>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</si>
  <si>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</si>
  <si>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</si>
  <si>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</si>
  <si>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</si>
  <si>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</si>
  <si>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</si>
  <si>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</si>
  <si>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</si>
  <si>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</si>
  <si>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</si>
  <si>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</si>
  <si>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</si>
  <si>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</si>
  <si>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</si>
  <si>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</si>
  <si>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</si>
  <si>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</si>
  <si>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</si>
  <si>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</si>
  <si>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</si>
  <si>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</si>
  <si>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</si>
  <si>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</si>
  <si>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</si>
  <si>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</si>
  <si>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</si>
  <si>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</si>
  <si>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</si>
  <si>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</si>
  <si>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</si>
  <si>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</si>
  <si>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</si>
  <si>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</si>
  <si>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</si>
  <si>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</si>
  <si>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</si>
  <si>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</si>
  <si>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</si>
  <si>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</si>
  <si>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</si>
  <si>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</si>
  <si>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</si>
  <si>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</si>
  <si>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</si>
  <si>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</si>
  <si>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</si>
  <si>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</si>
  <si>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</si>
  <si>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</si>
  <si>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</si>
  <si>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</si>
  <si>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</si>
  <si>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</si>
  <si>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</si>
  <si>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</si>
  <si>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</si>
  <si>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</si>
  <si>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</si>
  <si>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</si>
  <si>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</si>
  <si>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</si>
  <si>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</si>
  <si>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</si>
  <si>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</si>
  <si>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</si>
  <si>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</si>
  <si>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</si>
  <si>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</si>
  <si>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</si>
  <si>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</si>
  <si>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</si>
  <si>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</si>
  <si>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</si>
  <si>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</si>
  <si>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</si>
  <si>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</si>
  <si>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</si>
  <si>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</si>
  <si>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</si>
  <si>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</si>
  <si>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</si>
  <si>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</si>
  <si>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</si>
  <si>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</si>
  <si>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</si>
  <si>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</si>
  <si>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</si>
  <si>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</si>
  <si>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</si>
  <si>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</si>
  <si>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</si>
  <si>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</si>
  <si>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</si>
  <si>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</si>
  <si>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</si>
  <si>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</si>
  <si>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</si>
  <si>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</si>
  <si>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</si>
  <si>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</si>
  <si>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</si>
  <si>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</si>
  <si>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</si>
  <si>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</si>
  <si>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</si>
  <si>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</si>
  <si>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</si>
  <si>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</si>
  <si>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</si>
  <si>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</si>
  <si>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</si>
  <si>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</si>
  <si>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</si>
  <si>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</si>
  <si>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</si>
  <si>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</si>
  <si>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</si>
  <si>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</si>
  <si>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</si>
  <si>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</si>
  <si>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</si>
  <si>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</si>
  <si>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</si>
  <si>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</si>
  <si>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</si>
  <si>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</si>
  <si>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</si>
  <si>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</si>
  <si>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</si>
  <si>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</si>
  <si>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</si>
  <si>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</si>
  <si>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</si>
  <si>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</si>
  <si>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</si>
  <si>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</si>
  <si>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</si>
  <si>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</si>
  <si>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</si>
  <si>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</si>
  <si>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</si>
  <si>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</si>
  <si>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</si>
  <si>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</si>
  <si>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</si>
  <si>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</si>
  <si>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</si>
  <si>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</si>
  <si>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</si>
  <si>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</si>
  <si>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</si>
  <si>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</si>
  <si>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</si>
  <si>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</si>
  <si>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</si>
  <si>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</si>
  <si>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</si>
  <si>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</si>
  <si>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</si>
  <si>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</si>
  <si>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</si>
  <si>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</si>
  <si>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</si>
  <si>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</si>
  <si>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</si>
  <si>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</si>
  <si>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</si>
  <si>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</si>
  <si>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</si>
  <si>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</si>
  <si>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</si>
  <si>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</si>
  <si>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</si>
  <si>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</si>
  <si>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</si>
  <si>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</si>
  <si>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</si>
  <si>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</si>
  <si>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</si>
  <si>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</si>
  <si>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</si>
  <si>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</si>
  <si>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</si>
  <si>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</si>
  <si>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Project Management Fact</t>
  </si>
  <si>
    <t>Report_Date_Key</t>
  </si>
  <si>
    <t>The day the report was generated</t>
  </si>
  <si>
    <t>Project_Request_Date_Key</t>
  </si>
  <si>
    <t>The date a project was requested</t>
  </si>
  <si>
    <t>Project_Key</t>
  </si>
  <si>
    <t>Information of a project</t>
  </si>
  <si>
    <t>One row for every year end</t>
  </si>
  <si>
    <t>Project_Management_ID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</si>
  <si>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</si>
  <si>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</si>
  <si>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</si>
  <si>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</si>
  <si>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</si>
  <si>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</si>
  <si>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</si>
  <si>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</si>
  <si>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</si>
  <si>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</si>
  <si>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</si>
  <si>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</si>
  <si>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</si>
  <si>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</si>
  <si>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</si>
  <si>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</si>
  <si>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</si>
  <si>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</si>
  <si>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</si>
  <si>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</si>
  <si>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</si>
  <si>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</si>
  <si>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</si>
  <si>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</si>
  <si>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</si>
  <si>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</si>
  <si>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</si>
  <si>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</si>
  <si>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P0003</t>
  </si>
  <si>
    <t xml:space="preserve">Each unique project is an entity in this dimention. </t>
  </si>
  <si>
    <t>Each unique customer is an entity in this dimention. SDC2</t>
  </si>
  <si>
    <t>Customer_Key</t>
  </si>
  <si>
    <t>Customer_Contact_Person</t>
  </si>
  <si>
    <t>Name of the customer</t>
  </si>
  <si>
    <t>The contact person of the customer</t>
  </si>
  <si>
    <t>C0004</t>
  </si>
  <si>
    <t>*No Customer Name</t>
  </si>
  <si>
    <t>*No Contact Person</t>
  </si>
  <si>
    <t>IMP_Year</t>
  </si>
  <si>
    <t>Hours_Worked</t>
  </si>
  <si>
    <t>date_key</t>
  </si>
  <si>
    <t>project_key</t>
  </si>
  <si>
    <t>Week_End_Date</t>
  </si>
  <si>
    <t xml:space="preserve">PK </t>
  </si>
  <si>
    <t>Thys Taljaard</t>
  </si>
  <si>
    <t>the full name of the employee</t>
  </si>
  <si>
    <t>employee_fullname</t>
  </si>
  <si>
    <t>Taljaard</t>
  </si>
  <si>
    <t>surname of the employee</t>
  </si>
  <si>
    <t>employee_surname</t>
  </si>
  <si>
    <t>Thys</t>
  </si>
  <si>
    <t>name of the employee</t>
  </si>
  <si>
    <t>employee_name</t>
  </si>
  <si>
    <t>E1</t>
  </si>
  <si>
    <t>business key</t>
  </si>
  <si>
    <t>employee_id</t>
  </si>
  <si>
    <t>employee_key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</si>
  <si>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</si>
  <si>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</si>
  <si>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</si>
  <si>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</si>
  <si>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</si>
  <si>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</si>
  <si>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</si>
  <si>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Year of the imported data</t>
  </si>
  <si>
    <t>decimal(32,4)</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</si>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</sst>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94">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Fill="1"/>
    <xf numFmtId="0" fontId="0" fillId="0" borderId="0" xfId="0" applyFont="1" applyAlignment="1">
      <alignment vertical="top"/>
    </xf>
    <xf numFmtId="0" fontId="7" fillId="0" borderId="0" xfId="0" applyFont="1" applyAlignment="1">
      <alignment horizontal="left"/>
    </xf>
    <xf numFmtId="0" fontId="0" fillId="0" borderId="0" xfId="0" applyFont="1"/>
    <xf numFmtId="0" fontId="0" fillId="0" borderId="0" xfId="0" applyFont="1" applyAlignment="1">
      <alignment wrapText="1"/>
    </xf>
    <xf numFmtId="0" fontId="10" fillId="0" borderId="0" xfId="3" applyFont="1" applyAlignment="1">
      <alignment horizontal="center" vertical="center" wrapText="1"/>
    </xf>
    <xf numFmtId="0" fontId="0" fillId="0" borderId="0" xfId="0" applyAlignment="1">
      <alignment horizontal="left" vertical="top"/>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3"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4"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57102" y="1013424"/>
          <a:ext cx="1404968" cy="1316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62855" y="1206208"/>
        <a:ext cx="993462" cy="930844"/>
      </dsp:txXfrm>
    </dsp:sp>
    <dsp:sp modelId="{5487FA13-369F-4726-A0B2-57E018C98BED}">
      <dsp:nvSpPr>
        <dsp:cNvPr id="0" name=""/>
        <dsp:cNvSpPr/>
      </dsp:nvSpPr>
      <dsp:spPr>
        <a:xfrm rot="16155673">
          <a:off x="2310036" y="955145"/>
          <a:ext cx="81081" cy="35579"/>
        </a:xfrm>
        <a:custGeom>
          <a:avLst/>
          <a:gdLst/>
          <a:ahLst/>
          <a:cxnLst/>
          <a:rect l="0" t="0" r="0" b="0"/>
          <a:pathLst>
            <a:path>
              <a:moveTo>
                <a:pt x="0" y="17789"/>
              </a:moveTo>
              <a:lnTo>
                <a:pt x="81081"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48550" y="970907"/>
        <a:ext cx="4054" cy="4054"/>
      </dsp:txXfrm>
    </dsp:sp>
    <dsp:sp modelId="{44889C79-B9F1-436F-AEA0-10F07D494EE6}">
      <dsp:nvSpPr>
        <dsp:cNvPr id="0" name=""/>
        <dsp:cNvSpPr/>
      </dsp:nvSpPr>
      <dsp:spPr>
        <a:xfrm>
          <a:off x="1834327" y="10642"/>
          <a:ext cx="1019569" cy="92178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83639" y="145634"/>
        <a:ext cx="720945" cy="651802"/>
      </dsp:txXfrm>
    </dsp:sp>
    <dsp:sp modelId="{D8A36C47-6E0C-4953-A975-2B34002DA6FF}">
      <dsp:nvSpPr>
        <dsp:cNvPr id="0" name=""/>
        <dsp:cNvSpPr/>
      </dsp:nvSpPr>
      <dsp:spPr>
        <a:xfrm rot="1508445">
          <a:off x="2974298" y="2008660"/>
          <a:ext cx="282690" cy="35579"/>
        </a:xfrm>
        <a:custGeom>
          <a:avLst/>
          <a:gdLst/>
          <a:ahLst/>
          <a:cxnLst/>
          <a:rect l="0" t="0" r="0" b="0"/>
          <a:pathLst>
            <a:path>
              <a:moveTo>
                <a:pt x="0" y="17789"/>
              </a:moveTo>
              <a:lnTo>
                <a:pt x="282690"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08576" y="2019382"/>
        <a:ext cx="14134" cy="14134"/>
      </dsp:txXfrm>
    </dsp:sp>
    <dsp:sp modelId="{C45628D1-3F4D-481A-AC4F-D94C30465E21}">
      <dsp:nvSpPr>
        <dsp:cNvPr id="0" name=""/>
        <dsp:cNvSpPr/>
      </dsp:nvSpPr>
      <dsp:spPr>
        <a:xfrm>
          <a:off x="3199936" y="1821413"/>
          <a:ext cx="921786" cy="92178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334928" y="1956405"/>
        <a:ext cx="651802" cy="651802"/>
      </dsp:txXfrm>
    </dsp:sp>
    <dsp:sp modelId="{73464EC0-510D-44AB-933F-E0AA350BE21E}">
      <dsp:nvSpPr>
        <dsp:cNvPr id="0" name=""/>
        <dsp:cNvSpPr/>
      </dsp:nvSpPr>
      <dsp:spPr>
        <a:xfrm rot="9270434">
          <a:off x="1482013" y="2009258"/>
          <a:ext cx="264365" cy="35579"/>
        </a:xfrm>
        <a:custGeom>
          <a:avLst/>
          <a:gdLst/>
          <a:ahLst/>
          <a:cxnLst/>
          <a:rect l="0" t="0" r="0" b="0"/>
          <a:pathLst>
            <a:path>
              <a:moveTo>
                <a:pt x="0" y="17789"/>
              </a:moveTo>
              <a:lnTo>
                <a:pt x="264365"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07586" y="2020439"/>
        <a:ext cx="13218" cy="13218"/>
      </dsp:txXfrm>
    </dsp:sp>
    <dsp:sp modelId="{BC69186D-43E7-4F50-8E24-158008589D07}">
      <dsp:nvSpPr>
        <dsp:cNvPr id="0" name=""/>
        <dsp:cNvSpPr/>
      </dsp:nvSpPr>
      <dsp:spPr>
        <a:xfrm>
          <a:off x="617968" y="1821413"/>
          <a:ext cx="921786" cy="92178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52960" y="1956405"/>
        <a:ext cx="651802" cy="651802"/>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836241" y="1150538"/>
          <a:ext cx="1146968" cy="112123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2004211" y="1314739"/>
        <a:ext cx="811028" cy="792830"/>
      </dsp:txXfrm>
    </dsp:sp>
    <dsp:sp modelId="{2838AADE-7FDA-4D9A-957B-367ECF25EB2C}">
      <dsp:nvSpPr>
        <dsp:cNvPr id="0" name=""/>
        <dsp:cNvSpPr/>
      </dsp:nvSpPr>
      <dsp:spPr>
        <a:xfrm rot="16183641">
          <a:off x="2119451" y="846731"/>
          <a:ext cx="572489" cy="35143"/>
        </a:xfrm>
        <a:custGeom>
          <a:avLst/>
          <a:gdLst/>
          <a:ahLst/>
          <a:cxnLst/>
          <a:rect l="0" t="0" r="0" b="0"/>
          <a:pathLst>
            <a:path>
              <a:moveTo>
                <a:pt x="0" y="17571"/>
              </a:moveTo>
              <a:lnTo>
                <a:pt x="572489"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91384" y="849990"/>
        <a:ext cx="28624" cy="28624"/>
      </dsp:txXfrm>
    </dsp:sp>
    <dsp:sp modelId="{980338C9-76FC-44DF-A765-78EDBF0932A9}">
      <dsp:nvSpPr>
        <dsp:cNvPr id="0" name=""/>
        <dsp:cNvSpPr/>
      </dsp:nvSpPr>
      <dsp:spPr>
        <a:xfrm>
          <a:off x="2087124" y="60719"/>
          <a:ext cx="631957" cy="517343"/>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179672" y="136482"/>
        <a:ext cx="446861" cy="365817"/>
      </dsp:txXfrm>
    </dsp:sp>
    <dsp:sp modelId="{E3EA2590-1296-49C3-BAF7-BBFF2DE63A07}">
      <dsp:nvSpPr>
        <dsp:cNvPr id="0" name=""/>
        <dsp:cNvSpPr/>
      </dsp:nvSpPr>
      <dsp:spPr>
        <a:xfrm rot="19584680">
          <a:off x="2834118" y="1212950"/>
          <a:ext cx="598657" cy="35143"/>
        </a:xfrm>
        <a:custGeom>
          <a:avLst/>
          <a:gdLst/>
          <a:ahLst/>
          <a:cxnLst/>
          <a:rect l="0" t="0" r="0" b="0"/>
          <a:pathLst>
            <a:path>
              <a:moveTo>
                <a:pt x="0" y="17571"/>
              </a:moveTo>
              <a:lnTo>
                <a:pt x="598657"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18481" y="1215555"/>
        <a:ext cx="29932" cy="29932"/>
      </dsp:txXfrm>
    </dsp:sp>
    <dsp:sp modelId="{C64E4C62-DBF5-4441-B992-140CDE54B3A0}">
      <dsp:nvSpPr>
        <dsp:cNvPr id="0" name=""/>
        <dsp:cNvSpPr/>
      </dsp:nvSpPr>
      <dsp:spPr>
        <a:xfrm>
          <a:off x="3340685" y="636589"/>
          <a:ext cx="535617" cy="556894"/>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419124" y="718144"/>
        <a:ext cx="378739" cy="393784"/>
      </dsp:txXfrm>
    </dsp:sp>
    <dsp:sp modelId="{0FCD4A5D-2B20-4E6E-BF59-242521BC3F8B}">
      <dsp:nvSpPr>
        <dsp:cNvPr id="0" name=""/>
        <dsp:cNvSpPr/>
      </dsp:nvSpPr>
      <dsp:spPr>
        <a:xfrm rot="2404226">
          <a:off x="2808988" y="2156426"/>
          <a:ext cx="301916" cy="35143"/>
        </a:xfrm>
        <a:custGeom>
          <a:avLst/>
          <a:gdLst/>
          <a:ahLst/>
          <a:cxnLst/>
          <a:rect l="0" t="0" r="0" b="0"/>
          <a:pathLst>
            <a:path>
              <a:moveTo>
                <a:pt x="0" y="17571"/>
              </a:moveTo>
              <a:lnTo>
                <a:pt x="301916"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52398" y="2166450"/>
        <a:ext cx="15095" cy="15095"/>
      </dsp:txXfrm>
    </dsp:sp>
    <dsp:sp modelId="{49732D0F-F12C-48ED-97D7-25F133515C4D}">
      <dsp:nvSpPr>
        <dsp:cNvPr id="0" name=""/>
        <dsp:cNvSpPr/>
      </dsp:nvSpPr>
      <dsp:spPr>
        <a:xfrm>
          <a:off x="2989038" y="2166366"/>
          <a:ext cx="674931" cy="631957"/>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087879" y="2258914"/>
        <a:ext cx="477249" cy="446861"/>
      </dsp:txXfrm>
    </dsp:sp>
    <dsp:sp modelId="{8BF4EDA2-910D-46CB-9F48-E05EC525E760}">
      <dsp:nvSpPr>
        <dsp:cNvPr id="0" name=""/>
        <dsp:cNvSpPr/>
      </dsp:nvSpPr>
      <dsp:spPr>
        <a:xfrm rot="8456917">
          <a:off x="1611550" y="2178157"/>
          <a:ext cx="401745" cy="35143"/>
        </a:xfrm>
        <a:custGeom>
          <a:avLst/>
          <a:gdLst/>
          <a:ahLst/>
          <a:cxnLst/>
          <a:rect l="0" t="0" r="0" b="0"/>
          <a:pathLst>
            <a:path>
              <a:moveTo>
                <a:pt x="0" y="17571"/>
              </a:moveTo>
              <a:lnTo>
                <a:pt x="401745"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02379" y="2185685"/>
        <a:ext cx="20087" cy="20087"/>
      </dsp:txXfrm>
    </dsp:sp>
    <dsp:sp modelId="{5C1E975B-6DBE-4512-AC63-CDD9CF929A8A}">
      <dsp:nvSpPr>
        <dsp:cNvPr id="0" name=""/>
        <dsp:cNvSpPr/>
      </dsp:nvSpPr>
      <dsp:spPr>
        <a:xfrm>
          <a:off x="1166858" y="2224219"/>
          <a:ext cx="553163" cy="541708"/>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247867" y="2303550"/>
        <a:ext cx="391145" cy="383046"/>
      </dsp:txXfrm>
    </dsp:sp>
    <dsp:sp modelId="{9D4692C8-D487-4537-B4A5-B19EA5D5686F}">
      <dsp:nvSpPr>
        <dsp:cNvPr id="0" name=""/>
        <dsp:cNvSpPr/>
      </dsp:nvSpPr>
      <dsp:spPr>
        <a:xfrm rot="13112157">
          <a:off x="1565158" y="1199660"/>
          <a:ext cx="448841" cy="35143"/>
        </a:xfrm>
        <a:custGeom>
          <a:avLst/>
          <a:gdLst/>
          <a:ahLst/>
          <a:cxnLst/>
          <a:rect l="0" t="0" r="0" b="0"/>
          <a:pathLst>
            <a:path>
              <a:moveTo>
                <a:pt x="0" y="17571"/>
              </a:moveTo>
              <a:lnTo>
                <a:pt x="448841" y="1757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78358" y="1206011"/>
        <a:ext cx="22442" cy="22442"/>
      </dsp:txXfrm>
    </dsp:sp>
    <dsp:sp modelId="{1396B6E6-142A-4DDF-8A4B-4A5D7095A85D}">
      <dsp:nvSpPr>
        <dsp:cNvPr id="0" name=""/>
        <dsp:cNvSpPr/>
      </dsp:nvSpPr>
      <dsp:spPr>
        <a:xfrm>
          <a:off x="1042526" y="568512"/>
          <a:ext cx="645567" cy="621612"/>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137067" y="659545"/>
        <a:ext cx="456485" cy="439546"/>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Llewellyn/Desktop/Honours%20Resources/DATA%20WAREHOUSING/PROJECT/EXAMPLES/PRACTICAL/DW%20sem%202%20prac/DW2021_Start_Jum_Sem_11_05/DW2021/Documentation/Design%20document_Ju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ex"/>
      <sheetName val="Naming Conventions"/>
      <sheetName val="Bus Matrix"/>
      <sheetName val="Source Files"/>
      <sheetName val="SF_PW_Customer"/>
      <sheetName val="SF_PW_Customer_Department"/>
      <sheetName val="SF_PW_Customer_Department_Group"/>
      <sheetName val="SF_PW_Employee"/>
      <sheetName val="SF_PW_Employee_Timesheet"/>
      <sheetName val="SF_PW_Internal_Projects"/>
      <sheetName val="SF_MM_Stock_Take"/>
      <sheetName val="Stage 1"/>
      <sheetName val="S1_MM_Stock_Take"/>
      <sheetName val="S1_PW_Customer"/>
      <sheetName val="S1_PW_Customer_Department"/>
      <sheetName val="S1_PW_Customer_Department_Group"/>
      <sheetName val="S1_PW_Employee"/>
      <sheetName val="S1_PW_Employee_Timesheet"/>
      <sheetName val="S1_PW_Internal_projects"/>
      <sheetName val="Stage 2"/>
      <sheetName val="S2_MM_Material_Group_Lookup"/>
      <sheetName val="S2_MM_Material"/>
      <sheetName val="S2_MM_Stock_Take"/>
      <sheetName val="S2_PW_Customer"/>
      <sheetName val="S2_PW_Customer_Department"/>
      <sheetName val="S2_PW_Customer_Department_Group"/>
      <sheetName val="S2_PW_Employee"/>
      <sheetName val="S2_PW_Employee_Timesheet"/>
      <sheetName val="S2_PW_Employee_Name_Lookup"/>
      <sheetName val="S2_PW_Internal_Projects"/>
      <sheetName val="AtomicDW"/>
      <sheetName val="Material"/>
      <sheetName val="Stock_Take_Indicators"/>
      <sheetName val="Stock_Take_Fact"/>
      <sheetName val="Customer_Dimension"/>
      <sheetName val="Date_Dimension"/>
      <sheetName val="Date Records"/>
      <sheetName val="Project_Dimension"/>
      <sheetName val="Status_Dimension"/>
      <sheetName val="Employee_Dimension"/>
      <sheetName val="Yearly_Project_Count_Fact"/>
      <sheetName val="Employee_Timesheet_Fact"/>
      <sheetName val="Process Meta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27" sqref="C27"/>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9" spans="2:4" x14ac:dyDescent="0.3">
      <c r="C9" s="27" t="s">
        <v>40</v>
      </c>
    </row>
    <row r="10" spans="2:4" x14ac:dyDescent="0.3">
      <c r="C10" s="56" t="s">
        <v>126</v>
      </c>
    </row>
    <row r="11" spans="2:4" x14ac:dyDescent="0.3">
      <c r="C11" s="56"/>
    </row>
    <row r="12" spans="2:4" x14ac:dyDescent="0.3">
      <c r="B12" s="1" t="s">
        <v>0</v>
      </c>
      <c r="C12" s="5" t="s">
        <v>269</v>
      </c>
    </row>
    <row r="13" spans="2:4" x14ac:dyDescent="0.3">
      <c r="C13" s="1" t="s">
        <v>620</v>
      </c>
    </row>
    <row r="14" spans="2:4" x14ac:dyDescent="0.3">
      <c r="C14" s="1" t="s">
        <v>700</v>
      </c>
    </row>
    <row r="15" spans="2:4" x14ac:dyDescent="0.3">
      <c r="C15" s="1" t="s">
        <v>701</v>
      </c>
    </row>
    <row r="16" spans="2:4" x14ac:dyDescent="0.3">
      <c r="C16" s="1" t="s">
        <v>702</v>
      </c>
    </row>
    <row r="17" spans="2:3" x14ac:dyDescent="0.3">
      <c r="C17" s="1" t="s">
        <v>703</v>
      </c>
    </row>
    <row r="18" spans="2:3" x14ac:dyDescent="0.3">
      <c r="C18" s="1" t="s">
        <v>778</v>
      </c>
    </row>
    <row r="20" spans="2:3" x14ac:dyDescent="0.3">
      <c r="B20" s="1" t="s">
        <v>260</v>
      </c>
      <c r="C20" t="s">
        <v>474</v>
      </c>
    </row>
    <row r="21" spans="2:3" x14ac:dyDescent="0.3">
      <c r="C21" s="1" t="s">
        <v>270</v>
      </c>
    </row>
    <row r="22" spans="2:3" x14ac:dyDescent="0.3">
      <c r="C22" s="1" t="s">
        <v>621</v>
      </c>
    </row>
    <row r="23" spans="2:3" x14ac:dyDescent="0.3">
      <c r="C23" s="1" t="s">
        <v>673</v>
      </c>
    </row>
    <row r="24" spans="2:3" x14ac:dyDescent="0.3">
      <c r="C24" s="1" t="s">
        <v>688</v>
      </c>
    </row>
    <row r="25" spans="2:3" x14ac:dyDescent="0.3">
      <c r="C25" s="1" t="s">
        <v>698</v>
      </c>
    </row>
    <row r="26" spans="2:3" x14ac:dyDescent="0.3">
      <c r="C26" s="1" t="s">
        <v>699</v>
      </c>
    </row>
    <row r="27" spans="2:3" x14ac:dyDescent="0.3">
      <c r="C27" s="1" t="s">
        <v>777</v>
      </c>
    </row>
    <row r="28" spans="2:3" x14ac:dyDescent="0.3">
      <c r="C28" s="1"/>
    </row>
    <row r="29" spans="2:3" x14ac:dyDescent="0.3">
      <c r="B29" s="1" t="s">
        <v>476</v>
      </c>
      <c r="C29" t="s">
        <v>474</v>
      </c>
    </row>
    <row r="30" spans="2:3" x14ac:dyDescent="0.3">
      <c r="C30" s="1" t="s">
        <v>492</v>
      </c>
    </row>
    <row r="31" spans="2:3" x14ac:dyDescent="0.3">
      <c r="C31" s="1" t="s">
        <v>493</v>
      </c>
    </row>
    <row r="32" spans="2:3" x14ac:dyDescent="0.3">
      <c r="C32" s="1" t="s">
        <v>515</v>
      </c>
    </row>
    <row r="33" spans="2:3" x14ac:dyDescent="0.3">
      <c r="C33" s="1"/>
    </row>
    <row r="34" spans="2:3" x14ac:dyDescent="0.3">
      <c r="B34" s="1" t="s">
        <v>603</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workbookViewId="0">
      <pane xSplit="5" ySplit="4" topLeftCell="F5" activePane="bottomRight" state="frozen"/>
      <selection pane="topRight" activeCell="F1" sqref="F1"/>
      <selection pane="bottomLeft" activeCell="A5" sqref="A5"/>
      <selection pane="bottomRight" activeCell="P5" sqref="P5"/>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6"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4.44140625" style="29" customWidth="1"/>
    <col min="13" max="13" width="8.6640625" style="29" customWidth="1"/>
    <col min="14" max="16384" width="9.109375" style="29"/>
  </cols>
  <sheetData>
    <row r="1" spans="2:15" ht="30" customHeight="1" x14ac:dyDescent="0.3">
      <c r="B1" s="5" t="s">
        <v>5</v>
      </c>
    </row>
    <row r="2" spans="2:15" ht="43.2" x14ac:dyDescent="0.3">
      <c r="E2" s="31" t="s">
        <v>120</v>
      </c>
      <c r="F2" s="98" t="s">
        <v>43</v>
      </c>
      <c r="G2" s="98" t="s">
        <v>121</v>
      </c>
      <c r="H2" s="98" t="s">
        <v>553</v>
      </c>
      <c r="I2" s="142" t="s">
        <v>806</v>
      </c>
      <c r="J2" s="151" t="s">
        <v>807</v>
      </c>
      <c r="K2" s="151" t="s">
        <v>810</v>
      </c>
      <c r="L2" s="151" t="s">
        <v>825</v>
      </c>
      <c r="M2" s="142" t="s">
        <v>808</v>
      </c>
    </row>
    <row r="3" spans="2:15" ht="32.4" customHeight="1" x14ac:dyDescent="0.3">
      <c r="E3" s="31" t="s">
        <v>38</v>
      </c>
      <c r="F3" s="97" t="s">
        <v>809</v>
      </c>
      <c r="G3" s="97" t="s">
        <v>118</v>
      </c>
      <c r="H3" s="97" t="s">
        <v>400</v>
      </c>
      <c r="I3" s="30" t="s">
        <v>812</v>
      </c>
      <c r="J3" s="30" t="s">
        <v>812</v>
      </c>
      <c r="K3" s="30" t="s">
        <v>812</v>
      </c>
      <c r="L3" s="30" t="s">
        <v>812</v>
      </c>
      <c r="M3" s="30" t="s">
        <v>811</v>
      </c>
      <c r="N3" s="30"/>
    </row>
    <row r="4" spans="2:15" ht="28.8" x14ac:dyDescent="0.3">
      <c r="B4" s="32" t="s">
        <v>39</v>
      </c>
      <c r="C4" s="32" t="s">
        <v>122</v>
      </c>
      <c r="D4" s="32" t="s">
        <v>41</v>
      </c>
      <c r="E4" s="33" t="s">
        <v>42</v>
      </c>
      <c r="F4" s="99" t="s">
        <v>43</v>
      </c>
      <c r="G4" s="99" t="s">
        <v>123</v>
      </c>
      <c r="H4" s="99" t="s">
        <v>401</v>
      </c>
      <c r="I4" s="30" t="s">
        <v>705</v>
      </c>
      <c r="J4" s="30" t="s">
        <v>626</v>
      </c>
      <c r="K4" s="30" t="s">
        <v>739</v>
      </c>
      <c r="L4" s="30" t="s">
        <v>813</v>
      </c>
      <c r="M4" s="30" t="s">
        <v>661</v>
      </c>
      <c r="N4" s="30"/>
    </row>
    <row r="5" spans="2:15" ht="28.8" x14ac:dyDescent="0.3">
      <c r="B5" s="96" t="s">
        <v>125</v>
      </c>
      <c r="C5" s="123" t="s">
        <v>126</v>
      </c>
      <c r="D5" s="97" t="s">
        <v>124</v>
      </c>
      <c r="E5" s="100" t="s">
        <v>619</v>
      </c>
      <c r="F5" s="97" t="s">
        <v>158</v>
      </c>
      <c r="G5" s="97" t="s">
        <v>44</v>
      </c>
      <c r="H5" s="97" t="s">
        <v>44</v>
      </c>
      <c r="L5" s="30"/>
    </row>
    <row r="6" spans="2:15" ht="43.2" x14ac:dyDescent="0.3">
      <c r="B6" s="29" t="s">
        <v>814</v>
      </c>
      <c r="C6" s="29" t="s">
        <v>816</v>
      </c>
      <c r="D6" s="30" t="s">
        <v>818</v>
      </c>
      <c r="E6" s="143" t="s">
        <v>819</v>
      </c>
      <c r="F6" s="30" t="s">
        <v>821</v>
      </c>
      <c r="I6" s="30" t="s">
        <v>44</v>
      </c>
      <c r="J6" s="30"/>
      <c r="K6" s="30" t="s">
        <v>44</v>
      </c>
      <c r="L6" s="30"/>
      <c r="M6" s="30"/>
      <c r="N6" s="30"/>
    </row>
    <row r="7" spans="2:15" ht="43.2" x14ac:dyDescent="0.3">
      <c r="B7" s="29" t="s">
        <v>815</v>
      </c>
      <c r="C7" s="29" t="s">
        <v>817</v>
      </c>
      <c r="D7" s="30" t="s">
        <v>818</v>
      </c>
      <c r="E7" s="143" t="s">
        <v>820</v>
      </c>
      <c r="F7" s="30" t="s">
        <v>822</v>
      </c>
      <c r="J7" s="30" t="s">
        <v>44</v>
      </c>
      <c r="K7" s="30" t="s">
        <v>44</v>
      </c>
      <c r="L7" s="30" t="s">
        <v>44</v>
      </c>
      <c r="M7" s="30" t="s">
        <v>44</v>
      </c>
      <c r="N7" s="30"/>
      <c r="O7" s="30"/>
    </row>
    <row r="9" spans="2:15" ht="43.2" x14ac:dyDescent="0.3">
      <c r="B9" s="141"/>
      <c r="D9" s="141" t="s">
        <v>290</v>
      </c>
      <c r="G9" s="144" t="s">
        <v>823</v>
      </c>
      <c r="K9" s="144"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154" t="s">
        <v>14</v>
      </c>
      <c r="B7" s="154"/>
      <c r="C7" s="154"/>
      <c r="D7" s="154"/>
      <c r="E7" s="154"/>
      <c r="F7" s="154"/>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154" t="s">
        <v>485</v>
      </c>
      <c r="B14" s="154"/>
      <c r="C14" s="154"/>
      <c r="D14" s="154"/>
      <c r="E14" s="154"/>
      <c r="F14" s="154"/>
    </row>
    <row r="15" spans="1:6" ht="15" thickTop="1" x14ac:dyDescent="0.3">
      <c r="A15" s="12" t="s">
        <v>21</v>
      </c>
      <c r="B15" s="12" t="s">
        <v>7</v>
      </c>
      <c r="C15" s="153" t="s">
        <v>470</v>
      </c>
      <c r="D15" s="153"/>
      <c r="E15" s="153"/>
      <c r="F15" s="12"/>
    </row>
    <row r="16" spans="1:6" x14ac:dyDescent="0.3">
      <c r="A16" t="s">
        <v>574</v>
      </c>
      <c r="B16" t="s">
        <v>575</v>
      </c>
    </row>
    <row r="20" spans="1:6" ht="15" thickBot="1" x14ac:dyDescent="0.35">
      <c r="A20" s="155" t="s">
        <v>24</v>
      </c>
      <c r="B20" s="155"/>
      <c r="C20" s="155"/>
      <c r="D20" s="155"/>
      <c r="E20" s="155"/>
      <c r="F20" s="155"/>
    </row>
    <row r="21" spans="1:6" ht="15" thickTop="1" x14ac:dyDescent="0.3">
      <c r="A21" s="8" t="s">
        <v>21</v>
      </c>
      <c r="B21" s="8" t="s">
        <v>7</v>
      </c>
      <c r="C21" s="153" t="s">
        <v>482</v>
      </c>
      <c r="D21" s="153"/>
      <c r="E21" s="153"/>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155" t="s">
        <v>468</v>
      </c>
      <c r="B26" s="155"/>
      <c r="C26" s="155"/>
      <c r="D26" s="155"/>
      <c r="E26" s="155"/>
      <c r="F26" s="155"/>
    </row>
    <row r="27" spans="1:6" ht="15" thickTop="1" x14ac:dyDescent="0.3">
      <c r="A27" s="8" t="s">
        <v>21</v>
      </c>
      <c r="B27" s="8" t="s">
        <v>7</v>
      </c>
      <c r="C27" s="153" t="s">
        <v>470</v>
      </c>
      <c r="D27" s="153"/>
      <c r="E27" s="153"/>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7"/>
  <sheetViews>
    <sheetView workbookViewId="0">
      <selection activeCell="F25" sqref="F2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4.44140625" style="3" bestFit="1" customWidth="1"/>
    <col min="7" max="7" width="10" style="3" bestFit="1" customWidth="1"/>
    <col min="8" max="8" width="70.5546875" style="3" customWidth="1"/>
    <col min="9" max="16384" width="21.5546875" style="3"/>
  </cols>
  <sheetData>
    <row r="1" spans="1:9" x14ac:dyDescent="0.3">
      <c r="A1" s="5" t="s">
        <v>5</v>
      </c>
    </row>
    <row r="2" spans="1:9" x14ac:dyDescent="0.3">
      <c r="A2" s="6" t="s">
        <v>127</v>
      </c>
      <c r="B2" s="6" t="s">
        <v>126</v>
      </c>
    </row>
    <row r="3" spans="1:9" x14ac:dyDescent="0.3">
      <c r="A3" s="6" t="s">
        <v>45</v>
      </c>
      <c r="B3" s="152" t="s">
        <v>905</v>
      </c>
      <c r="C3" s="152"/>
      <c r="D3" s="152"/>
      <c r="E3" s="152"/>
      <c r="F3" s="152"/>
      <c r="G3" s="152"/>
      <c r="H3" s="152"/>
    </row>
    <row r="4" spans="1:9" x14ac:dyDescent="0.3">
      <c r="D4" s="4"/>
    </row>
    <row r="5" spans="1:9" ht="28.8" x14ac:dyDescent="0.3">
      <c r="A5" s="35" t="s">
        <v>15</v>
      </c>
      <c r="B5" s="35" t="s">
        <v>16</v>
      </c>
      <c r="C5" s="35" t="s">
        <v>151</v>
      </c>
      <c r="D5" s="35" t="s">
        <v>7</v>
      </c>
      <c r="E5" s="35" t="s">
        <v>47</v>
      </c>
      <c r="F5" s="35" t="s">
        <v>48</v>
      </c>
      <c r="G5" s="35" t="s">
        <v>17</v>
      </c>
      <c r="H5" s="35" t="s">
        <v>52</v>
      </c>
    </row>
    <row r="6" spans="1:9" x14ac:dyDescent="0.3">
      <c r="A6" s="175" t="s">
        <v>892</v>
      </c>
      <c r="B6" s="175" t="s">
        <v>20</v>
      </c>
      <c r="C6" s="181" t="s">
        <v>155</v>
      </c>
      <c r="D6" s="175" t="s">
        <v>894</v>
      </c>
      <c r="E6" s="176" t="s">
        <v>878</v>
      </c>
      <c r="F6" s="170"/>
      <c r="G6" s="169">
        <v>1</v>
      </c>
    </row>
    <row r="7" spans="1:9" x14ac:dyDescent="0.3">
      <c r="A7" s="159" t="s">
        <v>705</v>
      </c>
      <c r="B7" s="159" t="s">
        <v>20</v>
      </c>
      <c r="C7" s="181" t="s">
        <v>345</v>
      </c>
      <c r="D7" s="159" t="s">
        <v>893</v>
      </c>
      <c r="E7" s="177" t="s">
        <v>98</v>
      </c>
      <c r="F7" s="170" t="s">
        <v>806</v>
      </c>
      <c r="G7" s="159">
        <v>1</v>
      </c>
    </row>
    <row r="8" spans="1:9" x14ac:dyDescent="0.3">
      <c r="A8" s="159" t="s">
        <v>877</v>
      </c>
      <c r="B8" s="159" t="s">
        <v>20</v>
      </c>
      <c r="C8" s="181" t="s">
        <v>345</v>
      </c>
      <c r="D8" s="159" t="s">
        <v>895</v>
      </c>
      <c r="E8" s="177"/>
      <c r="F8" s="170"/>
      <c r="G8" s="159">
        <v>22</v>
      </c>
    </row>
    <row r="9" spans="1:9" s="6" customFormat="1" x14ac:dyDescent="0.3">
      <c r="A9" s="159" t="s">
        <v>876</v>
      </c>
      <c r="B9" s="159" t="s">
        <v>20</v>
      </c>
      <c r="C9" s="181" t="s">
        <v>345</v>
      </c>
      <c r="D9" s="159" t="s">
        <v>896</v>
      </c>
      <c r="E9" s="177" t="s">
        <v>98</v>
      </c>
      <c r="F9" s="182" t="s">
        <v>810</v>
      </c>
      <c r="G9" s="159">
        <v>88</v>
      </c>
    </row>
    <row r="10" spans="1:9" s="61" customFormat="1" x14ac:dyDescent="0.3">
      <c r="A10" s="159" t="s">
        <v>875</v>
      </c>
      <c r="B10" s="159" t="s">
        <v>20</v>
      </c>
      <c r="C10" s="181" t="s">
        <v>345</v>
      </c>
      <c r="D10" s="159" t="s">
        <v>897</v>
      </c>
      <c r="E10" s="181" t="s">
        <v>98</v>
      </c>
      <c r="F10" s="170" t="s">
        <v>43</v>
      </c>
      <c r="G10" s="159">
        <v>22</v>
      </c>
    </row>
    <row r="11" spans="1:9" s="61" customFormat="1" x14ac:dyDescent="0.3">
      <c r="A11" s="159" t="s">
        <v>874</v>
      </c>
      <c r="B11" s="159" t="s">
        <v>900</v>
      </c>
      <c r="C11" s="181" t="s">
        <v>345</v>
      </c>
      <c r="D11" s="159" t="s">
        <v>898</v>
      </c>
      <c r="F11" s="180"/>
      <c r="G11" s="159">
        <v>23</v>
      </c>
    </row>
    <row r="12" spans="1:9" s="61" customFormat="1" x14ac:dyDescent="0.3">
      <c r="A12" s="159" t="s">
        <v>873</v>
      </c>
      <c r="B12" s="159" t="s">
        <v>20</v>
      </c>
      <c r="C12" s="181" t="s">
        <v>155</v>
      </c>
      <c r="D12" s="159" t="s">
        <v>899</v>
      </c>
      <c r="F12" s="180"/>
      <c r="G12" s="159">
        <v>2018</v>
      </c>
    </row>
    <row r="13" spans="1:9" s="61" customFormat="1" x14ac:dyDescent="0.3">
      <c r="A13" s="178" t="s">
        <v>148</v>
      </c>
      <c r="B13" s="178" t="s">
        <v>66</v>
      </c>
      <c r="C13" s="183" t="s">
        <v>155</v>
      </c>
      <c r="D13" s="179" t="s">
        <v>572</v>
      </c>
      <c r="E13" s="178"/>
      <c r="F13" s="178"/>
      <c r="G13" s="178"/>
      <c r="H13" s="178" t="s">
        <v>141</v>
      </c>
      <c r="I13" s="70"/>
    </row>
    <row r="14" spans="1:9" s="61" customFormat="1" x14ac:dyDescent="0.3">
      <c r="A14" s="178" t="s">
        <v>19</v>
      </c>
      <c r="B14" s="178" t="s">
        <v>20</v>
      </c>
      <c r="C14" s="183" t="s">
        <v>155</v>
      </c>
      <c r="D14" s="179" t="s">
        <v>147</v>
      </c>
      <c r="E14" s="178"/>
      <c r="F14" s="170" t="s">
        <v>30</v>
      </c>
      <c r="G14" s="178">
        <v>1</v>
      </c>
      <c r="H14" s="178" t="s">
        <v>141</v>
      </c>
      <c r="I14" s="70"/>
    </row>
    <row r="15" spans="1:9" s="61" customFormat="1" x14ac:dyDescent="0.3">
      <c r="A15" s="70"/>
      <c r="B15" s="70"/>
      <c r="C15" s="72"/>
      <c r="D15" s="71"/>
      <c r="E15" s="70"/>
      <c r="F15" s="170"/>
      <c r="G15" s="72"/>
      <c r="H15" s="70"/>
      <c r="I15" s="70"/>
    </row>
    <row r="16" spans="1:9" s="61" customFormat="1" x14ac:dyDescent="0.3">
      <c r="A16" s="70"/>
      <c r="B16" s="70"/>
      <c r="C16" s="72"/>
      <c r="D16" s="71"/>
      <c r="E16" s="70"/>
      <c r="F16" s="109"/>
      <c r="G16" s="72"/>
      <c r="H16" s="70"/>
      <c r="I16" s="70"/>
    </row>
    <row r="17" spans="1:9" s="66" customFormat="1" x14ac:dyDescent="0.3">
      <c r="A17" s="6" t="s">
        <v>374</v>
      </c>
      <c r="B17" s="3"/>
      <c r="C17" s="3"/>
      <c r="D17" s="3"/>
      <c r="E17" s="3"/>
      <c r="F17" s="3"/>
      <c r="G17" s="3"/>
      <c r="H17" s="3"/>
      <c r="I17" s="3"/>
    </row>
    <row r="18" spans="1:9" s="66" customFormat="1" x14ac:dyDescent="0.3">
      <c r="A18" s="73"/>
      <c r="B18" s="73"/>
      <c r="C18" s="73"/>
      <c r="D18" s="74"/>
      <c r="E18" s="73"/>
      <c r="F18" s="73"/>
      <c r="G18" s="73"/>
      <c r="H18" s="73"/>
      <c r="I18" s="73"/>
    </row>
    <row r="19" spans="1:9" s="66" customFormat="1" x14ac:dyDescent="0.3">
      <c r="B19" s="67"/>
      <c r="C19" s="61"/>
      <c r="D19" s="68"/>
      <c r="G19" s="69"/>
    </row>
    <row r="20" spans="1:9" s="66" customFormat="1" x14ac:dyDescent="0.3">
      <c r="B20" s="67"/>
      <c r="C20" s="61"/>
      <c r="D20" s="68"/>
      <c r="G20" s="69"/>
    </row>
    <row r="21" spans="1:9" s="66" customFormat="1" x14ac:dyDescent="0.3">
      <c r="B21" s="67"/>
      <c r="C21" s="61"/>
      <c r="D21" s="68"/>
      <c r="G21" s="69"/>
    </row>
    <row r="22" spans="1:9" s="70" customFormat="1" x14ac:dyDescent="0.3">
      <c r="C22" s="72"/>
      <c r="D22" s="71"/>
      <c r="F22" s="72"/>
      <c r="G22" s="72"/>
    </row>
    <row r="23" spans="1:9" s="70" customFormat="1" x14ac:dyDescent="0.3">
      <c r="C23" s="72"/>
      <c r="D23" s="71"/>
      <c r="F23" s="109"/>
      <c r="G23" s="72"/>
    </row>
    <row r="24" spans="1:9" s="70" customFormat="1" x14ac:dyDescent="0.3">
      <c r="C24" s="72"/>
      <c r="D24" s="71"/>
      <c r="F24" s="109"/>
      <c r="G24" s="72"/>
    </row>
    <row r="25" spans="1:9" s="70" customFormat="1" x14ac:dyDescent="0.3">
      <c r="C25" s="72"/>
      <c r="D25" s="71"/>
      <c r="F25" s="109"/>
      <c r="G25" s="72"/>
    </row>
    <row r="26" spans="1:9" x14ac:dyDescent="0.3">
      <c r="A26" s="6"/>
    </row>
    <row r="27" spans="1:9" s="73" customFormat="1" x14ac:dyDescent="0.3">
      <c r="D27" s="74"/>
    </row>
  </sheetData>
  <hyperlinks>
    <hyperlink ref="A1" location="Index!A1" display="Index" xr:uid="{8402A49E-D3E0-4037-920F-B02CE895AE24}"/>
    <hyperlink ref="F14" location="'Process Metadata'!A25" display="Import_Batch_Process_Task" xr:uid="{711F08C5-5B7C-4423-B885-52AEFB576C7B}"/>
    <hyperlink ref="F7" location="Employee_Dimension!A1" display="Employee" xr:uid="{6286886C-F575-44C3-BBC7-C293215BC447}"/>
    <hyperlink ref="F9" location="Project!A1" display="Project" xr:uid="{62B6770D-6301-4F22-9A86-2C8046C4CD99}"/>
    <hyperlink ref="F10"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A22" sqref="A22"/>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6" style="3" bestFit="1" customWidth="1"/>
    <col min="7" max="7" width="11.5546875" style="3" bestFit="1" customWidth="1"/>
    <col min="8" max="8" width="70.5546875" style="3" customWidth="1"/>
    <col min="9" max="16384" width="21.5546875" style="3"/>
  </cols>
  <sheetData>
    <row r="1" spans="1:8" x14ac:dyDescent="0.3">
      <c r="A1" s="5" t="s">
        <v>5</v>
      </c>
    </row>
    <row r="2" spans="1:8" x14ac:dyDescent="0.3">
      <c r="A2" s="6" t="s">
        <v>127</v>
      </c>
      <c r="B2" s="6" t="s">
        <v>826</v>
      </c>
    </row>
    <row r="3" spans="1:8" x14ac:dyDescent="0.3">
      <c r="A3" s="6" t="s">
        <v>45</v>
      </c>
      <c r="B3" s="145" t="s">
        <v>833</v>
      </c>
      <c r="C3" s="145"/>
      <c r="D3" s="145"/>
      <c r="E3" s="145"/>
      <c r="F3" s="145"/>
      <c r="G3" s="145"/>
      <c r="H3" s="145"/>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827</v>
      </c>
      <c r="B6" s="4" t="s">
        <v>20</v>
      </c>
      <c r="C6" s="3" t="s">
        <v>155</v>
      </c>
      <c r="D6" s="59" t="s">
        <v>828</v>
      </c>
      <c r="F6" s="5" t="s">
        <v>43</v>
      </c>
      <c r="G6" s="145">
        <v>20190125</v>
      </c>
      <c r="H6" s="3" t="s">
        <v>344</v>
      </c>
    </row>
    <row r="7" spans="1:8" x14ac:dyDescent="0.3">
      <c r="A7" s="3" t="s">
        <v>829</v>
      </c>
      <c r="B7" s="4" t="s">
        <v>20</v>
      </c>
      <c r="C7" s="3" t="s">
        <v>155</v>
      </c>
      <c r="D7" s="60" t="s">
        <v>830</v>
      </c>
      <c r="F7" s="5" t="s">
        <v>43</v>
      </c>
      <c r="G7" s="145">
        <v>20190125</v>
      </c>
    </row>
    <row r="8" spans="1:8" x14ac:dyDescent="0.3">
      <c r="A8" s="3" t="s">
        <v>831</v>
      </c>
      <c r="B8" s="4" t="s">
        <v>20</v>
      </c>
      <c r="C8" s="3" t="s">
        <v>155</v>
      </c>
      <c r="D8" s="60" t="s">
        <v>832</v>
      </c>
      <c r="F8" s="146"/>
      <c r="G8" s="145" t="s">
        <v>742</v>
      </c>
    </row>
    <row r="9" spans="1:8" s="6" customFormat="1" x14ac:dyDescent="0.3">
      <c r="A9" s="147" t="s">
        <v>847</v>
      </c>
      <c r="B9" s="4" t="s">
        <v>20</v>
      </c>
      <c r="C9" s="3" t="s">
        <v>155</v>
      </c>
      <c r="D9" s="147" t="s">
        <v>850</v>
      </c>
      <c r="E9" s="147"/>
      <c r="G9" s="147" t="s">
        <v>634</v>
      </c>
    </row>
    <row r="10" spans="1:8" s="61" customFormat="1" x14ac:dyDescent="0.3">
      <c r="A10" s="147" t="s">
        <v>848</v>
      </c>
      <c r="B10" s="4" t="s">
        <v>20</v>
      </c>
      <c r="C10" s="3" t="s">
        <v>155</v>
      </c>
      <c r="D10" s="147" t="s">
        <v>851</v>
      </c>
      <c r="E10" s="147"/>
      <c r="F10" s="147"/>
      <c r="G10" t="s">
        <v>853</v>
      </c>
      <c r="H10" s="147"/>
    </row>
    <row r="11" spans="1:8" s="61" customFormat="1" x14ac:dyDescent="0.3">
      <c r="A11" s="147" t="s">
        <v>849</v>
      </c>
      <c r="B11" s="4" t="s">
        <v>20</v>
      </c>
      <c r="C11" s="3" t="s">
        <v>155</v>
      </c>
      <c r="D11" s="147" t="s">
        <v>852</v>
      </c>
      <c r="E11" s="147"/>
      <c r="F11" s="147"/>
      <c r="G11" s="85">
        <v>5127095</v>
      </c>
      <c r="H11" s="147"/>
    </row>
    <row r="12" spans="1:8" s="61" customFormat="1" x14ac:dyDescent="0.3">
      <c r="A12" s="6" t="s">
        <v>834</v>
      </c>
      <c r="B12" s="7" t="s">
        <v>61</v>
      </c>
      <c r="C12" s="6" t="s">
        <v>155</v>
      </c>
      <c r="D12" s="110" t="s">
        <v>450</v>
      </c>
      <c r="E12" s="6" t="s">
        <v>55</v>
      </c>
      <c r="F12" s="6"/>
      <c r="G12" s="106"/>
      <c r="H12" s="6"/>
    </row>
    <row r="13" spans="1:8" s="61" customFormat="1" x14ac:dyDescent="0.3">
      <c r="A13" s="61" t="s">
        <v>835</v>
      </c>
      <c r="B13" s="62" t="s">
        <v>310</v>
      </c>
      <c r="C13" s="61" t="s">
        <v>345</v>
      </c>
      <c r="D13" s="63" t="s">
        <v>836</v>
      </c>
      <c r="G13" s="148">
        <v>12530</v>
      </c>
      <c r="H13" s="61" t="s">
        <v>840</v>
      </c>
    </row>
    <row r="14" spans="1:8" s="61" customFormat="1" x14ac:dyDescent="0.3">
      <c r="A14" s="61" t="s">
        <v>837</v>
      </c>
      <c r="B14" s="62" t="s">
        <v>310</v>
      </c>
      <c r="C14" s="61" t="s">
        <v>345</v>
      </c>
      <c r="D14" s="63" t="s">
        <v>838</v>
      </c>
      <c r="G14" s="148">
        <v>5360</v>
      </c>
      <c r="H14" s="61" t="s">
        <v>839</v>
      </c>
    </row>
    <row r="15" spans="1:8" s="61" customFormat="1" x14ac:dyDescent="0.3">
      <c r="A15" s="61" t="s">
        <v>841</v>
      </c>
      <c r="B15" s="62" t="s">
        <v>310</v>
      </c>
      <c r="C15" s="61" t="s">
        <v>345</v>
      </c>
      <c r="D15" s="63" t="s">
        <v>842</v>
      </c>
      <c r="G15" s="148">
        <v>1340</v>
      </c>
      <c r="H15" s="61" t="s">
        <v>843</v>
      </c>
    </row>
    <row r="16" spans="1:8" s="61" customFormat="1" x14ac:dyDescent="0.3">
      <c r="A16" s="61" t="s">
        <v>844</v>
      </c>
      <c r="B16" s="62" t="s">
        <v>310</v>
      </c>
      <c r="C16" s="61" t="s">
        <v>345</v>
      </c>
      <c r="D16" s="63" t="s">
        <v>845</v>
      </c>
      <c r="G16" s="64">
        <f>SUM(G13:G15)</f>
        <v>19230</v>
      </c>
      <c r="H16" s="61" t="s">
        <v>846</v>
      </c>
    </row>
    <row r="17" spans="1:8" s="70" customFormat="1" x14ac:dyDescent="0.3">
      <c r="A17" s="70" t="s">
        <v>148</v>
      </c>
      <c r="B17" s="70" t="s">
        <v>66</v>
      </c>
      <c r="C17" s="72" t="s">
        <v>155</v>
      </c>
      <c r="D17" s="71" t="s">
        <v>572</v>
      </c>
      <c r="F17" s="72"/>
      <c r="G17" s="72" t="s">
        <v>150</v>
      </c>
      <c r="H17" s="70" t="s">
        <v>141</v>
      </c>
    </row>
    <row r="18" spans="1:8" s="70" customFormat="1" x14ac:dyDescent="0.3">
      <c r="A18" s="70" t="s">
        <v>19</v>
      </c>
      <c r="B18" s="70" t="s">
        <v>20</v>
      </c>
      <c r="C18" s="72" t="s">
        <v>155</v>
      </c>
      <c r="D18" s="71" t="s">
        <v>147</v>
      </c>
      <c r="F18" s="109" t="s">
        <v>30</v>
      </c>
      <c r="G18" s="72">
        <v>1</v>
      </c>
      <c r="H18" s="70" t="s">
        <v>141</v>
      </c>
    </row>
    <row r="19" spans="1:8" s="70" customFormat="1" x14ac:dyDescent="0.3">
      <c r="C19" s="72"/>
      <c r="D19" s="71"/>
      <c r="F19" s="109"/>
      <c r="G19" s="72"/>
    </row>
    <row r="20" spans="1:8" s="70" customFormat="1" x14ac:dyDescent="0.3">
      <c r="C20" s="72"/>
      <c r="D20" s="71"/>
      <c r="F20" s="109"/>
      <c r="G20" s="72"/>
    </row>
    <row r="21" spans="1:8" x14ac:dyDescent="0.3">
      <c r="A21" s="6" t="s">
        <v>374</v>
      </c>
    </row>
    <row r="22" spans="1:8" s="73" customFormat="1" x14ac:dyDescent="0.3">
      <c r="D22" s="74"/>
    </row>
  </sheetData>
  <hyperlinks>
    <hyperlink ref="A1" location="Index!A1" display="Index" xr:uid="{FA15B678-0793-4DFD-9F5C-81B4068420A4}"/>
    <hyperlink ref="F6" location="Date!A1" display="Date" xr:uid="{E762CFFA-CCDD-49D8-A7EA-6CD06C0933E8}"/>
    <hyperlink ref="F18" location="'Process Metadata'!A25" display="Import_Batch_Process_Task" xr:uid="{B5D440B5-0249-4B6C-84A6-F36698C87CFD}"/>
    <hyperlink ref="F7" location="Date!A1" display="Date" xr:uid="{71F31C74-0A03-4B30-9D99-0E3629062544}"/>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C3" sqref="C3"/>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election activeCell="G13" sqref="G13"/>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156" t="s">
        <v>235</v>
      </c>
      <c r="C3" s="156"/>
      <c r="D3" s="156"/>
      <c r="E3" s="156"/>
      <c r="F3" s="156"/>
      <c r="G3" s="156"/>
      <c r="H3" s="156"/>
      <c r="I3" s="15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5" bestFit="1" customWidth="1"/>
    <col min="6" max="6" width="13.6640625" style="145" customWidth="1"/>
    <col min="7" max="7" width="28.33203125" style="145" bestFit="1" customWidth="1"/>
    <col min="8" max="8" width="27.6640625" style="145"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810</v>
      </c>
      <c r="C2" s="2" t="s">
        <v>128</v>
      </c>
    </row>
    <row r="3" spans="1:9" x14ac:dyDescent="0.3">
      <c r="A3" s="6" t="s">
        <v>45</v>
      </c>
      <c r="B3" s="156" t="s">
        <v>864</v>
      </c>
      <c r="C3" s="156"/>
      <c r="D3" s="156"/>
      <c r="E3" s="156"/>
      <c r="F3" s="156"/>
      <c r="G3" s="156"/>
      <c r="H3" s="156"/>
      <c r="I3" s="15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831</v>
      </c>
      <c r="B6" s="4" t="s">
        <v>20</v>
      </c>
      <c r="C6" s="4" t="s">
        <v>54</v>
      </c>
      <c r="D6" s="3" t="s">
        <v>55</v>
      </c>
      <c r="E6" s="145" t="s">
        <v>56</v>
      </c>
      <c r="F6" s="36"/>
      <c r="G6" s="36"/>
      <c r="H6" s="145">
        <v>341</v>
      </c>
    </row>
    <row r="7" spans="1:9" s="6" customFormat="1" x14ac:dyDescent="0.3">
      <c r="A7" s="104" t="s">
        <v>739</v>
      </c>
      <c r="B7" s="105" t="s">
        <v>66</v>
      </c>
      <c r="C7" s="105" t="s">
        <v>418</v>
      </c>
      <c r="D7" s="104" t="s">
        <v>131</v>
      </c>
      <c r="E7" s="106" t="s">
        <v>56</v>
      </c>
      <c r="F7" s="107"/>
      <c r="G7" s="107"/>
      <c r="H7" s="106" t="s">
        <v>863</v>
      </c>
      <c r="I7" s="104"/>
    </row>
    <row r="8" spans="1:9" s="45" customFormat="1" x14ac:dyDescent="0.3">
      <c r="A8" s="149" t="s">
        <v>745</v>
      </c>
      <c r="B8" s="150" t="s">
        <v>36</v>
      </c>
      <c r="C8" s="46" t="s">
        <v>861</v>
      </c>
      <c r="F8" s="47" t="s">
        <v>854</v>
      </c>
      <c r="G8" t="s">
        <v>765</v>
      </c>
      <c r="H8" t="s">
        <v>746</v>
      </c>
    </row>
    <row r="9" spans="1:9" s="45" customFormat="1" x14ac:dyDescent="0.3">
      <c r="A9" t="s">
        <v>748</v>
      </c>
      <c r="B9" s="2" t="s">
        <v>767</v>
      </c>
      <c r="C9" s="46" t="s">
        <v>862</v>
      </c>
      <c r="F9" s="47" t="s">
        <v>855</v>
      </c>
      <c r="G9" t="s">
        <v>768</v>
      </c>
      <c r="H9" t="s">
        <v>757</v>
      </c>
    </row>
    <row r="10" spans="1:9" s="45" customFormat="1" x14ac:dyDescent="0.3"/>
    <row r="11" spans="1:9" s="41" customFormat="1" x14ac:dyDescent="0.3">
      <c r="A11" s="41" t="s">
        <v>139</v>
      </c>
      <c r="B11" s="41" t="s">
        <v>57</v>
      </c>
      <c r="C11" s="42" t="s">
        <v>140</v>
      </c>
      <c r="E11" s="43" t="s">
        <v>56</v>
      </c>
      <c r="F11" s="44">
        <v>1</v>
      </c>
      <c r="G11" s="44">
        <v>1</v>
      </c>
      <c r="H11" s="82">
        <v>43101</v>
      </c>
      <c r="I11" s="41" t="s">
        <v>141</v>
      </c>
    </row>
    <row r="12" spans="1:9" s="41" customFormat="1" x14ac:dyDescent="0.3">
      <c r="A12" s="41" t="s">
        <v>142</v>
      </c>
      <c r="B12" s="41" t="s">
        <v>57</v>
      </c>
      <c r="C12" s="42" t="s">
        <v>143</v>
      </c>
      <c r="E12" s="43" t="s">
        <v>56</v>
      </c>
      <c r="F12" s="44">
        <v>401768</v>
      </c>
      <c r="G12" s="44">
        <v>401768</v>
      </c>
      <c r="H12" s="82">
        <v>401404</v>
      </c>
      <c r="I12" s="41" t="s">
        <v>141</v>
      </c>
    </row>
    <row r="13" spans="1:9" s="41" customFormat="1" x14ac:dyDescent="0.3">
      <c r="A13" s="41" t="s">
        <v>144</v>
      </c>
      <c r="B13" s="41" t="s">
        <v>145</v>
      </c>
      <c r="C13" s="42" t="s">
        <v>146</v>
      </c>
      <c r="E13" s="43" t="s">
        <v>56</v>
      </c>
      <c r="F13" s="43">
        <v>1</v>
      </c>
      <c r="G13" s="43">
        <v>1</v>
      </c>
      <c r="H13" s="145">
        <v>1</v>
      </c>
      <c r="I13" s="41" t="s">
        <v>141</v>
      </c>
    </row>
    <row r="14" spans="1:9" s="41" customFormat="1" ht="28.8" x14ac:dyDescent="0.3">
      <c r="A14" s="41" t="s">
        <v>148</v>
      </c>
      <c r="B14" s="41" t="s">
        <v>66</v>
      </c>
      <c r="C14" s="42" t="s">
        <v>149</v>
      </c>
      <c r="E14" s="43" t="s">
        <v>56</v>
      </c>
      <c r="F14" s="43" t="s">
        <v>150</v>
      </c>
      <c r="G14" s="43" t="s">
        <v>150</v>
      </c>
      <c r="H14" s="145" t="s">
        <v>150</v>
      </c>
      <c r="I14" s="41" t="s">
        <v>141</v>
      </c>
    </row>
    <row r="15" spans="1:9" s="41" customFormat="1" x14ac:dyDescent="0.3">
      <c r="A15" s="41" t="s">
        <v>19</v>
      </c>
      <c r="B15" s="41" t="s">
        <v>20</v>
      </c>
      <c r="C15" s="42" t="s">
        <v>147</v>
      </c>
      <c r="D15" s="41" t="s">
        <v>98</v>
      </c>
      <c r="E15" s="43" t="s">
        <v>56</v>
      </c>
      <c r="F15" s="43">
        <v>0</v>
      </c>
      <c r="G15" s="43">
        <v>0</v>
      </c>
      <c r="H15" s="43">
        <v>1</v>
      </c>
      <c r="I15" s="109"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C24" sqref="C24"/>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5" bestFit="1" customWidth="1"/>
    <col min="6" max="6" width="17.44140625" style="145" bestFit="1" customWidth="1"/>
    <col min="7" max="7" width="16.44140625" style="145" bestFit="1" customWidth="1"/>
    <col min="8" max="8" width="27.6640625" style="145"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750</v>
      </c>
      <c r="C2" s="2" t="s">
        <v>128</v>
      </c>
    </row>
    <row r="3" spans="1:9" x14ac:dyDescent="0.3">
      <c r="A3" s="6" t="s">
        <v>45</v>
      </c>
      <c r="B3" s="156" t="s">
        <v>856</v>
      </c>
      <c r="C3" s="156"/>
      <c r="D3" s="156"/>
      <c r="E3" s="156"/>
      <c r="F3" s="156"/>
      <c r="G3" s="156"/>
      <c r="H3" s="156"/>
      <c r="I3" s="15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848</v>
      </c>
      <c r="B6" s="4" t="s">
        <v>20</v>
      </c>
      <c r="C6" s="4" t="s">
        <v>54</v>
      </c>
      <c r="D6" s="3" t="s">
        <v>55</v>
      </c>
      <c r="E6" s="145" t="s">
        <v>56</v>
      </c>
      <c r="F6" s="36"/>
      <c r="G6" s="36"/>
      <c r="H6" s="145">
        <v>341</v>
      </c>
    </row>
    <row r="7" spans="1:9" s="6" customFormat="1" x14ac:dyDescent="0.3">
      <c r="A7" s="104" t="s">
        <v>857</v>
      </c>
      <c r="B7" s="105" t="s">
        <v>66</v>
      </c>
      <c r="C7" s="105" t="s">
        <v>418</v>
      </c>
      <c r="D7" s="104" t="s">
        <v>131</v>
      </c>
      <c r="E7" s="106" t="s">
        <v>56</v>
      </c>
      <c r="F7" s="107"/>
      <c r="G7" s="107"/>
      <c r="H7" s="106" t="s">
        <v>402</v>
      </c>
      <c r="I7" s="104"/>
    </row>
    <row r="8" spans="1:9" s="45" customFormat="1" x14ac:dyDescent="0.3">
      <c r="A8" s="45" t="s">
        <v>825</v>
      </c>
      <c r="B8" s="4" t="s">
        <v>36</v>
      </c>
      <c r="C8" s="46" t="s">
        <v>860</v>
      </c>
      <c r="E8" s="79">
        <v>2</v>
      </c>
      <c r="F8" s="47" t="s">
        <v>858</v>
      </c>
      <c r="G8" t="s">
        <v>859</v>
      </c>
      <c r="H8" s="145" t="s">
        <v>853</v>
      </c>
    </row>
    <row r="9" spans="1:9" s="45" customFormat="1" x14ac:dyDescent="0.3">
      <c r="B9" s="4"/>
      <c r="C9" s="46"/>
      <c r="E9" s="40"/>
      <c r="F9" s="47"/>
      <c r="G9" s="47"/>
      <c r="H9" s="145"/>
    </row>
    <row r="10" spans="1:9" s="41" customFormat="1" x14ac:dyDescent="0.3">
      <c r="A10" s="41" t="s">
        <v>139</v>
      </c>
      <c r="B10" s="41" t="s">
        <v>57</v>
      </c>
      <c r="C10" s="42" t="s">
        <v>140</v>
      </c>
      <c r="E10" s="43" t="s">
        <v>56</v>
      </c>
      <c r="F10" s="44">
        <v>1</v>
      </c>
      <c r="G10" s="44">
        <v>1</v>
      </c>
      <c r="H10" s="82">
        <v>43101</v>
      </c>
      <c r="I10" s="41" t="s">
        <v>141</v>
      </c>
    </row>
    <row r="11" spans="1:9" s="41" customFormat="1" x14ac:dyDescent="0.3">
      <c r="A11" s="41" t="s">
        <v>142</v>
      </c>
      <c r="B11" s="41" t="s">
        <v>57</v>
      </c>
      <c r="C11" s="42" t="s">
        <v>143</v>
      </c>
      <c r="E11" s="43" t="s">
        <v>56</v>
      </c>
      <c r="F11" s="44">
        <v>401768</v>
      </c>
      <c r="G11" s="44">
        <v>401768</v>
      </c>
      <c r="H11" s="82">
        <v>401404</v>
      </c>
      <c r="I11" s="41" t="s">
        <v>141</v>
      </c>
    </row>
    <row r="12" spans="1:9" s="41" customFormat="1" x14ac:dyDescent="0.3">
      <c r="A12" s="41" t="s">
        <v>144</v>
      </c>
      <c r="B12" s="41" t="s">
        <v>145</v>
      </c>
      <c r="C12" s="42" t="s">
        <v>146</v>
      </c>
      <c r="E12" s="43" t="s">
        <v>56</v>
      </c>
      <c r="F12" s="43">
        <v>1</v>
      </c>
      <c r="G12" s="43">
        <v>1</v>
      </c>
      <c r="H12" s="145">
        <v>1</v>
      </c>
      <c r="I12" s="41" t="s">
        <v>141</v>
      </c>
    </row>
    <row r="13" spans="1:9" s="41" customFormat="1" ht="28.8" x14ac:dyDescent="0.3">
      <c r="A13" s="41" t="s">
        <v>148</v>
      </c>
      <c r="B13" s="41" t="s">
        <v>66</v>
      </c>
      <c r="C13" s="42" t="s">
        <v>149</v>
      </c>
      <c r="E13" s="43" t="s">
        <v>56</v>
      </c>
      <c r="F13" s="43" t="s">
        <v>150</v>
      </c>
      <c r="G13" s="43" t="s">
        <v>150</v>
      </c>
      <c r="H13" s="145" t="s">
        <v>150</v>
      </c>
      <c r="I13" s="41" t="s">
        <v>141</v>
      </c>
    </row>
    <row r="14" spans="1:9" s="41" customFormat="1" x14ac:dyDescent="0.3">
      <c r="A14" s="41" t="s">
        <v>19</v>
      </c>
      <c r="B14" s="41" t="s">
        <v>20</v>
      </c>
      <c r="C14" s="42" t="s">
        <v>147</v>
      </c>
      <c r="D14" s="41" t="s">
        <v>98</v>
      </c>
      <c r="E14" s="43" t="s">
        <v>56</v>
      </c>
      <c r="F14" s="43">
        <v>0</v>
      </c>
      <c r="G14" s="43">
        <v>0</v>
      </c>
      <c r="H14" s="43">
        <v>1</v>
      </c>
      <c r="I14" s="109"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B23" sqref="B23"/>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52" bestFit="1" customWidth="1"/>
    <col min="6" max="6" width="13.6640625" style="152" customWidth="1"/>
    <col min="7" max="7" width="13.109375" style="152" customWidth="1"/>
    <col min="8" max="8" width="27.6640625" style="152"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906</v>
      </c>
      <c r="C2" s="184" t="s">
        <v>128</v>
      </c>
    </row>
    <row r="3" spans="1:9" x14ac:dyDescent="0.3">
      <c r="A3" s="6" t="s">
        <v>45</v>
      </c>
      <c r="B3" s="156" t="s">
        <v>907</v>
      </c>
      <c r="C3" s="156"/>
      <c r="D3" s="156"/>
      <c r="E3" s="156"/>
      <c r="F3" s="156"/>
      <c r="G3" s="156"/>
      <c r="H3" s="156"/>
      <c r="I3" s="15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160" t="s">
        <v>891</v>
      </c>
      <c r="B6" s="171" t="s">
        <v>20</v>
      </c>
      <c r="C6" s="163" t="s">
        <v>904</v>
      </c>
      <c r="D6" s="169" t="s">
        <v>55</v>
      </c>
      <c r="E6" s="169" t="s">
        <v>56</v>
      </c>
      <c r="F6" s="36"/>
      <c r="G6" s="36"/>
      <c r="H6" s="163">
        <v>1</v>
      </c>
    </row>
    <row r="7" spans="1:9" s="6" customFormat="1" x14ac:dyDescent="0.3">
      <c r="A7" s="161" t="s">
        <v>890</v>
      </c>
      <c r="B7" s="172" t="s">
        <v>61</v>
      </c>
      <c r="C7" s="164" t="s">
        <v>889</v>
      </c>
      <c r="D7" s="186" t="s">
        <v>131</v>
      </c>
      <c r="E7" s="181" t="s">
        <v>56</v>
      </c>
      <c r="F7" s="107"/>
      <c r="G7" s="107"/>
      <c r="H7" s="164" t="s">
        <v>888</v>
      </c>
      <c r="I7" s="104"/>
    </row>
    <row r="8" spans="1:9" s="45" customFormat="1" x14ac:dyDescent="0.3">
      <c r="A8" s="162" t="s">
        <v>887</v>
      </c>
      <c r="B8" s="173" t="s">
        <v>36</v>
      </c>
      <c r="C8" s="159" t="s">
        <v>886</v>
      </c>
      <c r="D8" s="187"/>
      <c r="E8" s="185">
        <v>2</v>
      </c>
      <c r="F8" s="47"/>
      <c r="G8" s="47"/>
      <c r="H8" s="159" t="s">
        <v>885</v>
      </c>
    </row>
    <row r="9" spans="1:9" s="45" customFormat="1" x14ac:dyDescent="0.3">
      <c r="A9" s="162" t="s">
        <v>884</v>
      </c>
      <c r="B9" s="173" t="s">
        <v>36</v>
      </c>
      <c r="C9" s="159" t="s">
        <v>883</v>
      </c>
      <c r="D9" s="187"/>
      <c r="E9" s="185">
        <v>2</v>
      </c>
      <c r="F9" s="47"/>
      <c r="G9" s="47"/>
      <c r="H9" s="159" t="s">
        <v>882</v>
      </c>
    </row>
    <row r="10" spans="1:9" s="45" customFormat="1" x14ac:dyDescent="0.3">
      <c r="A10" s="162" t="s">
        <v>881</v>
      </c>
      <c r="B10" s="174" t="s">
        <v>659</v>
      </c>
      <c r="C10" s="159" t="s">
        <v>880</v>
      </c>
      <c r="E10" s="185">
        <v>2</v>
      </c>
      <c r="F10" s="47"/>
      <c r="G10" s="47"/>
      <c r="H10" s="159" t="s">
        <v>879</v>
      </c>
    </row>
    <row r="11" spans="1:9" s="45" customFormat="1" x14ac:dyDescent="0.3">
      <c r="A11" s="165" t="s">
        <v>139</v>
      </c>
      <c r="B11" s="165" t="s">
        <v>57</v>
      </c>
      <c r="C11" s="166" t="s">
        <v>140</v>
      </c>
      <c r="D11" s="165"/>
      <c r="E11" s="165" t="s">
        <v>56</v>
      </c>
      <c r="F11" s="167">
        <v>1</v>
      </c>
      <c r="G11" s="167">
        <v>1</v>
      </c>
      <c r="H11" s="168">
        <v>43101</v>
      </c>
      <c r="I11" s="165" t="s">
        <v>141</v>
      </c>
    </row>
    <row r="12" spans="1:9" s="45" customFormat="1" x14ac:dyDescent="0.3">
      <c r="A12" s="165" t="s">
        <v>142</v>
      </c>
      <c r="B12" s="165" t="s">
        <v>57</v>
      </c>
      <c r="C12" s="166" t="s">
        <v>143</v>
      </c>
      <c r="D12" s="165"/>
      <c r="E12" s="165" t="s">
        <v>56</v>
      </c>
      <c r="F12" s="167">
        <v>401768</v>
      </c>
      <c r="G12" s="167">
        <v>401768</v>
      </c>
      <c r="H12" s="168">
        <v>401404</v>
      </c>
      <c r="I12" s="165" t="s">
        <v>141</v>
      </c>
    </row>
    <row r="13" spans="1:9" x14ac:dyDescent="0.3">
      <c r="A13" s="165" t="s">
        <v>144</v>
      </c>
      <c r="B13" s="165" t="s">
        <v>145</v>
      </c>
      <c r="C13" s="166" t="s">
        <v>146</v>
      </c>
      <c r="D13" s="165"/>
      <c r="E13" s="165" t="s">
        <v>56</v>
      </c>
      <c r="F13" s="165">
        <v>1</v>
      </c>
      <c r="G13" s="165">
        <v>1</v>
      </c>
      <c r="H13" s="169">
        <v>1</v>
      </c>
      <c r="I13" s="165" t="s">
        <v>141</v>
      </c>
    </row>
    <row r="14" spans="1:9" s="45" customFormat="1" ht="28.8" x14ac:dyDescent="0.3">
      <c r="A14" s="165" t="s">
        <v>148</v>
      </c>
      <c r="B14" s="165" t="s">
        <v>66</v>
      </c>
      <c r="C14" s="166" t="s">
        <v>149</v>
      </c>
      <c r="D14" s="165"/>
      <c r="E14" s="165" t="s">
        <v>56</v>
      </c>
      <c r="F14" s="165" t="s">
        <v>150</v>
      </c>
      <c r="G14" s="165" t="s">
        <v>150</v>
      </c>
      <c r="H14" s="169" t="s">
        <v>150</v>
      </c>
      <c r="I14" s="165" t="s">
        <v>141</v>
      </c>
    </row>
    <row r="15" spans="1:9" s="45" customFormat="1" x14ac:dyDescent="0.3">
      <c r="A15" s="165" t="s">
        <v>19</v>
      </c>
      <c r="B15" s="165" t="s">
        <v>20</v>
      </c>
      <c r="C15" s="166" t="s">
        <v>147</v>
      </c>
      <c r="D15" s="165" t="s">
        <v>98</v>
      </c>
      <c r="E15" s="165" t="s">
        <v>56</v>
      </c>
      <c r="F15" s="165">
        <v>0</v>
      </c>
      <c r="G15" s="165">
        <v>0</v>
      </c>
      <c r="H15" s="165">
        <v>1</v>
      </c>
      <c r="I15" s="170" t="s">
        <v>573</v>
      </c>
    </row>
    <row r="16" spans="1:9" s="45" customFormat="1" x14ac:dyDescent="0.3">
      <c r="B16" s="4"/>
      <c r="C16" s="46"/>
      <c r="E16" s="40"/>
      <c r="F16" s="47"/>
      <c r="G16" s="47"/>
      <c r="H16" s="152"/>
    </row>
    <row r="17" spans="1:9" s="45" customFormat="1" x14ac:dyDescent="0.3">
      <c r="B17" s="4"/>
      <c r="C17" s="2"/>
      <c r="E17" s="40"/>
      <c r="F17" s="47"/>
      <c r="G17" s="47"/>
      <c r="H17" s="152"/>
    </row>
    <row r="18" spans="1:9" s="45" customFormat="1" x14ac:dyDescent="0.3">
      <c r="B18" s="4"/>
      <c r="C18" s="46"/>
      <c r="E18" s="40"/>
      <c r="F18" s="47"/>
      <c r="G18" s="47"/>
      <c r="H18" s="152"/>
    </row>
    <row r="19" spans="1:9" s="45" customFormat="1" x14ac:dyDescent="0.3">
      <c r="B19" s="4"/>
      <c r="C19"/>
      <c r="E19" s="40"/>
      <c r="F19" s="47"/>
      <c r="G19" s="47"/>
      <c r="H19" s="152"/>
    </row>
    <row r="20" spans="1:9" s="45" customFormat="1" x14ac:dyDescent="0.3">
      <c r="A20"/>
      <c r="B20"/>
      <c r="C20"/>
      <c r="E20" s="40"/>
      <c r="F20" s="47"/>
      <c r="G20" s="47"/>
      <c r="H20" s="152"/>
    </row>
    <row r="21" spans="1:9" s="45" customFormat="1" x14ac:dyDescent="0.3">
      <c r="A21"/>
      <c r="B21"/>
      <c r="C21"/>
      <c r="E21" s="40"/>
      <c r="F21" s="47"/>
      <c r="G21" s="47"/>
      <c r="H21" s="152"/>
    </row>
    <row r="22" spans="1:9" s="45" customFormat="1" x14ac:dyDescent="0.3">
      <c r="A22"/>
      <c r="B22"/>
      <c r="C22"/>
      <c r="E22" s="40"/>
      <c r="F22" s="47"/>
      <c r="G22" s="47"/>
      <c r="H22" s="152"/>
    </row>
    <row r="23" spans="1:9" s="45" customFormat="1" x14ac:dyDescent="0.3">
      <c r="A23"/>
      <c r="B23"/>
      <c r="C23"/>
      <c r="E23" s="40"/>
      <c r="F23" s="47"/>
      <c r="G23" s="47"/>
      <c r="H23" s="152"/>
    </row>
    <row r="24" spans="1:9" s="45" customFormat="1" x14ac:dyDescent="0.3">
      <c r="A24"/>
      <c r="B24"/>
      <c r="C24"/>
      <c r="E24" s="40"/>
      <c r="F24" s="47"/>
      <c r="G24" s="47"/>
      <c r="H24" s="152"/>
    </row>
    <row r="25" spans="1:9" s="45" customFormat="1" x14ac:dyDescent="0.3">
      <c r="B25" s="4"/>
      <c r="C25" s="46"/>
      <c r="E25" s="40"/>
      <c r="F25" s="47"/>
      <c r="G25" s="47"/>
      <c r="H25" s="152"/>
    </row>
    <row r="26" spans="1:9" s="41" customFormat="1" x14ac:dyDescent="0.3">
      <c r="C26" s="42"/>
      <c r="E26" s="43"/>
      <c r="F26" s="44"/>
      <c r="G26" s="44"/>
      <c r="H26" s="82"/>
    </row>
    <row r="27" spans="1:9" s="41" customFormat="1" x14ac:dyDescent="0.3">
      <c r="C27" s="42"/>
      <c r="E27" s="43"/>
      <c r="F27" s="44"/>
      <c r="G27" s="44"/>
      <c r="H27" s="82"/>
    </row>
    <row r="28" spans="1:9" s="41" customFormat="1" x14ac:dyDescent="0.3">
      <c r="C28" s="42"/>
      <c r="E28" s="43"/>
      <c r="F28" s="43"/>
      <c r="G28" s="43"/>
      <c r="H28" s="152"/>
    </row>
    <row r="29" spans="1:9" s="41" customFormat="1" x14ac:dyDescent="0.3">
      <c r="C29" s="42"/>
      <c r="E29" s="43"/>
      <c r="F29" s="43"/>
      <c r="G29" s="43"/>
      <c r="H29" s="152"/>
    </row>
    <row r="30" spans="1:9" s="41" customFormat="1" x14ac:dyDescent="0.3">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14"/>
  <sheetViews>
    <sheetView topLeftCell="B1" zoomScaleNormal="100" workbookViewId="0">
      <selection activeCell="G19" sqref="G19"/>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5" bestFit="1" customWidth="1"/>
    <col min="6" max="6" width="19.5546875" style="145" bestFit="1" customWidth="1"/>
    <col min="7" max="7" width="24.5546875" style="145" bestFit="1" customWidth="1"/>
    <col min="8" max="8" width="27.6640625" style="145"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807</v>
      </c>
      <c r="C2" s="2" t="s">
        <v>128</v>
      </c>
    </row>
    <row r="3" spans="1:9" x14ac:dyDescent="0.3">
      <c r="A3" s="6" t="s">
        <v>45</v>
      </c>
      <c r="B3" s="156" t="s">
        <v>865</v>
      </c>
      <c r="C3" s="156"/>
      <c r="D3" s="156"/>
      <c r="E3" s="156"/>
      <c r="F3" s="156"/>
      <c r="G3" s="156"/>
      <c r="H3" s="156"/>
      <c r="I3" s="156"/>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866</v>
      </c>
      <c r="B6" s="4" t="s">
        <v>20</v>
      </c>
      <c r="C6" s="4" t="s">
        <v>54</v>
      </c>
      <c r="D6" s="3" t="s">
        <v>55</v>
      </c>
      <c r="E6" s="145" t="s">
        <v>56</v>
      </c>
      <c r="F6" s="36"/>
      <c r="G6" s="36"/>
      <c r="H6" s="145">
        <v>341</v>
      </c>
    </row>
    <row r="7" spans="1:9" s="6" customFormat="1" x14ac:dyDescent="0.3">
      <c r="A7" s="104" t="s">
        <v>626</v>
      </c>
      <c r="B7" s="105" t="s">
        <v>66</v>
      </c>
      <c r="C7" s="105" t="s">
        <v>418</v>
      </c>
      <c r="D7" s="104" t="s">
        <v>131</v>
      </c>
      <c r="E7" s="106" t="s">
        <v>56</v>
      </c>
      <c r="F7" s="107"/>
      <c r="G7" s="107"/>
      <c r="H7" s="106" t="s">
        <v>870</v>
      </c>
      <c r="I7" s="104"/>
    </row>
    <row r="8" spans="1:9" s="45" customFormat="1" x14ac:dyDescent="0.3">
      <c r="A8" s="45" t="s">
        <v>628</v>
      </c>
      <c r="B8" s="4" t="s">
        <v>659</v>
      </c>
      <c r="C8" s="46" t="s">
        <v>868</v>
      </c>
      <c r="E8" s="58">
        <v>1</v>
      </c>
      <c r="F8" s="47" t="s">
        <v>871</v>
      </c>
      <c r="G8" t="s">
        <v>662</v>
      </c>
      <c r="H8" t="s">
        <v>640</v>
      </c>
    </row>
    <row r="9" spans="1:9" s="45" customFormat="1" x14ac:dyDescent="0.3">
      <c r="A9" s="45" t="s">
        <v>867</v>
      </c>
      <c r="B9" s="4" t="s">
        <v>36</v>
      </c>
      <c r="C9" s="46" t="s">
        <v>869</v>
      </c>
      <c r="E9" s="79">
        <v>2</v>
      </c>
      <c r="F9" s="47" t="s">
        <v>872</v>
      </c>
      <c r="G9" t="s">
        <v>663</v>
      </c>
      <c r="H9" t="s">
        <v>641</v>
      </c>
    </row>
    <row r="10" spans="1:9" s="41" customFormat="1" x14ac:dyDescent="0.3">
      <c r="A10" s="41" t="s">
        <v>139</v>
      </c>
      <c r="B10" s="41" t="s">
        <v>57</v>
      </c>
      <c r="C10" s="42" t="s">
        <v>140</v>
      </c>
      <c r="E10" s="43" t="s">
        <v>56</v>
      </c>
      <c r="F10" s="44">
        <v>1</v>
      </c>
      <c r="G10" s="44">
        <v>1</v>
      </c>
      <c r="H10" s="82">
        <v>43101</v>
      </c>
      <c r="I10" s="41" t="s">
        <v>141</v>
      </c>
    </row>
    <row r="11" spans="1:9" s="41" customFormat="1" x14ac:dyDescent="0.3">
      <c r="A11" s="41" t="s">
        <v>142</v>
      </c>
      <c r="B11" s="41" t="s">
        <v>57</v>
      </c>
      <c r="C11" s="42" t="s">
        <v>143</v>
      </c>
      <c r="E11" s="43" t="s">
        <v>56</v>
      </c>
      <c r="F11" s="44">
        <v>401768</v>
      </c>
      <c r="G11" s="44">
        <v>401768</v>
      </c>
      <c r="H11" s="82">
        <v>401404</v>
      </c>
      <c r="I11" s="41" t="s">
        <v>141</v>
      </c>
    </row>
    <row r="12" spans="1:9" s="41" customFormat="1" x14ac:dyDescent="0.3">
      <c r="A12" s="41" t="s">
        <v>144</v>
      </c>
      <c r="B12" s="41" t="s">
        <v>145</v>
      </c>
      <c r="C12" s="42" t="s">
        <v>146</v>
      </c>
      <c r="E12" s="43" t="s">
        <v>56</v>
      </c>
      <c r="F12" s="43">
        <v>1</v>
      </c>
      <c r="G12" s="43">
        <v>1</v>
      </c>
      <c r="H12" s="145">
        <v>1</v>
      </c>
      <c r="I12" s="41" t="s">
        <v>141</v>
      </c>
    </row>
    <row r="13" spans="1:9" s="41" customFormat="1" ht="28.8" x14ac:dyDescent="0.3">
      <c r="A13" s="41" t="s">
        <v>148</v>
      </c>
      <c r="B13" s="41" t="s">
        <v>66</v>
      </c>
      <c r="C13" s="42" t="s">
        <v>149</v>
      </c>
      <c r="E13" s="43" t="s">
        <v>56</v>
      </c>
      <c r="F13" s="43" t="s">
        <v>150</v>
      </c>
      <c r="G13" s="43" t="s">
        <v>150</v>
      </c>
      <c r="H13" s="145" t="s">
        <v>150</v>
      </c>
      <c r="I13" s="41" t="s">
        <v>141</v>
      </c>
    </row>
    <row r="14" spans="1:9" s="41" customFormat="1" x14ac:dyDescent="0.3">
      <c r="A14" s="41" t="s">
        <v>19</v>
      </c>
      <c r="B14" s="41" t="s">
        <v>20</v>
      </c>
      <c r="C14" s="42" t="s">
        <v>147</v>
      </c>
      <c r="D14" s="41" t="s">
        <v>98</v>
      </c>
      <c r="E14" s="43" t="s">
        <v>56</v>
      </c>
      <c r="F14" s="43">
        <v>0</v>
      </c>
      <c r="G14" s="43">
        <v>0</v>
      </c>
      <c r="H14" s="43">
        <v>1</v>
      </c>
      <c r="I14" s="109" t="s">
        <v>573</v>
      </c>
    </row>
  </sheetData>
  <mergeCells count="1">
    <mergeCell ref="B3:I3"/>
  </mergeCells>
  <hyperlinks>
    <hyperlink ref="A1" location="Index!A1" display="Index" xr:uid="{BDFE1917-7BEB-4B2B-ADC4-70EB3929B98C}"/>
    <hyperlink ref="I14" location="'Process Metadata'!A25" display="Import_Batch_Process_Task" xr:uid="{E5DFCBD1-8DDD-46E4-9DA2-33A892110410}"/>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tabSelected="1" workbookViewId="0">
      <selection activeCell="A6" sqref="A6"/>
    </sheetView>
  </sheetViews>
  <sheetFormatPr defaultRowHeight="14.4" x14ac:dyDescent="0.3"/>
  <cols>
    <col min="1" max="1" width="31.33203125" customWidth="1"/>
    <col min="2" max="2" width="32.77734375" customWidth="1"/>
    <col min="3" max="3" width="9.5546875" bestFit="1" customWidth="1"/>
    <col min="4" max="4" width="36.44140625" customWidth="1"/>
    <col min="6" max="6" width="25.88671875" bestFit="1" customWidth="1"/>
    <col min="7" max="8" width="10.5546875" bestFit="1" customWidth="1"/>
    <col min="9" max="9" width="9.88671875" bestFit="1" customWidth="1"/>
    <col min="11" max="11" width="12.6640625" customWidth="1"/>
  </cols>
  <sheetData>
    <row r="1" spans="1:11" x14ac:dyDescent="0.3">
      <c r="A1" s="5" t="s">
        <v>5</v>
      </c>
      <c r="G1" s="85"/>
      <c r="H1" s="85"/>
    </row>
    <row r="2" spans="1:11" x14ac:dyDescent="0.3">
      <c r="A2" s="8" t="s">
        <v>127</v>
      </c>
      <c r="B2" t="s">
        <v>808</v>
      </c>
      <c r="C2" t="s">
        <v>901</v>
      </c>
    </row>
    <row r="3" spans="1:11" x14ac:dyDescent="0.3">
      <c r="A3" s="8" t="s">
        <v>45</v>
      </c>
      <c r="B3" s="85" t="s">
        <v>902</v>
      </c>
      <c r="C3" s="85"/>
      <c r="D3" s="85"/>
      <c r="E3" s="85"/>
      <c r="F3" s="85"/>
      <c r="G3" s="85"/>
      <c r="H3" s="85"/>
      <c r="I3" s="85"/>
      <c r="J3" s="85"/>
      <c r="K3" s="85"/>
    </row>
    <row r="4" spans="1:11" x14ac:dyDescent="0.3">
      <c r="G4" s="85"/>
      <c r="H4" s="85"/>
    </row>
    <row r="5" spans="1:11" ht="28.8" x14ac:dyDescent="0.3">
      <c r="A5" s="191" t="s">
        <v>15</v>
      </c>
      <c r="B5" s="191" t="s">
        <v>16</v>
      </c>
      <c r="C5" s="191" t="s">
        <v>464</v>
      </c>
      <c r="D5" s="191" t="s">
        <v>7</v>
      </c>
      <c r="E5" s="191" t="s">
        <v>47</v>
      </c>
      <c r="F5" s="191" t="s">
        <v>48</v>
      </c>
      <c r="G5" s="191" t="s">
        <v>49</v>
      </c>
      <c r="H5" s="191" t="s">
        <v>50</v>
      </c>
      <c r="I5" s="191" t="s">
        <v>51</v>
      </c>
      <c r="J5" s="191" t="s">
        <v>17</v>
      </c>
      <c r="K5" s="191" t="s">
        <v>52</v>
      </c>
    </row>
    <row r="6" spans="1:11" x14ac:dyDescent="0.3">
      <c r="A6" s="188" t="s">
        <v>849</v>
      </c>
      <c r="B6" s="189" t="s">
        <v>20</v>
      </c>
      <c r="C6" s="188" t="s">
        <v>155</v>
      </c>
      <c r="D6" s="188" t="s">
        <v>54</v>
      </c>
      <c r="E6" s="188" t="s">
        <v>55</v>
      </c>
      <c r="F6" s="188"/>
      <c r="G6" s="188" t="s">
        <v>56</v>
      </c>
      <c r="H6" s="188"/>
      <c r="I6" s="188"/>
      <c r="J6" s="188">
        <v>22</v>
      </c>
      <c r="K6" s="188"/>
    </row>
    <row r="7" spans="1:11" s="190" customFormat="1" x14ac:dyDescent="0.3">
      <c r="A7" s="188" t="s">
        <v>903</v>
      </c>
      <c r="B7" s="189" t="s">
        <v>20</v>
      </c>
      <c r="C7" s="188" t="s">
        <v>345</v>
      </c>
      <c r="D7" s="188" t="s">
        <v>418</v>
      </c>
      <c r="E7" s="188" t="s">
        <v>131</v>
      </c>
      <c r="F7" s="188"/>
      <c r="G7" s="188" t="s">
        <v>56</v>
      </c>
      <c r="H7" s="188">
        <v>0</v>
      </c>
      <c r="I7" s="188" t="s">
        <v>56</v>
      </c>
      <c r="J7" s="188">
        <v>5127095</v>
      </c>
      <c r="K7" s="188"/>
    </row>
    <row r="8" spans="1:11" x14ac:dyDescent="0.3">
      <c r="A8" s="165"/>
      <c r="B8" s="165"/>
      <c r="C8" s="166"/>
      <c r="D8" s="165"/>
      <c r="E8" s="165"/>
      <c r="F8" s="167"/>
      <c r="G8" s="167"/>
      <c r="H8" s="168"/>
      <c r="I8" s="165"/>
      <c r="J8" s="192"/>
      <c r="K8" s="190"/>
    </row>
    <row r="9" spans="1:11" ht="13.8" customHeight="1" x14ac:dyDescent="0.3">
      <c r="A9" s="165"/>
      <c r="B9" s="165"/>
      <c r="C9" s="166"/>
      <c r="D9" s="165"/>
      <c r="E9" s="165"/>
      <c r="F9" s="167"/>
      <c r="G9" s="167"/>
      <c r="H9" s="168"/>
      <c r="I9" s="165"/>
      <c r="J9" s="165"/>
      <c r="K9" s="165"/>
    </row>
    <row r="10" spans="1:11" ht="14.4" customHeight="1" x14ac:dyDescent="0.3">
      <c r="A10" s="165"/>
      <c r="B10" s="165"/>
      <c r="C10" s="166"/>
      <c r="D10" s="165"/>
      <c r="E10" s="165"/>
      <c r="F10" s="165"/>
      <c r="G10" s="165"/>
      <c r="H10" s="169"/>
      <c r="I10" s="165"/>
      <c r="J10" s="165"/>
      <c r="K10" s="165"/>
    </row>
    <row r="11" spans="1:11" ht="14.4" customHeight="1" x14ac:dyDescent="0.3">
      <c r="A11" s="165"/>
      <c r="B11" s="165"/>
      <c r="C11" s="166"/>
      <c r="D11" s="165"/>
      <c r="E11" s="165"/>
      <c r="F11" s="165"/>
      <c r="G11" s="165"/>
      <c r="H11" s="169"/>
      <c r="I11" s="165"/>
      <c r="J11" s="165"/>
      <c r="K11" s="165"/>
    </row>
    <row r="12" spans="1:11" ht="15.6" customHeight="1" x14ac:dyDescent="0.3">
      <c r="A12" s="165"/>
      <c r="B12" s="165"/>
      <c r="C12" s="166"/>
      <c r="D12" s="165"/>
      <c r="E12" s="165"/>
      <c r="F12" s="165"/>
      <c r="G12" s="165"/>
      <c r="H12" s="165"/>
      <c r="I12" s="170"/>
      <c r="J12" s="165"/>
      <c r="K12" s="165"/>
    </row>
    <row r="13" spans="1:11" ht="14.4" customHeight="1" x14ac:dyDescent="0.3">
      <c r="A13" s="169"/>
      <c r="B13" s="169"/>
      <c r="C13" s="193"/>
      <c r="D13" s="169"/>
      <c r="E13" s="169"/>
      <c r="F13" s="169"/>
      <c r="G13" s="169"/>
      <c r="H13" s="169"/>
      <c r="I13" s="169"/>
      <c r="J13" s="165"/>
      <c r="K13" s="165"/>
    </row>
    <row r="14" spans="1:11" x14ac:dyDescent="0.3">
      <c r="A14" s="190"/>
      <c r="B14" s="190"/>
      <c r="C14" s="190"/>
      <c r="D14" s="190"/>
      <c r="E14" s="190"/>
      <c r="F14" s="190"/>
      <c r="G14" s="190"/>
      <c r="H14" s="190"/>
      <c r="I14" s="190"/>
      <c r="J14" s="190"/>
      <c r="K14" s="190"/>
    </row>
    <row r="15" spans="1:11" x14ac:dyDescent="0.3">
      <c r="A15" s="190"/>
      <c r="B15" s="190"/>
      <c r="C15" s="190"/>
      <c r="D15" s="190"/>
      <c r="E15" s="190"/>
      <c r="F15" s="190"/>
      <c r="G15" s="190"/>
      <c r="H15" s="190"/>
      <c r="I15" s="190"/>
      <c r="J15" s="190"/>
      <c r="K15" s="190"/>
    </row>
    <row r="16" spans="1:11" x14ac:dyDescent="0.3">
      <c r="A16" s="190"/>
      <c r="B16" s="190"/>
      <c r="C16" s="190"/>
      <c r="D16" s="190"/>
      <c r="E16" s="190"/>
      <c r="F16" s="190"/>
      <c r="G16" s="190"/>
      <c r="H16" s="190"/>
      <c r="I16" s="190"/>
      <c r="J16" s="190"/>
      <c r="K16" s="190"/>
    </row>
    <row r="17" spans="1:11" x14ac:dyDescent="0.3">
      <c r="A17" s="190"/>
      <c r="B17" s="190"/>
      <c r="C17" s="190"/>
      <c r="D17" s="190"/>
      <c r="E17" s="190"/>
      <c r="F17" s="190"/>
      <c r="G17" s="190"/>
      <c r="H17" s="190"/>
      <c r="I17" s="190"/>
      <c r="J17" s="190"/>
      <c r="K17" s="190"/>
    </row>
    <row r="18" spans="1:11" x14ac:dyDescent="0.3">
      <c r="A18" s="190"/>
      <c r="B18" s="190"/>
      <c r="C18" s="190"/>
      <c r="D18" s="190"/>
      <c r="E18" s="190"/>
      <c r="F18" s="190"/>
      <c r="G18" s="190"/>
      <c r="H18" s="190"/>
      <c r="I18" s="190"/>
      <c r="J18" s="190"/>
      <c r="K18" s="190"/>
    </row>
    <row r="19" spans="1:11" x14ac:dyDescent="0.3">
      <c r="A19" s="190"/>
      <c r="B19" s="190"/>
      <c r="C19" s="190"/>
      <c r="D19" s="190"/>
      <c r="E19" s="190"/>
      <c r="F19" s="190"/>
      <c r="G19" s="190"/>
      <c r="H19" s="190"/>
      <c r="I19" s="190"/>
      <c r="J19" s="190"/>
      <c r="K19" s="190"/>
    </row>
    <row r="20" spans="1:11" x14ac:dyDescent="0.3">
      <c r="A20" s="190"/>
      <c r="B20" s="190"/>
      <c r="C20" s="190"/>
      <c r="D20" s="190"/>
      <c r="E20" s="190"/>
      <c r="F20" s="190"/>
      <c r="G20" s="190"/>
      <c r="H20" s="190"/>
      <c r="I20" s="190"/>
      <c r="J20" s="190"/>
      <c r="K20" s="190"/>
    </row>
    <row r="21" spans="1:11" x14ac:dyDescent="0.3">
      <c r="A21" s="190"/>
      <c r="B21" s="190"/>
      <c r="C21" s="190"/>
      <c r="D21" s="190"/>
      <c r="E21" s="190"/>
      <c r="F21" s="190"/>
      <c r="G21" s="190"/>
      <c r="H21" s="190"/>
      <c r="I21" s="190"/>
      <c r="J21" s="190"/>
      <c r="K21" s="190"/>
    </row>
    <row r="22" spans="1:11" x14ac:dyDescent="0.3">
      <c r="A22" s="190"/>
      <c r="B22" s="190"/>
      <c r="C22" s="190"/>
      <c r="D22" s="190"/>
      <c r="E22" s="190"/>
      <c r="F22" s="190"/>
      <c r="G22" s="190"/>
      <c r="H22" s="190"/>
      <c r="I22" s="190"/>
      <c r="J22" s="190"/>
      <c r="K22" s="190"/>
    </row>
    <row r="23" spans="1:11" x14ac:dyDescent="0.3">
      <c r="A23" s="190"/>
      <c r="B23" s="190"/>
      <c r="C23" s="190"/>
      <c r="D23" s="190"/>
      <c r="E23" s="190"/>
      <c r="F23" s="190"/>
      <c r="G23" s="190"/>
      <c r="H23" s="190"/>
      <c r="I23" s="190"/>
      <c r="J23" s="190"/>
      <c r="K23" s="190"/>
    </row>
    <row r="24" spans="1:11" x14ac:dyDescent="0.3">
      <c r="A24" s="190"/>
      <c r="B24" s="190"/>
      <c r="C24" s="190"/>
      <c r="D24" s="190"/>
      <c r="E24" s="190"/>
      <c r="F24" s="190"/>
      <c r="G24" s="190"/>
      <c r="H24" s="190"/>
      <c r="I24" s="190"/>
      <c r="J24" s="190"/>
      <c r="K24" s="190"/>
    </row>
    <row r="25" spans="1:11" x14ac:dyDescent="0.3">
      <c r="A25" s="190"/>
      <c r="B25" s="190"/>
      <c r="C25" s="190"/>
      <c r="D25" s="190"/>
      <c r="E25" s="190"/>
      <c r="F25" s="190"/>
      <c r="G25" s="190"/>
      <c r="H25" s="190"/>
      <c r="I25" s="190"/>
      <c r="J25" s="190"/>
      <c r="K25" s="190"/>
    </row>
    <row r="26" spans="1:11" x14ac:dyDescent="0.3">
      <c r="A26" s="190"/>
      <c r="B26" s="190"/>
      <c r="C26" s="190"/>
      <c r="D26" s="190"/>
      <c r="E26" s="190"/>
      <c r="F26" s="190"/>
      <c r="G26" s="190"/>
      <c r="H26" s="190"/>
      <c r="I26" s="190"/>
      <c r="J26" s="190"/>
      <c r="K26" s="190"/>
    </row>
    <row r="27" spans="1:11" x14ac:dyDescent="0.3">
      <c r="A27" s="190"/>
      <c r="B27" s="190"/>
      <c r="C27" s="190"/>
      <c r="D27" s="190"/>
      <c r="E27" s="190"/>
      <c r="F27" s="190"/>
      <c r="G27" s="190"/>
      <c r="H27" s="190"/>
      <c r="I27" s="190"/>
      <c r="J27" s="190"/>
      <c r="K27" s="190"/>
    </row>
    <row r="28" spans="1:11" x14ac:dyDescent="0.3">
      <c r="A28" s="190"/>
      <c r="B28" s="190"/>
      <c r="C28" s="190"/>
      <c r="D28" s="190"/>
      <c r="E28" s="190"/>
      <c r="F28" s="190"/>
      <c r="G28" s="190"/>
      <c r="H28" s="190"/>
      <c r="I28" s="190"/>
      <c r="J28" s="190"/>
      <c r="K28" s="190"/>
    </row>
    <row r="29" spans="1:11" x14ac:dyDescent="0.3">
      <c r="A29" s="190"/>
      <c r="B29" s="190"/>
      <c r="C29" s="190"/>
      <c r="D29" s="190"/>
      <c r="E29" s="190"/>
      <c r="F29" s="190"/>
      <c r="G29" s="190"/>
      <c r="H29" s="190"/>
      <c r="I29" s="190"/>
      <c r="J29" s="190"/>
      <c r="K29" s="190"/>
    </row>
    <row r="30" spans="1:11" x14ac:dyDescent="0.3">
      <c r="A30" s="190"/>
      <c r="B30" s="190"/>
      <c r="C30" s="190"/>
      <c r="D30" s="190"/>
      <c r="E30" s="190"/>
      <c r="F30" s="190"/>
      <c r="G30" s="190"/>
      <c r="H30" s="190"/>
      <c r="I30" s="190"/>
      <c r="J30" s="190"/>
      <c r="K30" s="190"/>
    </row>
    <row r="31" spans="1:11" x14ac:dyDescent="0.3">
      <c r="A31" s="190"/>
      <c r="B31" s="190"/>
      <c r="C31" s="190"/>
      <c r="D31" s="190"/>
      <c r="E31" s="190"/>
      <c r="F31" s="190"/>
      <c r="G31" s="190"/>
      <c r="H31" s="190"/>
      <c r="I31" s="190"/>
      <c r="J31" s="190"/>
      <c r="K31" s="190"/>
    </row>
    <row r="32" spans="1:11" x14ac:dyDescent="0.3">
      <c r="A32" s="190"/>
      <c r="B32" s="190"/>
      <c r="C32" s="190"/>
      <c r="D32" s="190"/>
      <c r="E32" s="190"/>
      <c r="F32" s="190"/>
      <c r="G32" s="190"/>
      <c r="H32" s="190"/>
      <c r="I32" s="190"/>
      <c r="J32" s="190"/>
      <c r="K32" s="190"/>
    </row>
    <row r="33" spans="1:11" x14ac:dyDescent="0.3">
      <c r="A33" s="190"/>
      <c r="B33" s="190"/>
      <c r="C33" s="190"/>
      <c r="D33" s="190"/>
      <c r="E33" s="190"/>
      <c r="F33" s="190"/>
      <c r="G33" s="190"/>
      <c r="H33" s="190"/>
      <c r="I33" s="190"/>
      <c r="J33" s="190"/>
      <c r="K33" s="190"/>
    </row>
  </sheetData>
  <hyperlinks>
    <hyperlink ref="A1" location="Index!A1" display="Index" xr:uid="{6EB1584E-C9F2-4C88-A326-48C65E8BE6C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156" t="s">
        <v>409</v>
      </c>
      <c r="C3" s="156"/>
      <c r="D3" s="156"/>
      <c r="E3" s="156"/>
      <c r="F3" s="156"/>
      <c r="G3" s="156"/>
      <c r="H3" s="156"/>
      <c r="I3" s="156"/>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154" t="s">
        <v>14</v>
      </c>
      <c r="B8" s="154"/>
      <c r="C8" s="154"/>
      <c r="D8" s="154"/>
      <c r="E8" s="154"/>
      <c r="F8" s="154"/>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154" t="s">
        <v>485</v>
      </c>
      <c r="B18" s="154"/>
      <c r="C18" s="154"/>
      <c r="D18" s="154"/>
      <c r="E18" s="154"/>
      <c r="F18" s="154"/>
    </row>
    <row r="19" spans="1:6" ht="15" thickTop="1" x14ac:dyDescent="0.3">
      <c r="A19" s="12" t="s">
        <v>21</v>
      </c>
      <c r="B19" s="12" t="s">
        <v>7</v>
      </c>
      <c r="C19" s="153" t="s">
        <v>470</v>
      </c>
      <c r="D19" s="153"/>
      <c r="E19" s="153"/>
      <c r="F19" s="12"/>
    </row>
    <row r="20" spans="1:6" ht="28.8" x14ac:dyDescent="0.3">
      <c r="A20" t="s">
        <v>472</v>
      </c>
      <c r="B20" s="2" t="s">
        <v>533</v>
      </c>
      <c r="C20" t="s">
        <v>270</v>
      </c>
    </row>
    <row r="21" spans="1:6" ht="28.8" x14ac:dyDescent="0.3">
      <c r="A21" t="s">
        <v>473</v>
      </c>
      <c r="B21" s="2" t="s">
        <v>534</v>
      </c>
      <c r="C21" t="s">
        <v>270</v>
      </c>
    </row>
    <row r="23" spans="1:6" ht="15" thickBot="1" x14ac:dyDescent="0.35">
      <c r="A23" s="155" t="s">
        <v>24</v>
      </c>
      <c r="B23" s="155"/>
      <c r="C23" s="155"/>
      <c r="D23" s="155"/>
      <c r="E23" s="155"/>
      <c r="F23" s="155"/>
    </row>
    <row r="24" spans="1:6" ht="15" thickTop="1" x14ac:dyDescent="0.3">
      <c r="A24" s="8" t="s">
        <v>21</v>
      </c>
      <c r="B24" s="8" t="s">
        <v>7</v>
      </c>
      <c r="C24" s="153" t="s">
        <v>482</v>
      </c>
      <c r="D24" s="153"/>
      <c r="E24" s="153"/>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155" t="s">
        <v>468</v>
      </c>
      <c r="B29" s="155"/>
      <c r="C29" s="155"/>
      <c r="D29" s="155"/>
      <c r="E29" s="155"/>
      <c r="F29" s="155"/>
    </row>
    <row r="30" spans="1:6" ht="15" thickTop="1" x14ac:dyDescent="0.3">
      <c r="A30" s="8" t="s">
        <v>21</v>
      </c>
      <c r="B30" s="8" t="s">
        <v>7</v>
      </c>
      <c r="C30" s="153" t="s">
        <v>470</v>
      </c>
      <c r="D30" s="153"/>
      <c r="E30" s="153"/>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election activeCell="D6" sqref="D6:E7"/>
    </sheetView>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election activeCell="D14" sqref="D14"/>
    </sheetView>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154" t="s">
        <v>14</v>
      </c>
      <c r="B8" s="154"/>
      <c r="C8" s="154"/>
      <c r="D8" s="154"/>
      <c r="E8" s="154"/>
      <c r="F8" s="154"/>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154" t="s">
        <v>485</v>
      </c>
      <c r="B14" s="154"/>
      <c r="C14" s="154"/>
      <c r="D14" s="154"/>
      <c r="E14" s="154"/>
      <c r="F14" s="154"/>
    </row>
    <row r="15" spans="1:6" ht="15" thickTop="1" x14ac:dyDescent="0.3">
      <c r="A15" s="12" t="s">
        <v>21</v>
      </c>
      <c r="B15" s="12" t="s">
        <v>7</v>
      </c>
      <c r="C15" s="153" t="s">
        <v>470</v>
      </c>
      <c r="D15" s="153"/>
      <c r="E15" s="153"/>
      <c r="F15" s="12"/>
    </row>
    <row r="16" spans="1:6" x14ac:dyDescent="0.3">
      <c r="A16" t="s">
        <v>531</v>
      </c>
      <c r="B16" t="s">
        <v>532</v>
      </c>
      <c r="C16" t="s">
        <v>515</v>
      </c>
    </row>
    <row r="20" spans="1:6" ht="15" thickBot="1" x14ac:dyDescent="0.35">
      <c r="A20" s="155" t="s">
        <v>24</v>
      </c>
      <c r="B20" s="155"/>
      <c r="C20" s="155"/>
      <c r="D20" s="155"/>
      <c r="E20" s="155"/>
      <c r="F20" s="155"/>
    </row>
    <row r="21" spans="1:6" ht="15" thickTop="1" x14ac:dyDescent="0.3">
      <c r="A21" s="8" t="s">
        <v>21</v>
      </c>
      <c r="B21" s="8" t="s">
        <v>7</v>
      </c>
      <c r="C21" s="153" t="s">
        <v>482</v>
      </c>
      <c r="D21" s="153"/>
      <c r="E21" s="153"/>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155" t="s">
        <v>468</v>
      </c>
      <c r="B26" s="155"/>
      <c r="C26" s="155"/>
      <c r="D26" s="155"/>
      <c r="E26" s="155"/>
      <c r="F26" s="155"/>
    </row>
    <row r="27" spans="1:6" ht="15" thickTop="1" x14ac:dyDescent="0.3">
      <c r="A27" s="8" t="s">
        <v>21</v>
      </c>
      <c r="B27" s="8" t="s">
        <v>7</v>
      </c>
      <c r="C27" s="153" t="s">
        <v>470</v>
      </c>
      <c r="D27" s="153"/>
      <c r="E27" s="153"/>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157" t="s">
        <v>497</v>
      </c>
      <c r="B10" s="157"/>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158" t="s">
        <v>467</v>
      </c>
    </row>
    <row r="7" spans="1:10" x14ac:dyDescent="0.3">
      <c r="A7" t="s">
        <v>96</v>
      </c>
      <c r="B7" t="s">
        <v>20</v>
      </c>
      <c r="D7" t="s">
        <v>11</v>
      </c>
      <c r="F7" t="s">
        <v>95</v>
      </c>
      <c r="J7" s="158"/>
    </row>
    <row r="8" spans="1:10" x14ac:dyDescent="0.3">
      <c r="A8" t="s">
        <v>94</v>
      </c>
      <c r="B8" t="s">
        <v>36</v>
      </c>
      <c r="F8" t="s">
        <v>93</v>
      </c>
      <c r="J8" s="158"/>
    </row>
    <row r="9" spans="1:10" x14ac:dyDescent="0.3">
      <c r="A9" t="s">
        <v>92</v>
      </c>
      <c r="B9" t="s">
        <v>67</v>
      </c>
      <c r="F9" t="s">
        <v>462</v>
      </c>
      <c r="J9" s="158"/>
    </row>
    <row r="10" spans="1:10" x14ac:dyDescent="0.3">
      <c r="A10" t="s">
        <v>91</v>
      </c>
      <c r="B10" t="s">
        <v>67</v>
      </c>
      <c r="F10" t="s">
        <v>463</v>
      </c>
      <c r="J10" s="158"/>
    </row>
    <row r="11" spans="1:10" x14ac:dyDescent="0.3">
      <c r="A11" t="s">
        <v>90</v>
      </c>
      <c r="B11" t="s">
        <v>87</v>
      </c>
      <c r="F11" t="s">
        <v>89</v>
      </c>
      <c r="J11" s="158"/>
    </row>
    <row r="12" spans="1:10" x14ac:dyDescent="0.3">
      <c r="A12" t="s">
        <v>88</v>
      </c>
      <c r="B12" t="s">
        <v>87</v>
      </c>
      <c r="C12" t="s">
        <v>11</v>
      </c>
      <c r="F12" t="s">
        <v>86</v>
      </c>
      <c r="J12" s="158"/>
    </row>
    <row r="13" spans="1:10" x14ac:dyDescent="0.3">
      <c r="A13" t="s">
        <v>85</v>
      </c>
      <c r="B13" t="s">
        <v>66</v>
      </c>
      <c r="F13" t="s">
        <v>84</v>
      </c>
      <c r="J13" s="158"/>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Index</vt:lpstr>
      <vt:lpstr>Naming Conventions</vt:lpstr>
      <vt:lpstr>Bus Matrix</vt:lpstr>
      <vt:lpstr>AtomicDW</vt:lpstr>
      <vt:lpstr>Stock_Take_Fact</vt:lpstr>
      <vt:lpstr>Employee_TimeSheet_Fact</vt:lpstr>
      <vt:lpstr>Project_Management_Fact</vt:lpstr>
      <vt:lpstr>Date</vt:lpstr>
      <vt:lpstr>Date records</vt:lpstr>
      <vt:lpstr>Material</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2022-05-17T14:46:17Z</dcterms:modified>
</cp:coreProperties>
</file>