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iagrams/data1.xml" ContentType="application/vnd.openxmlformats-officedocument.drawingml.diagramData+xml"/>
  <Override PartName="/xl/diagrams/layout1.xml" ContentType="application/vnd.openxmlformats-officedocument.drawingml.diagramLayout+xml"/>
  <Override PartName="/xl/diagrams/quickStyle1.xml" ContentType="application/vnd.openxmlformats-officedocument.drawingml.diagramStyle+xml"/>
  <Override PartName="/xl/diagrams/colors1.xml" ContentType="application/vnd.openxmlformats-officedocument.drawingml.diagramColors+xml"/>
  <Override PartName="/xl/diagrams/drawing1.xml" ContentType="application/vnd.ms-office.drawingml.diagramDrawing+xml"/>
  <Override PartName="/xl/diagrams/data2.xml" ContentType="application/vnd.openxmlformats-officedocument.drawingml.diagramData+xml"/>
  <Override PartName="/xl/diagrams/layout2.xml" ContentType="application/vnd.openxmlformats-officedocument.drawingml.diagramLayout+xml"/>
  <Override PartName="/xl/diagrams/quickStyle2.xml" ContentType="application/vnd.openxmlformats-officedocument.drawingml.diagramStyle+xml"/>
  <Override PartName="/xl/diagrams/colors2.xml" ContentType="application/vnd.openxmlformats-officedocument.drawingml.diagramColors+xml"/>
  <Override PartName="/xl/diagrams/drawing2.xml" ContentType="application/vnd.ms-office.drawingml.diagramDrawing+xml"/>
  <Override PartName="/xl/diagrams/data3.xml" ContentType="application/vnd.openxmlformats-officedocument.drawingml.diagramData+xml"/>
  <Override PartName="/xl/diagrams/layout3.xml" ContentType="application/vnd.openxmlformats-officedocument.drawingml.diagramLayout+xml"/>
  <Override PartName="/xl/diagrams/quickStyle3.xml" ContentType="application/vnd.openxmlformats-officedocument.drawingml.diagramStyle+xml"/>
  <Override PartName="/xl/diagrams/colors3.xml" ContentType="application/vnd.openxmlformats-officedocument.drawingml.diagramColors+xml"/>
  <Override PartName="/xl/diagrams/drawing3.xml" ContentType="application/vnd.ms-office.drawingml.diagram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5225"/>
  <workbookPr/>
  <mc:AlternateContent xmlns:mc="http://schemas.openxmlformats.org/markup-compatibility/2006">
    <mc:Choice Requires="x15">
      <x15ac:absPath xmlns:x15ac="http://schemas.microsoft.com/office/spreadsheetml/2010/11/ac" url="C:\Users\Llewellyn\Desktop\Honours Resources\DATA WAREHOUSING\DW2022_Repo\DW2022\Documentation\"/>
    </mc:Choice>
  </mc:AlternateContent>
  <xr:revisionPtr revIDLastSave="0" documentId="13_ncr:1_{5EDDF43A-F7EA-471A-BA2E-C79DAB4E9F60}" xr6:coauthVersionLast="47" xr6:coauthVersionMax="47" xr10:uidLastSave="{00000000-0000-0000-0000-000000000000}"/>
  <bookViews>
    <workbookView xWindow="-108" yWindow="-108" windowWidth="23256" windowHeight="12696" tabRatio="887" firstSheet="27" activeTab="29" xr2:uid="{00000000-000D-0000-FFFF-FFFF00000000}"/>
  </bookViews>
  <sheets>
    <sheet name="Index" sheetId="1" r:id="rId1"/>
    <sheet name="Naming Conventions" sheetId="30" r:id="rId2"/>
    <sheet name="Bus Matrix" sheetId="27" r:id="rId3"/>
    <sheet name="AtomicDW" sheetId="37" r:id="rId4"/>
    <sheet name="Stock_Take_Fact" sheetId="29" r:id="rId5"/>
    <sheet name="Employee_TimeSheet_Fact" sheetId="61" r:id="rId6"/>
    <sheet name="Annual_Project_Costs_Analysis" sheetId="52" r:id="rId7"/>
    <sheet name="Date" sheetId="7" r:id="rId8"/>
    <sheet name="Date records" sheetId="63" r:id="rId9"/>
    <sheet name="Material" sheetId="28" r:id="rId10"/>
    <sheet name="Project" sheetId="55" r:id="rId11"/>
    <sheet name="Project_Status" sheetId="54" r:id="rId12"/>
    <sheet name="Employee" sheetId="60" r:id="rId13"/>
    <sheet name="Customer" sheetId="56" r:id="rId14"/>
    <sheet name="Stock_Take_Indicators" sheetId="35" r:id="rId15"/>
    <sheet name="Source Files" sheetId="2" r:id="rId16"/>
    <sheet name="SF_PW_Employees" sheetId="46" r:id="rId17"/>
    <sheet name="SF_PW_Employee_Timesheet" sheetId="47" r:id="rId18"/>
    <sheet name="SF_PW_Internal_Projects" sheetId="50" r:id="rId19"/>
    <sheet name="SF_PW_Customer_Department_Group" sheetId="44" r:id="rId20"/>
    <sheet name="SF_PW_Customer_Department" sheetId="43" r:id="rId21"/>
    <sheet name="SF_PW_Customer" sheetId="38" r:id="rId22"/>
    <sheet name="SF_MM_Stock_Take" sheetId="3" r:id="rId23"/>
    <sheet name="Stage1" sheetId="4" r:id="rId24"/>
    <sheet name="S1_PW_Customer" sheetId="40" r:id="rId25"/>
    <sheet name="S1_PW_Customer_Department" sheetId="41" r:id="rId26"/>
    <sheet name="S1_PW_Employees" sheetId="49" r:id="rId27"/>
    <sheet name="S1_PW_Internal_Projects" sheetId="51" r:id="rId28"/>
    <sheet name="S1_PW_Employee_Timesheet" sheetId="48" r:id="rId29"/>
    <sheet name="S1_PW_Customer_Department_Group" sheetId="42" r:id="rId30"/>
    <sheet name="S1_MM_Stock_Take" sheetId="31" r:id="rId31"/>
    <sheet name="Stage2" sheetId="32" r:id="rId32"/>
    <sheet name="S2_MM_Material_Group_Lookup" sheetId="33" r:id="rId33"/>
    <sheet name="S2_MM_Material" sheetId="34" r:id="rId34"/>
    <sheet name="S2_MM_Stock_Take" sheetId="36" r:id="rId35"/>
    <sheet name="Process Metadata" sheetId="9" r:id="rId36"/>
  </sheets>
  <externalReferences>
    <externalReference r:id="rId37"/>
  </externalReferences>
  <definedNames>
    <definedName name="_xlnm._FilterDatabase" localSheetId="8" hidden="1">'Date records'!$A$2:$G$1100</definedName>
    <definedName name="_xlnm._FilterDatabase" localSheetId="1" hidden="1">'Naming Conventions'!$A$28:$C$28</definedName>
    <definedName name="FU_BOW" localSheetId="8">#REF!</definedName>
    <definedName name="FU_BOW">#REF!</definedName>
    <definedName name="LU_DOW" localSheetId="3">#REF!</definedName>
    <definedName name="LU_DOW" localSheetId="8">#REF!</definedName>
    <definedName name="LU_DOW" localSheetId="30">#REF!</definedName>
    <definedName name="LU_DOW" localSheetId="33">#REF!</definedName>
    <definedName name="LU_DOW" localSheetId="32">#REF!</definedName>
    <definedName name="LU_DOW" localSheetId="34">#REF!</definedName>
    <definedName name="LU_DOW" localSheetId="17">#REF!</definedName>
    <definedName name="LU_DOW" localSheetId="16">#REF!</definedName>
    <definedName name="LU_DOW" localSheetId="31">#REF!</definedName>
    <definedName name="LU_DOW" localSheetId="14">#REF!</definedName>
    <definedName name="LU_DOW">#REF!</definedName>
    <definedName name="the_date">'[1]Calendar Day'!$A$31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3" i="63" l="1"/>
  <c r="D3" i="63"/>
  <c r="E3" i="63"/>
  <c r="F3" i="63"/>
  <c r="G3" i="63"/>
  <c r="H3" i="63"/>
  <c r="I3" i="63"/>
  <c r="A4" i="63"/>
  <c r="C4" i="63"/>
  <c r="D4" i="63"/>
  <c r="E4" i="63"/>
  <c r="F4" i="63"/>
  <c r="G4" i="63"/>
  <c r="H4" i="63"/>
  <c r="I4" i="63"/>
  <c r="A5" i="63"/>
  <c r="C5" i="63"/>
  <c r="D5" i="63"/>
  <c r="E5" i="63"/>
  <c r="F5" i="63"/>
  <c r="G5" i="63"/>
  <c r="H5" i="63"/>
  <c r="I5" i="63"/>
  <c r="A6" i="63"/>
  <c r="C6" i="63"/>
  <c r="D6" i="63"/>
  <c r="E6" i="63"/>
  <c r="F6" i="63"/>
  <c r="G6" i="63"/>
  <c r="H6" i="63"/>
  <c r="I6" i="63"/>
  <c r="A7" i="63"/>
  <c r="C7" i="63"/>
  <c r="D7" i="63"/>
  <c r="E7" i="63"/>
  <c r="F7" i="63"/>
  <c r="G7" i="63"/>
  <c r="H7" i="63"/>
  <c r="I7" i="63"/>
  <c r="A8" i="63"/>
  <c r="C8" i="63"/>
  <c r="D8" i="63"/>
  <c r="E8" i="63"/>
  <c r="F8" i="63"/>
  <c r="G8" i="63"/>
  <c r="H8" i="63"/>
  <c r="I8" i="63"/>
  <c r="A9" i="63"/>
  <c r="C9" i="63"/>
  <c r="D9" i="63"/>
  <c r="E9" i="63"/>
  <c r="F9" i="63"/>
  <c r="G9" i="63"/>
  <c r="H9" i="63"/>
  <c r="I9" i="63"/>
  <c r="A10" i="63"/>
  <c r="C10" i="63"/>
  <c r="D10" i="63"/>
  <c r="E10" i="63"/>
  <c r="F10" i="63"/>
  <c r="G10" i="63"/>
  <c r="H10" i="63"/>
  <c r="I10" i="63"/>
  <c r="A11" i="63"/>
  <c r="C11" i="63"/>
  <c r="D11" i="63"/>
  <c r="E11" i="63"/>
  <c r="F11" i="63"/>
  <c r="G11" i="63"/>
  <c r="H11" i="63"/>
  <c r="I11" i="63"/>
  <c r="A12" i="63"/>
  <c r="C12" i="63"/>
  <c r="D12" i="63"/>
  <c r="E12" i="63"/>
  <c r="F12" i="63"/>
  <c r="G12" i="63"/>
  <c r="H12" i="63"/>
  <c r="I12" i="63"/>
  <c r="A13" i="63"/>
  <c r="C13" i="63"/>
  <c r="D13" i="63"/>
  <c r="E13" i="63"/>
  <c r="F13" i="63"/>
  <c r="G13" i="63"/>
  <c r="H13" i="63"/>
  <c r="I13" i="63"/>
  <c r="A14" i="63"/>
  <c r="C14" i="63"/>
  <c r="D14" i="63"/>
  <c r="E14" i="63"/>
  <c r="F14" i="63"/>
  <c r="G14" i="63"/>
  <c r="H14" i="63"/>
  <c r="I14" i="63"/>
  <c r="A15" i="63"/>
  <c r="C15" i="63"/>
  <c r="D15" i="63"/>
  <c r="E15" i="63"/>
  <c r="F15" i="63"/>
  <c r="G15" i="63"/>
  <c r="H15" i="63"/>
  <c r="I15" i="63"/>
  <c r="A16" i="63"/>
  <c r="C16" i="63"/>
  <c r="D16" i="63"/>
  <c r="E16" i="63"/>
  <c r="F16" i="63"/>
  <c r="G16" i="63"/>
  <c r="H16" i="63"/>
  <c r="I16" i="63"/>
  <c r="A17" i="63"/>
  <c r="C17" i="63"/>
  <c r="D17" i="63"/>
  <c r="E17" i="63"/>
  <c r="F17" i="63"/>
  <c r="G17" i="63"/>
  <c r="H17" i="63"/>
  <c r="I17" i="63"/>
  <c r="A18" i="63"/>
  <c r="C18" i="63"/>
  <c r="D18" i="63"/>
  <c r="E18" i="63"/>
  <c r="F18" i="63"/>
  <c r="G18" i="63"/>
  <c r="H18" i="63"/>
  <c r="I18" i="63"/>
  <c r="A19" i="63"/>
  <c r="C19" i="63"/>
  <c r="D19" i="63"/>
  <c r="E19" i="63"/>
  <c r="F19" i="63"/>
  <c r="G19" i="63"/>
  <c r="H19" i="63"/>
  <c r="I19" i="63"/>
  <c r="A20" i="63"/>
  <c r="C20" i="63"/>
  <c r="D20" i="63"/>
  <c r="E20" i="63"/>
  <c r="F20" i="63"/>
  <c r="G20" i="63"/>
  <c r="H20" i="63"/>
  <c r="I20" i="63"/>
  <c r="A21" i="63"/>
  <c r="C21" i="63"/>
  <c r="D21" i="63"/>
  <c r="E21" i="63"/>
  <c r="F21" i="63"/>
  <c r="G21" i="63"/>
  <c r="H21" i="63"/>
  <c r="I21" i="63"/>
  <c r="A22" i="63"/>
  <c r="C22" i="63"/>
  <c r="D22" i="63"/>
  <c r="E22" i="63"/>
  <c r="F22" i="63"/>
  <c r="G22" i="63"/>
  <c r="H22" i="63"/>
  <c r="I22" i="63"/>
  <c r="A23" i="63"/>
  <c r="C23" i="63"/>
  <c r="D23" i="63"/>
  <c r="E23" i="63"/>
  <c r="F23" i="63"/>
  <c r="G23" i="63"/>
  <c r="H23" i="63"/>
  <c r="I23" i="63"/>
  <c r="A24" i="63"/>
  <c r="C24" i="63"/>
  <c r="D24" i="63"/>
  <c r="E24" i="63"/>
  <c r="F24" i="63"/>
  <c r="G24" i="63"/>
  <c r="H24" i="63"/>
  <c r="I24" i="63"/>
  <c r="A25" i="63"/>
  <c r="C25" i="63"/>
  <c r="D25" i="63"/>
  <c r="E25" i="63"/>
  <c r="F25" i="63"/>
  <c r="G25" i="63"/>
  <c r="H25" i="63"/>
  <c r="I25" i="63"/>
  <c r="A26" i="63"/>
  <c r="C26" i="63"/>
  <c r="D26" i="63"/>
  <c r="E26" i="63"/>
  <c r="F26" i="63"/>
  <c r="G26" i="63"/>
  <c r="H26" i="63"/>
  <c r="I26" i="63"/>
  <c r="A27" i="63"/>
  <c r="C27" i="63"/>
  <c r="D27" i="63"/>
  <c r="E27" i="63"/>
  <c r="F27" i="63"/>
  <c r="G27" i="63"/>
  <c r="H27" i="63"/>
  <c r="I27" i="63"/>
  <c r="A28" i="63"/>
  <c r="C28" i="63"/>
  <c r="D28" i="63"/>
  <c r="E28" i="63"/>
  <c r="F28" i="63"/>
  <c r="G28" i="63"/>
  <c r="H28" i="63"/>
  <c r="I28" i="63"/>
  <c r="A29" i="63"/>
  <c r="C29" i="63"/>
  <c r="D29" i="63"/>
  <c r="E29" i="63"/>
  <c r="F29" i="63"/>
  <c r="G29" i="63"/>
  <c r="H29" i="63"/>
  <c r="I29" i="63"/>
  <c r="A30" i="63"/>
  <c r="C30" i="63"/>
  <c r="D30" i="63"/>
  <c r="E30" i="63"/>
  <c r="F30" i="63"/>
  <c r="G30" i="63"/>
  <c r="H30" i="63"/>
  <c r="I30" i="63"/>
  <c r="A31" i="63"/>
  <c r="C31" i="63"/>
  <c r="D31" i="63"/>
  <c r="E31" i="63"/>
  <c r="F31" i="63"/>
  <c r="G31" i="63"/>
  <c r="H31" i="63"/>
  <c r="I31" i="63"/>
  <c r="A32" i="63"/>
  <c r="C32" i="63"/>
  <c r="D32" i="63"/>
  <c r="E32" i="63"/>
  <c r="F32" i="63"/>
  <c r="G32" i="63"/>
  <c r="H32" i="63"/>
  <c r="I32" i="63"/>
  <c r="A33" i="63"/>
  <c r="C33" i="63"/>
  <c r="D33" i="63"/>
  <c r="E33" i="63"/>
  <c r="F33" i="63"/>
  <c r="G33" i="63"/>
  <c r="H33" i="63"/>
  <c r="I33" i="63"/>
  <c r="A34" i="63"/>
  <c r="C34" i="63"/>
  <c r="D34" i="63"/>
  <c r="E34" i="63"/>
  <c r="F34" i="63"/>
  <c r="G34" i="63"/>
  <c r="H34" i="63"/>
  <c r="I34" i="63"/>
  <c r="A35" i="63"/>
  <c r="C35" i="63"/>
  <c r="D35" i="63"/>
  <c r="E35" i="63"/>
  <c r="F35" i="63"/>
  <c r="G35" i="63"/>
  <c r="H35" i="63"/>
  <c r="I35" i="63"/>
  <c r="A36" i="63"/>
  <c r="C36" i="63"/>
  <c r="D36" i="63"/>
  <c r="E36" i="63"/>
  <c r="F36" i="63"/>
  <c r="G36" i="63"/>
  <c r="H36" i="63"/>
  <c r="I36" i="63"/>
  <c r="A37" i="63"/>
  <c r="C37" i="63"/>
  <c r="D37" i="63"/>
  <c r="E37" i="63"/>
  <c r="F37" i="63"/>
  <c r="G37" i="63"/>
  <c r="H37" i="63"/>
  <c r="I37" i="63"/>
  <c r="A38" i="63"/>
  <c r="C38" i="63"/>
  <c r="D38" i="63"/>
  <c r="E38" i="63"/>
  <c r="F38" i="63"/>
  <c r="G38" i="63"/>
  <c r="H38" i="63"/>
  <c r="I38" i="63"/>
  <c r="A39" i="63"/>
  <c r="C39" i="63"/>
  <c r="D39" i="63"/>
  <c r="E39" i="63"/>
  <c r="F39" i="63"/>
  <c r="G39" i="63"/>
  <c r="H39" i="63"/>
  <c r="I39" i="63"/>
  <c r="A40" i="63"/>
  <c r="C40" i="63"/>
  <c r="D40" i="63"/>
  <c r="E40" i="63"/>
  <c r="F40" i="63"/>
  <c r="G40" i="63"/>
  <c r="H40" i="63"/>
  <c r="I40" i="63"/>
  <c r="A41" i="63"/>
  <c r="C41" i="63"/>
  <c r="D41" i="63"/>
  <c r="E41" i="63"/>
  <c r="F41" i="63"/>
  <c r="G41" i="63"/>
  <c r="H41" i="63"/>
  <c r="I41" i="63"/>
  <c r="A42" i="63"/>
  <c r="C42" i="63"/>
  <c r="D42" i="63"/>
  <c r="E42" i="63"/>
  <c r="F42" i="63"/>
  <c r="G42" i="63"/>
  <c r="H42" i="63"/>
  <c r="I42" i="63"/>
  <c r="A43" i="63"/>
  <c r="C43" i="63"/>
  <c r="D43" i="63"/>
  <c r="E43" i="63"/>
  <c r="F43" i="63"/>
  <c r="G43" i="63"/>
  <c r="H43" i="63"/>
  <c r="I43" i="63"/>
  <c r="A44" i="63"/>
  <c r="C44" i="63"/>
  <c r="D44" i="63"/>
  <c r="E44" i="63"/>
  <c r="F44" i="63"/>
  <c r="G44" i="63"/>
  <c r="H44" i="63"/>
  <c r="I44" i="63"/>
  <c r="A45" i="63"/>
  <c r="C45" i="63"/>
  <c r="D45" i="63"/>
  <c r="E45" i="63"/>
  <c r="F45" i="63"/>
  <c r="G45" i="63"/>
  <c r="H45" i="63"/>
  <c r="I45" i="63"/>
  <c r="A46" i="63"/>
  <c r="C46" i="63"/>
  <c r="D46" i="63"/>
  <c r="E46" i="63"/>
  <c r="F46" i="63"/>
  <c r="G46" i="63"/>
  <c r="H46" i="63"/>
  <c r="I46" i="63"/>
  <c r="A47" i="63"/>
  <c r="C47" i="63"/>
  <c r="D47" i="63"/>
  <c r="E47" i="63"/>
  <c r="F47" i="63"/>
  <c r="G47" i="63"/>
  <c r="H47" i="63"/>
  <c r="I47" i="63"/>
  <c r="A48" i="63"/>
  <c r="C48" i="63"/>
  <c r="D48" i="63"/>
  <c r="E48" i="63"/>
  <c r="F48" i="63"/>
  <c r="G48" i="63"/>
  <c r="H48" i="63"/>
  <c r="I48" i="63"/>
  <c r="A49" i="63"/>
  <c r="C49" i="63"/>
  <c r="D49" i="63"/>
  <c r="E49" i="63"/>
  <c r="F49" i="63"/>
  <c r="G49" i="63"/>
  <c r="H49" i="63"/>
  <c r="I49" i="63"/>
  <c r="A50" i="63"/>
  <c r="C50" i="63"/>
  <c r="D50" i="63"/>
  <c r="E50" i="63"/>
  <c r="F50" i="63"/>
  <c r="G50" i="63"/>
  <c r="H50" i="63"/>
  <c r="I50" i="63"/>
  <c r="A51" i="63"/>
  <c r="C51" i="63"/>
  <c r="D51" i="63"/>
  <c r="E51" i="63"/>
  <c r="F51" i="63"/>
  <c r="G51" i="63"/>
  <c r="H51" i="63"/>
  <c r="I51" i="63"/>
  <c r="A52" i="63"/>
  <c r="C52" i="63"/>
  <c r="D52" i="63"/>
  <c r="E52" i="63"/>
  <c r="F52" i="63"/>
  <c r="G52" i="63"/>
  <c r="H52" i="63"/>
  <c r="I52" i="63"/>
  <c r="A53" i="63"/>
  <c r="C53" i="63"/>
  <c r="D53" i="63"/>
  <c r="E53" i="63"/>
  <c r="F53" i="63"/>
  <c r="G53" i="63"/>
  <c r="H53" i="63"/>
  <c r="I53" i="63"/>
  <c r="A54" i="63"/>
  <c r="C54" i="63"/>
  <c r="D54" i="63"/>
  <c r="E54" i="63"/>
  <c r="F54" i="63"/>
  <c r="G54" i="63"/>
  <c r="H54" i="63"/>
  <c r="I54" i="63"/>
  <c r="A55" i="63"/>
  <c r="C55" i="63"/>
  <c r="D55" i="63"/>
  <c r="E55" i="63"/>
  <c r="F55" i="63"/>
  <c r="G55" i="63"/>
  <c r="H55" i="63"/>
  <c r="I55" i="63"/>
  <c r="A56" i="63"/>
  <c r="C56" i="63"/>
  <c r="D56" i="63"/>
  <c r="E56" i="63"/>
  <c r="F56" i="63"/>
  <c r="G56" i="63"/>
  <c r="H56" i="63"/>
  <c r="I56" i="63"/>
  <c r="A57" i="63"/>
  <c r="C57" i="63"/>
  <c r="D57" i="63"/>
  <c r="E57" i="63"/>
  <c r="F57" i="63"/>
  <c r="G57" i="63"/>
  <c r="H57" i="63"/>
  <c r="I57" i="63"/>
  <c r="A58" i="63"/>
  <c r="C58" i="63"/>
  <c r="D58" i="63"/>
  <c r="E58" i="63"/>
  <c r="F58" i="63"/>
  <c r="G58" i="63"/>
  <c r="H58" i="63"/>
  <c r="I58" i="63"/>
  <c r="A59" i="63"/>
  <c r="C59" i="63"/>
  <c r="D59" i="63"/>
  <c r="E59" i="63"/>
  <c r="F59" i="63"/>
  <c r="G59" i="63"/>
  <c r="H59" i="63"/>
  <c r="I59" i="63"/>
  <c r="A60" i="63"/>
  <c r="C60" i="63"/>
  <c r="D60" i="63"/>
  <c r="E60" i="63"/>
  <c r="F60" i="63"/>
  <c r="G60" i="63"/>
  <c r="H60" i="63"/>
  <c r="I60" i="63"/>
  <c r="A61" i="63"/>
  <c r="C61" i="63"/>
  <c r="D61" i="63"/>
  <c r="E61" i="63"/>
  <c r="F61" i="63"/>
  <c r="G61" i="63"/>
  <c r="H61" i="63"/>
  <c r="I61" i="63"/>
  <c r="A62" i="63"/>
  <c r="C62" i="63"/>
  <c r="D62" i="63"/>
  <c r="E62" i="63"/>
  <c r="F62" i="63"/>
  <c r="G62" i="63"/>
  <c r="H62" i="63"/>
  <c r="I62" i="63"/>
  <c r="A63" i="63"/>
  <c r="C63" i="63"/>
  <c r="D63" i="63"/>
  <c r="E63" i="63"/>
  <c r="F63" i="63"/>
  <c r="G63" i="63"/>
  <c r="H63" i="63"/>
  <c r="I63" i="63"/>
  <c r="A64" i="63"/>
  <c r="C64" i="63"/>
  <c r="D64" i="63"/>
  <c r="E64" i="63"/>
  <c r="F64" i="63"/>
  <c r="G64" i="63"/>
  <c r="H64" i="63"/>
  <c r="I64" i="63"/>
  <c r="A65" i="63"/>
  <c r="C65" i="63"/>
  <c r="D65" i="63"/>
  <c r="E65" i="63"/>
  <c r="F65" i="63"/>
  <c r="G65" i="63"/>
  <c r="H65" i="63"/>
  <c r="I65" i="63"/>
  <c r="A66" i="63"/>
  <c r="C66" i="63"/>
  <c r="D66" i="63"/>
  <c r="E66" i="63"/>
  <c r="F66" i="63"/>
  <c r="G66" i="63"/>
  <c r="H66" i="63"/>
  <c r="I66" i="63"/>
  <c r="A67" i="63"/>
  <c r="C67" i="63"/>
  <c r="D67" i="63"/>
  <c r="E67" i="63"/>
  <c r="F67" i="63"/>
  <c r="G67" i="63"/>
  <c r="H67" i="63"/>
  <c r="I67" i="63"/>
  <c r="A68" i="63"/>
  <c r="C68" i="63"/>
  <c r="D68" i="63"/>
  <c r="E68" i="63"/>
  <c r="F68" i="63"/>
  <c r="G68" i="63"/>
  <c r="H68" i="63"/>
  <c r="I68" i="63"/>
  <c r="A69" i="63"/>
  <c r="C69" i="63"/>
  <c r="D69" i="63"/>
  <c r="E69" i="63"/>
  <c r="F69" i="63"/>
  <c r="G69" i="63"/>
  <c r="H69" i="63"/>
  <c r="I69" i="63"/>
  <c r="A70" i="63"/>
  <c r="C70" i="63"/>
  <c r="D70" i="63"/>
  <c r="E70" i="63"/>
  <c r="F70" i="63"/>
  <c r="G70" i="63"/>
  <c r="H70" i="63"/>
  <c r="I70" i="63"/>
  <c r="A71" i="63"/>
  <c r="C71" i="63"/>
  <c r="D71" i="63"/>
  <c r="E71" i="63"/>
  <c r="F71" i="63"/>
  <c r="G71" i="63"/>
  <c r="H71" i="63"/>
  <c r="I71" i="63"/>
  <c r="A72" i="63"/>
  <c r="C72" i="63"/>
  <c r="D72" i="63"/>
  <c r="E72" i="63"/>
  <c r="F72" i="63"/>
  <c r="G72" i="63"/>
  <c r="H72" i="63"/>
  <c r="I72" i="63"/>
  <c r="A73" i="63"/>
  <c r="C73" i="63"/>
  <c r="D73" i="63"/>
  <c r="E73" i="63"/>
  <c r="F73" i="63"/>
  <c r="G73" i="63"/>
  <c r="H73" i="63"/>
  <c r="I73" i="63"/>
  <c r="A74" i="63"/>
  <c r="C74" i="63"/>
  <c r="D74" i="63"/>
  <c r="E74" i="63"/>
  <c r="F74" i="63"/>
  <c r="G74" i="63"/>
  <c r="H74" i="63"/>
  <c r="I74" i="63"/>
  <c r="A75" i="63"/>
  <c r="C75" i="63"/>
  <c r="D75" i="63"/>
  <c r="E75" i="63"/>
  <c r="F75" i="63"/>
  <c r="G75" i="63"/>
  <c r="H75" i="63"/>
  <c r="I75" i="63"/>
  <c r="A76" i="63"/>
  <c r="C76" i="63"/>
  <c r="D76" i="63"/>
  <c r="E76" i="63"/>
  <c r="F76" i="63"/>
  <c r="G76" i="63"/>
  <c r="H76" i="63"/>
  <c r="I76" i="63"/>
  <c r="A77" i="63"/>
  <c r="C77" i="63"/>
  <c r="D77" i="63"/>
  <c r="E77" i="63"/>
  <c r="F77" i="63"/>
  <c r="G77" i="63"/>
  <c r="H77" i="63"/>
  <c r="I77" i="63"/>
  <c r="A78" i="63"/>
  <c r="C78" i="63"/>
  <c r="D78" i="63"/>
  <c r="E78" i="63"/>
  <c r="F78" i="63"/>
  <c r="G78" i="63"/>
  <c r="H78" i="63"/>
  <c r="I78" i="63"/>
  <c r="A79" i="63"/>
  <c r="C79" i="63"/>
  <c r="D79" i="63"/>
  <c r="E79" i="63"/>
  <c r="F79" i="63"/>
  <c r="G79" i="63"/>
  <c r="H79" i="63"/>
  <c r="I79" i="63"/>
  <c r="A80" i="63"/>
  <c r="C80" i="63"/>
  <c r="D80" i="63"/>
  <c r="E80" i="63"/>
  <c r="F80" i="63"/>
  <c r="G80" i="63"/>
  <c r="H80" i="63"/>
  <c r="I80" i="63"/>
  <c r="A81" i="63"/>
  <c r="C81" i="63"/>
  <c r="D81" i="63"/>
  <c r="E81" i="63"/>
  <c r="F81" i="63"/>
  <c r="G81" i="63"/>
  <c r="H81" i="63"/>
  <c r="I81" i="63"/>
  <c r="A82" i="63"/>
  <c r="C82" i="63"/>
  <c r="D82" i="63"/>
  <c r="E82" i="63"/>
  <c r="F82" i="63"/>
  <c r="G82" i="63"/>
  <c r="H82" i="63"/>
  <c r="I82" i="63"/>
  <c r="A83" i="63"/>
  <c r="C83" i="63"/>
  <c r="D83" i="63"/>
  <c r="E83" i="63"/>
  <c r="F83" i="63"/>
  <c r="G83" i="63"/>
  <c r="H83" i="63"/>
  <c r="I83" i="63"/>
  <c r="A84" i="63"/>
  <c r="C84" i="63"/>
  <c r="D84" i="63"/>
  <c r="E84" i="63"/>
  <c r="F84" i="63"/>
  <c r="G84" i="63"/>
  <c r="H84" i="63"/>
  <c r="I84" i="63"/>
  <c r="A85" i="63"/>
  <c r="C85" i="63"/>
  <c r="D85" i="63"/>
  <c r="E85" i="63"/>
  <c r="F85" i="63"/>
  <c r="G85" i="63"/>
  <c r="H85" i="63"/>
  <c r="I85" i="63"/>
  <c r="A86" i="63"/>
  <c r="C86" i="63"/>
  <c r="D86" i="63"/>
  <c r="E86" i="63"/>
  <c r="F86" i="63"/>
  <c r="G86" i="63"/>
  <c r="H86" i="63"/>
  <c r="I86" i="63"/>
  <c r="A87" i="63"/>
  <c r="C87" i="63"/>
  <c r="D87" i="63"/>
  <c r="E87" i="63"/>
  <c r="F87" i="63"/>
  <c r="G87" i="63"/>
  <c r="H87" i="63"/>
  <c r="I87" i="63"/>
  <c r="A88" i="63"/>
  <c r="C88" i="63"/>
  <c r="D88" i="63"/>
  <c r="E88" i="63"/>
  <c r="F88" i="63"/>
  <c r="G88" i="63"/>
  <c r="H88" i="63"/>
  <c r="I88" i="63"/>
  <c r="A89" i="63"/>
  <c r="C89" i="63"/>
  <c r="D89" i="63"/>
  <c r="E89" i="63"/>
  <c r="F89" i="63"/>
  <c r="G89" i="63"/>
  <c r="H89" i="63"/>
  <c r="I89" i="63"/>
  <c r="A90" i="63"/>
  <c r="C90" i="63"/>
  <c r="D90" i="63"/>
  <c r="E90" i="63"/>
  <c r="F90" i="63"/>
  <c r="G90" i="63"/>
  <c r="H90" i="63"/>
  <c r="I90" i="63"/>
  <c r="A91" i="63"/>
  <c r="C91" i="63"/>
  <c r="D91" i="63"/>
  <c r="E91" i="63"/>
  <c r="F91" i="63"/>
  <c r="G91" i="63"/>
  <c r="H91" i="63"/>
  <c r="I91" i="63"/>
  <c r="A92" i="63"/>
  <c r="C92" i="63"/>
  <c r="D92" i="63"/>
  <c r="E92" i="63"/>
  <c r="F92" i="63"/>
  <c r="G92" i="63"/>
  <c r="H92" i="63"/>
  <c r="I92" i="63"/>
  <c r="A93" i="63"/>
  <c r="C93" i="63"/>
  <c r="D93" i="63"/>
  <c r="E93" i="63"/>
  <c r="F93" i="63"/>
  <c r="G93" i="63"/>
  <c r="H93" i="63"/>
  <c r="I93" i="63"/>
  <c r="A94" i="63"/>
  <c r="C94" i="63"/>
  <c r="D94" i="63"/>
  <c r="E94" i="63"/>
  <c r="F94" i="63"/>
  <c r="G94" i="63"/>
  <c r="H94" i="63"/>
  <c r="I94" i="63"/>
  <c r="A95" i="63"/>
  <c r="C95" i="63"/>
  <c r="D95" i="63"/>
  <c r="E95" i="63"/>
  <c r="F95" i="63"/>
  <c r="G95" i="63"/>
  <c r="H95" i="63"/>
  <c r="I95" i="63"/>
  <c r="A96" i="63"/>
  <c r="C96" i="63"/>
  <c r="D96" i="63"/>
  <c r="E96" i="63"/>
  <c r="F96" i="63"/>
  <c r="G96" i="63"/>
  <c r="H96" i="63"/>
  <c r="I96" i="63"/>
  <c r="A97" i="63"/>
  <c r="C97" i="63"/>
  <c r="D97" i="63"/>
  <c r="E97" i="63"/>
  <c r="F97" i="63"/>
  <c r="G97" i="63"/>
  <c r="H97" i="63"/>
  <c r="I97" i="63"/>
  <c r="A98" i="63"/>
  <c r="C98" i="63"/>
  <c r="D98" i="63"/>
  <c r="E98" i="63"/>
  <c r="F98" i="63"/>
  <c r="G98" i="63"/>
  <c r="H98" i="63"/>
  <c r="I98" i="63"/>
  <c r="A99" i="63"/>
  <c r="C99" i="63"/>
  <c r="D99" i="63"/>
  <c r="E99" i="63"/>
  <c r="F99" i="63"/>
  <c r="G99" i="63"/>
  <c r="H99" i="63"/>
  <c r="I99" i="63"/>
  <c r="A100" i="63"/>
  <c r="C100" i="63"/>
  <c r="D100" i="63"/>
  <c r="E100" i="63"/>
  <c r="F100" i="63"/>
  <c r="G100" i="63"/>
  <c r="H100" i="63"/>
  <c r="I100" i="63"/>
  <c r="A101" i="63"/>
  <c r="C101" i="63"/>
  <c r="D101" i="63"/>
  <c r="E101" i="63"/>
  <c r="F101" i="63"/>
  <c r="G101" i="63"/>
  <c r="H101" i="63"/>
  <c r="I101" i="63"/>
  <c r="A102" i="63"/>
  <c r="C102" i="63"/>
  <c r="D102" i="63"/>
  <c r="E102" i="63"/>
  <c r="F102" i="63"/>
  <c r="G102" i="63"/>
  <c r="H102" i="63"/>
  <c r="I102" i="63"/>
  <c r="A103" i="63"/>
  <c r="C103" i="63"/>
  <c r="D103" i="63"/>
  <c r="E103" i="63"/>
  <c r="F103" i="63"/>
  <c r="G103" i="63"/>
  <c r="H103" i="63"/>
  <c r="I103" i="63"/>
  <c r="A104" i="63"/>
  <c r="C104" i="63"/>
  <c r="D104" i="63"/>
  <c r="E104" i="63"/>
  <c r="F104" i="63"/>
  <c r="G104" i="63"/>
  <c r="H104" i="63"/>
  <c r="I104" i="63"/>
  <c r="A105" i="63"/>
  <c r="C105" i="63"/>
  <c r="D105" i="63"/>
  <c r="E105" i="63"/>
  <c r="F105" i="63"/>
  <c r="G105" i="63"/>
  <c r="H105" i="63"/>
  <c r="I105" i="63"/>
  <c r="A106" i="63"/>
  <c r="C106" i="63"/>
  <c r="D106" i="63"/>
  <c r="E106" i="63"/>
  <c r="F106" i="63"/>
  <c r="G106" i="63"/>
  <c r="H106" i="63"/>
  <c r="I106" i="63"/>
  <c r="A107" i="63"/>
  <c r="C107" i="63"/>
  <c r="D107" i="63"/>
  <c r="E107" i="63"/>
  <c r="F107" i="63"/>
  <c r="G107" i="63"/>
  <c r="H107" i="63"/>
  <c r="I107" i="63"/>
  <c r="A108" i="63"/>
  <c r="C108" i="63"/>
  <c r="D108" i="63"/>
  <c r="E108" i="63"/>
  <c r="F108" i="63"/>
  <c r="G108" i="63"/>
  <c r="H108" i="63"/>
  <c r="I108" i="63"/>
  <c r="A109" i="63"/>
  <c r="C109" i="63"/>
  <c r="D109" i="63"/>
  <c r="E109" i="63"/>
  <c r="F109" i="63"/>
  <c r="G109" i="63"/>
  <c r="H109" i="63"/>
  <c r="I109" i="63"/>
  <c r="A110" i="63"/>
  <c r="C110" i="63"/>
  <c r="D110" i="63"/>
  <c r="E110" i="63"/>
  <c r="F110" i="63"/>
  <c r="G110" i="63"/>
  <c r="H110" i="63"/>
  <c r="I110" i="63"/>
  <c r="A111" i="63"/>
  <c r="C111" i="63"/>
  <c r="D111" i="63"/>
  <c r="E111" i="63"/>
  <c r="F111" i="63"/>
  <c r="G111" i="63"/>
  <c r="H111" i="63"/>
  <c r="I111" i="63"/>
  <c r="A112" i="63"/>
  <c r="C112" i="63"/>
  <c r="D112" i="63"/>
  <c r="E112" i="63"/>
  <c r="F112" i="63"/>
  <c r="G112" i="63"/>
  <c r="H112" i="63"/>
  <c r="I112" i="63"/>
  <c r="A113" i="63"/>
  <c r="C113" i="63"/>
  <c r="D113" i="63"/>
  <c r="E113" i="63"/>
  <c r="F113" i="63"/>
  <c r="G113" i="63"/>
  <c r="H113" i="63"/>
  <c r="I113" i="63"/>
  <c r="A114" i="63"/>
  <c r="C114" i="63"/>
  <c r="D114" i="63"/>
  <c r="E114" i="63"/>
  <c r="F114" i="63"/>
  <c r="G114" i="63"/>
  <c r="H114" i="63"/>
  <c r="I114" i="63"/>
  <c r="A115" i="63"/>
  <c r="C115" i="63"/>
  <c r="D115" i="63"/>
  <c r="E115" i="63"/>
  <c r="F115" i="63"/>
  <c r="G115" i="63"/>
  <c r="H115" i="63"/>
  <c r="I115" i="63"/>
  <c r="A116" i="63"/>
  <c r="C116" i="63"/>
  <c r="D116" i="63"/>
  <c r="E116" i="63"/>
  <c r="F116" i="63"/>
  <c r="G116" i="63"/>
  <c r="H116" i="63"/>
  <c r="I116" i="63"/>
  <c r="A117" i="63"/>
  <c r="C117" i="63"/>
  <c r="D117" i="63"/>
  <c r="E117" i="63"/>
  <c r="F117" i="63"/>
  <c r="G117" i="63"/>
  <c r="H117" i="63"/>
  <c r="I117" i="63"/>
  <c r="A118" i="63"/>
  <c r="C118" i="63"/>
  <c r="D118" i="63"/>
  <c r="E118" i="63"/>
  <c r="F118" i="63"/>
  <c r="G118" i="63"/>
  <c r="H118" i="63"/>
  <c r="I118" i="63"/>
  <c r="A119" i="63"/>
  <c r="C119" i="63"/>
  <c r="D119" i="63"/>
  <c r="E119" i="63"/>
  <c r="F119" i="63"/>
  <c r="G119" i="63"/>
  <c r="H119" i="63"/>
  <c r="I119" i="63"/>
  <c r="A120" i="63"/>
  <c r="C120" i="63"/>
  <c r="D120" i="63"/>
  <c r="E120" i="63"/>
  <c r="F120" i="63"/>
  <c r="G120" i="63"/>
  <c r="H120" i="63"/>
  <c r="I120" i="63"/>
  <c r="A121" i="63"/>
  <c r="C121" i="63"/>
  <c r="D121" i="63"/>
  <c r="E121" i="63"/>
  <c r="F121" i="63"/>
  <c r="G121" i="63"/>
  <c r="H121" i="63"/>
  <c r="I121" i="63"/>
  <c r="A122" i="63"/>
  <c r="C122" i="63"/>
  <c r="D122" i="63"/>
  <c r="E122" i="63"/>
  <c r="F122" i="63"/>
  <c r="G122" i="63"/>
  <c r="H122" i="63"/>
  <c r="I122" i="63"/>
  <c r="A123" i="63"/>
  <c r="C123" i="63"/>
  <c r="D123" i="63"/>
  <c r="E123" i="63"/>
  <c r="F123" i="63"/>
  <c r="G123" i="63"/>
  <c r="H123" i="63"/>
  <c r="I123" i="63"/>
  <c r="A124" i="63"/>
  <c r="C124" i="63"/>
  <c r="D124" i="63"/>
  <c r="E124" i="63"/>
  <c r="F124" i="63"/>
  <c r="G124" i="63"/>
  <c r="H124" i="63"/>
  <c r="I124" i="63"/>
  <c r="A125" i="63"/>
  <c r="C125" i="63"/>
  <c r="D125" i="63"/>
  <c r="E125" i="63"/>
  <c r="F125" i="63"/>
  <c r="G125" i="63"/>
  <c r="H125" i="63"/>
  <c r="I125" i="63"/>
  <c r="A126" i="63"/>
  <c r="C126" i="63"/>
  <c r="D126" i="63"/>
  <c r="E126" i="63"/>
  <c r="F126" i="63"/>
  <c r="G126" i="63"/>
  <c r="H126" i="63"/>
  <c r="I126" i="63"/>
  <c r="A127" i="63"/>
  <c r="C127" i="63"/>
  <c r="D127" i="63"/>
  <c r="E127" i="63"/>
  <c r="F127" i="63"/>
  <c r="G127" i="63"/>
  <c r="H127" i="63"/>
  <c r="I127" i="63"/>
  <c r="A128" i="63"/>
  <c r="C128" i="63"/>
  <c r="D128" i="63"/>
  <c r="E128" i="63"/>
  <c r="F128" i="63"/>
  <c r="G128" i="63"/>
  <c r="H128" i="63"/>
  <c r="I128" i="63"/>
  <c r="A129" i="63"/>
  <c r="C129" i="63"/>
  <c r="D129" i="63"/>
  <c r="E129" i="63"/>
  <c r="F129" i="63"/>
  <c r="G129" i="63"/>
  <c r="H129" i="63"/>
  <c r="I129" i="63"/>
  <c r="A130" i="63"/>
  <c r="C130" i="63"/>
  <c r="D130" i="63"/>
  <c r="E130" i="63"/>
  <c r="F130" i="63"/>
  <c r="G130" i="63"/>
  <c r="H130" i="63"/>
  <c r="I130" i="63"/>
  <c r="A131" i="63"/>
  <c r="C131" i="63"/>
  <c r="D131" i="63"/>
  <c r="E131" i="63"/>
  <c r="F131" i="63"/>
  <c r="G131" i="63"/>
  <c r="H131" i="63"/>
  <c r="I131" i="63"/>
  <c r="A132" i="63"/>
  <c r="C132" i="63"/>
  <c r="D132" i="63"/>
  <c r="E132" i="63"/>
  <c r="F132" i="63"/>
  <c r="G132" i="63"/>
  <c r="H132" i="63"/>
  <c r="I132" i="63"/>
  <c r="A133" i="63"/>
  <c r="C133" i="63"/>
  <c r="D133" i="63"/>
  <c r="E133" i="63"/>
  <c r="F133" i="63"/>
  <c r="G133" i="63"/>
  <c r="H133" i="63"/>
  <c r="I133" i="63"/>
  <c r="A134" i="63"/>
  <c r="C134" i="63"/>
  <c r="D134" i="63"/>
  <c r="E134" i="63"/>
  <c r="F134" i="63"/>
  <c r="G134" i="63"/>
  <c r="H134" i="63"/>
  <c r="I134" i="63"/>
  <c r="A135" i="63"/>
  <c r="C135" i="63"/>
  <c r="D135" i="63"/>
  <c r="E135" i="63"/>
  <c r="F135" i="63"/>
  <c r="G135" i="63"/>
  <c r="H135" i="63"/>
  <c r="I135" i="63"/>
  <c r="A136" i="63"/>
  <c r="C136" i="63"/>
  <c r="D136" i="63"/>
  <c r="E136" i="63"/>
  <c r="F136" i="63"/>
  <c r="G136" i="63"/>
  <c r="H136" i="63"/>
  <c r="I136" i="63"/>
  <c r="A137" i="63"/>
  <c r="C137" i="63"/>
  <c r="D137" i="63"/>
  <c r="E137" i="63"/>
  <c r="F137" i="63"/>
  <c r="G137" i="63"/>
  <c r="H137" i="63"/>
  <c r="I137" i="63"/>
  <c r="A138" i="63"/>
  <c r="C138" i="63"/>
  <c r="D138" i="63"/>
  <c r="E138" i="63"/>
  <c r="F138" i="63"/>
  <c r="G138" i="63"/>
  <c r="H138" i="63"/>
  <c r="I138" i="63"/>
  <c r="A139" i="63"/>
  <c r="C139" i="63"/>
  <c r="D139" i="63"/>
  <c r="E139" i="63"/>
  <c r="F139" i="63"/>
  <c r="G139" i="63"/>
  <c r="H139" i="63"/>
  <c r="I139" i="63"/>
  <c r="A140" i="63"/>
  <c r="C140" i="63"/>
  <c r="D140" i="63"/>
  <c r="E140" i="63"/>
  <c r="F140" i="63"/>
  <c r="G140" i="63"/>
  <c r="H140" i="63"/>
  <c r="I140" i="63"/>
  <c r="A141" i="63"/>
  <c r="C141" i="63"/>
  <c r="D141" i="63"/>
  <c r="E141" i="63"/>
  <c r="F141" i="63"/>
  <c r="G141" i="63"/>
  <c r="H141" i="63"/>
  <c r="I141" i="63"/>
  <c r="A142" i="63"/>
  <c r="C142" i="63"/>
  <c r="D142" i="63"/>
  <c r="E142" i="63"/>
  <c r="F142" i="63"/>
  <c r="G142" i="63"/>
  <c r="H142" i="63"/>
  <c r="I142" i="63"/>
  <c r="A143" i="63"/>
  <c r="C143" i="63"/>
  <c r="D143" i="63"/>
  <c r="E143" i="63"/>
  <c r="F143" i="63"/>
  <c r="G143" i="63"/>
  <c r="H143" i="63"/>
  <c r="I143" i="63"/>
  <c r="A144" i="63"/>
  <c r="C144" i="63"/>
  <c r="D144" i="63"/>
  <c r="E144" i="63"/>
  <c r="F144" i="63"/>
  <c r="G144" i="63"/>
  <c r="H144" i="63"/>
  <c r="I144" i="63"/>
  <c r="A145" i="63"/>
  <c r="C145" i="63"/>
  <c r="D145" i="63"/>
  <c r="E145" i="63"/>
  <c r="F145" i="63"/>
  <c r="G145" i="63"/>
  <c r="H145" i="63"/>
  <c r="I145" i="63"/>
  <c r="A146" i="63"/>
  <c r="C146" i="63"/>
  <c r="D146" i="63"/>
  <c r="E146" i="63"/>
  <c r="F146" i="63"/>
  <c r="G146" i="63"/>
  <c r="H146" i="63"/>
  <c r="I146" i="63"/>
  <c r="A147" i="63"/>
  <c r="C147" i="63"/>
  <c r="D147" i="63"/>
  <c r="E147" i="63"/>
  <c r="F147" i="63"/>
  <c r="G147" i="63"/>
  <c r="H147" i="63"/>
  <c r="I147" i="63"/>
  <c r="A148" i="63"/>
  <c r="C148" i="63"/>
  <c r="D148" i="63"/>
  <c r="E148" i="63"/>
  <c r="F148" i="63"/>
  <c r="G148" i="63"/>
  <c r="H148" i="63"/>
  <c r="I148" i="63"/>
  <c r="A149" i="63"/>
  <c r="C149" i="63"/>
  <c r="D149" i="63"/>
  <c r="E149" i="63"/>
  <c r="F149" i="63"/>
  <c r="G149" i="63"/>
  <c r="H149" i="63"/>
  <c r="I149" i="63"/>
  <c r="A150" i="63"/>
  <c r="C150" i="63"/>
  <c r="D150" i="63"/>
  <c r="E150" i="63"/>
  <c r="F150" i="63"/>
  <c r="G150" i="63"/>
  <c r="H150" i="63"/>
  <c r="I150" i="63"/>
  <c r="A151" i="63"/>
  <c r="C151" i="63"/>
  <c r="D151" i="63"/>
  <c r="E151" i="63"/>
  <c r="F151" i="63"/>
  <c r="G151" i="63"/>
  <c r="H151" i="63"/>
  <c r="I151" i="63"/>
  <c r="A152" i="63"/>
  <c r="C152" i="63"/>
  <c r="D152" i="63"/>
  <c r="E152" i="63"/>
  <c r="F152" i="63"/>
  <c r="G152" i="63"/>
  <c r="H152" i="63"/>
  <c r="I152" i="63"/>
  <c r="A153" i="63"/>
  <c r="C153" i="63"/>
  <c r="D153" i="63"/>
  <c r="E153" i="63"/>
  <c r="F153" i="63"/>
  <c r="G153" i="63"/>
  <c r="H153" i="63"/>
  <c r="I153" i="63"/>
  <c r="A154" i="63"/>
  <c r="C154" i="63"/>
  <c r="D154" i="63"/>
  <c r="E154" i="63"/>
  <c r="F154" i="63"/>
  <c r="G154" i="63"/>
  <c r="H154" i="63"/>
  <c r="I154" i="63"/>
  <c r="A155" i="63"/>
  <c r="C155" i="63"/>
  <c r="D155" i="63"/>
  <c r="E155" i="63"/>
  <c r="F155" i="63"/>
  <c r="G155" i="63"/>
  <c r="H155" i="63"/>
  <c r="I155" i="63"/>
  <c r="A156" i="63"/>
  <c r="C156" i="63"/>
  <c r="D156" i="63"/>
  <c r="E156" i="63"/>
  <c r="F156" i="63"/>
  <c r="G156" i="63"/>
  <c r="H156" i="63"/>
  <c r="I156" i="63"/>
  <c r="A157" i="63"/>
  <c r="C157" i="63"/>
  <c r="D157" i="63"/>
  <c r="E157" i="63"/>
  <c r="F157" i="63"/>
  <c r="G157" i="63"/>
  <c r="H157" i="63"/>
  <c r="I157" i="63"/>
  <c r="A158" i="63"/>
  <c r="C158" i="63"/>
  <c r="D158" i="63"/>
  <c r="E158" i="63"/>
  <c r="F158" i="63"/>
  <c r="G158" i="63"/>
  <c r="H158" i="63"/>
  <c r="I158" i="63"/>
  <c r="A159" i="63"/>
  <c r="C159" i="63"/>
  <c r="D159" i="63"/>
  <c r="E159" i="63"/>
  <c r="F159" i="63"/>
  <c r="G159" i="63"/>
  <c r="H159" i="63"/>
  <c r="I159" i="63"/>
  <c r="A160" i="63"/>
  <c r="C160" i="63"/>
  <c r="D160" i="63"/>
  <c r="E160" i="63"/>
  <c r="F160" i="63"/>
  <c r="G160" i="63"/>
  <c r="H160" i="63"/>
  <c r="I160" i="63"/>
  <c r="A161" i="63"/>
  <c r="C161" i="63"/>
  <c r="D161" i="63"/>
  <c r="E161" i="63"/>
  <c r="F161" i="63"/>
  <c r="G161" i="63"/>
  <c r="H161" i="63"/>
  <c r="I161" i="63"/>
  <c r="A162" i="63"/>
  <c r="C162" i="63"/>
  <c r="D162" i="63"/>
  <c r="E162" i="63"/>
  <c r="F162" i="63"/>
  <c r="G162" i="63"/>
  <c r="H162" i="63"/>
  <c r="I162" i="63"/>
  <c r="A163" i="63"/>
  <c r="C163" i="63"/>
  <c r="D163" i="63"/>
  <c r="E163" i="63"/>
  <c r="F163" i="63"/>
  <c r="G163" i="63"/>
  <c r="H163" i="63"/>
  <c r="I163" i="63"/>
  <c r="A164" i="63"/>
  <c r="C164" i="63"/>
  <c r="D164" i="63"/>
  <c r="E164" i="63"/>
  <c r="F164" i="63"/>
  <c r="G164" i="63"/>
  <c r="H164" i="63"/>
  <c r="I164" i="63"/>
  <c r="A165" i="63"/>
  <c r="C165" i="63"/>
  <c r="D165" i="63"/>
  <c r="E165" i="63"/>
  <c r="F165" i="63"/>
  <c r="G165" i="63"/>
  <c r="H165" i="63"/>
  <c r="I165" i="63"/>
  <c r="A166" i="63"/>
  <c r="C166" i="63"/>
  <c r="D166" i="63"/>
  <c r="E166" i="63"/>
  <c r="F166" i="63"/>
  <c r="G166" i="63"/>
  <c r="H166" i="63"/>
  <c r="I166" i="63"/>
  <c r="A167" i="63"/>
  <c r="C167" i="63"/>
  <c r="D167" i="63"/>
  <c r="E167" i="63"/>
  <c r="F167" i="63"/>
  <c r="G167" i="63"/>
  <c r="H167" i="63"/>
  <c r="I167" i="63"/>
  <c r="A168" i="63"/>
  <c r="C168" i="63"/>
  <c r="D168" i="63"/>
  <c r="E168" i="63"/>
  <c r="F168" i="63"/>
  <c r="G168" i="63"/>
  <c r="H168" i="63"/>
  <c r="I168" i="63"/>
  <c r="A169" i="63"/>
  <c r="C169" i="63"/>
  <c r="D169" i="63"/>
  <c r="E169" i="63"/>
  <c r="F169" i="63"/>
  <c r="G169" i="63"/>
  <c r="H169" i="63"/>
  <c r="I169" i="63"/>
  <c r="A170" i="63"/>
  <c r="C170" i="63"/>
  <c r="D170" i="63"/>
  <c r="E170" i="63"/>
  <c r="F170" i="63"/>
  <c r="G170" i="63"/>
  <c r="H170" i="63"/>
  <c r="I170" i="63"/>
  <c r="A171" i="63"/>
  <c r="C171" i="63"/>
  <c r="D171" i="63"/>
  <c r="E171" i="63"/>
  <c r="F171" i="63"/>
  <c r="G171" i="63"/>
  <c r="H171" i="63"/>
  <c r="I171" i="63"/>
  <c r="A172" i="63"/>
  <c r="C172" i="63"/>
  <c r="D172" i="63"/>
  <c r="E172" i="63"/>
  <c r="F172" i="63"/>
  <c r="G172" i="63"/>
  <c r="H172" i="63"/>
  <c r="I172" i="63"/>
  <c r="A173" i="63"/>
  <c r="C173" i="63"/>
  <c r="D173" i="63"/>
  <c r="E173" i="63"/>
  <c r="F173" i="63"/>
  <c r="G173" i="63"/>
  <c r="H173" i="63"/>
  <c r="I173" i="63"/>
  <c r="A174" i="63"/>
  <c r="C174" i="63"/>
  <c r="D174" i="63"/>
  <c r="E174" i="63"/>
  <c r="F174" i="63"/>
  <c r="G174" i="63"/>
  <c r="H174" i="63"/>
  <c r="I174" i="63"/>
  <c r="A175" i="63"/>
  <c r="C175" i="63"/>
  <c r="D175" i="63"/>
  <c r="E175" i="63"/>
  <c r="F175" i="63"/>
  <c r="G175" i="63"/>
  <c r="H175" i="63"/>
  <c r="I175" i="63"/>
  <c r="A176" i="63"/>
  <c r="C176" i="63"/>
  <c r="D176" i="63"/>
  <c r="E176" i="63"/>
  <c r="F176" i="63"/>
  <c r="G176" i="63"/>
  <c r="H176" i="63"/>
  <c r="I176" i="63"/>
  <c r="A177" i="63"/>
  <c r="C177" i="63"/>
  <c r="D177" i="63"/>
  <c r="E177" i="63"/>
  <c r="F177" i="63"/>
  <c r="G177" i="63"/>
  <c r="H177" i="63"/>
  <c r="I177" i="63"/>
  <c r="A178" i="63"/>
  <c r="C178" i="63"/>
  <c r="D178" i="63"/>
  <c r="E178" i="63"/>
  <c r="F178" i="63"/>
  <c r="G178" i="63"/>
  <c r="H178" i="63"/>
  <c r="I178" i="63"/>
  <c r="A179" i="63"/>
  <c r="C179" i="63"/>
  <c r="D179" i="63"/>
  <c r="E179" i="63"/>
  <c r="F179" i="63"/>
  <c r="G179" i="63"/>
  <c r="H179" i="63"/>
  <c r="I179" i="63"/>
  <c r="A180" i="63"/>
  <c r="C180" i="63"/>
  <c r="D180" i="63"/>
  <c r="E180" i="63"/>
  <c r="F180" i="63"/>
  <c r="G180" i="63"/>
  <c r="H180" i="63"/>
  <c r="I180" i="63"/>
  <c r="A181" i="63"/>
  <c r="C181" i="63"/>
  <c r="D181" i="63"/>
  <c r="E181" i="63"/>
  <c r="F181" i="63"/>
  <c r="G181" i="63"/>
  <c r="H181" i="63"/>
  <c r="I181" i="63"/>
  <c r="A182" i="63"/>
  <c r="C182" i="63"/>
  <c r="D182" i="63"/>
  <c r="E182" i="63"/>
  <c r="F182" i="63"/>
  <c r="G182" i="63"/>
  <c r="H182" i="63"/>
  <c r="I182" i="63"/>
  <c r="A183" i="63"/>
  <c r="C183" i="63"/>
  <c r="D183" i="63"/>
  <c r="E183" i="63"/>
  <c r="F183" i="63"/>
  <c r="G183" i="63"/>
  <c r="H183" i="63"/>
  <c r="I183" i="63"/>
  <c r="A184" i="63"/>
  <c r="C184" i="63"/>
  <c r="D184" i="63"/>
  <c r="E184" i="63"/>
  <c r="F184" i="63"/>
  <c r="G184" i="63"/>
  <c r="H184" i="63"/>
  <c r="I184" i="63"/>
  <c r="A185" i="63"/>
  <c r="C185" i="63"/>
  <c r="D185" i="63"/>
  <c r="E185" i="63"/>
  <c r="F185" i="63"/>
  <c r="G185" i="63"/>
  <c r="H185" i="63"/>
  <c r="I185" i="63"/>
  <c r="A186" i="63"/>
  <c r="C186" i="63"/>
  <c r="D186" i="63"/>
  <c r="E186" i="63"/>
  <c r="F186" i="63"/>
  <c r="G186" i="63"/>
  <c r="H186" i="63"/>
  <c r="I186" i="63"/>
  <c r="A187" i="63"/>
  <c r="C187" i="63"/>
  <c r="D187" i="63"/>
  <c r="E187" i="63"/>
  <c r="F187" i="63"/>
  <c r="G187" i="63"/>
  <c r="H187" i="63"/>
  <c r="I187" i="63"/>
  <c r="A188" i="63"/>
  <c r="C188" i="63"/>
  <c r="D188" i="63"/>
  <c r="E188" i="63"/>
  <c r="F188" i="63"/>
  <c r="G188" i="63"/>
  <c r="H188" i="63"/>
  <c r="I188" i="63"/>
  <c r="A189" i="63"/>
  <c r="C189" i="63"/>
  <c r="D189" i="63"/>
  <c r="E189" i="63"/>
  <c r="F189" i="63"/>
  <c r="G189" i="63"/>
  <c r="H189" i="63"/>
  <c r="I189" i="63"/>
  <c r="A190" i="63"/>
  <c r="C190" i="63"/>
  <c r="D190" i="63"/>
  <c r="E190" i="63"/>
  <c r="F190" i="63"/>
  <c r="G190" i="63"/>
  <c r="H190" i="63"/>
  <c r="I190" i="63"/>
  <c r="A191" i="63"/>
  <c r="C191" i="63"/>
  <c r="D191" i="63"/>
  <c r="E191" i="63"/>
  <c r="F191" i="63"/>
  <c r="G191" i="63"/>
  <c r="H191" i="63"/>
  <c r="I191" i="63"/>
  <c r="A192" i="63"/>
  <c r="C192" i="63"/>
  <c r="D192" i="63"/>
  <c r="E192" i="63"/>
  <c r="F192" i="63"/>
  <c r="G192" i="63"/>
  <c r="H192" i="63"/>
  <c r="I192" i="63"/>
  <c r="A193" i="63"/>
  <c r="C193" i="63"/>
  <c r="D193" i="63"/>
  <c r="E193" i="63"/>
  <c r="F193" i="63"/>
  <c r="G193" i="63"/>
  <c r="H193" i="63"/>
  <c r="I193" i="63"/>
  <c r="A194" i="63"/>
  <c r="C194" i="63"/>
  <c r="D194" i="63"/>
  <c r="E194" i="63"/>
  <c r="F194" i="63"/>
  <c r="G194" i="63"/>
  <c r="H194" i="63"/>
  <c r="I194" i="63"/>
  <c r="A195" i="63"/>
  <c r="C195" i="63"/>
  <c r="D195" i="63"/>
  <c r="E195" i="63"/>
  <c r="F195" i="63"/>
  <c r="G195" i="63"/>
  <c r="H195" i="63"/>
  <c r="I195" i="63"/>
  <c r="A196" i="63"/>
  <c r="C196" i="63"/>
  <c r="D196" i="63"/>
  <c r="E196" i="63"/>
  <c r="F196" i="63"/>
  <c r="G196" i="63"/>
  <c r="H196" i="63"/>
  <c r="I196" i="63"/>
  <c r="A197" i="63"/>
  <c r="C197" i="63"/>
  <c r="D197" i="63"/>
  <c r="E197" i="63"/>
  <c r="F197" i="63"/>
  <c r="G197" i="63"/>
  <c r="H197" i="63"/>
  <c r="I197" i="63"/>
  <c r="A198" i="63"/>
  <c r="C198" i="63"/>
  <c r="D198" i="63"/>
  <c r="E198" i="63"/>
  <c r="F198" i="63"/>
  <c r="G198" i="63"/>
  <c r="H198" i="63"/>
  <c r="I198" i="63"/>
  <c r="A199" i="63"/>
  <c r="C199" i="63"/>
  <c r="D199" i="63"/>
  <c r="E199" i="63"/>
  <c r="F199" i="63"/>
  <c r="G199" i="63"/>
  <c r="H199" i="63"/>
  <c r="I199" i="63"/>
  <c r="A200" i="63"/>
  <c r="C200" i="63"/>
  <c r="D200" i="63"/>
  <c r="E200" i="63"/>
  <c r="F200" i="63"/>
  <c r="G200" i="63"/>
  <c r="H200" i="63"/>
  <c r="I200" i="63"/>
  <c r="A201" i="63"/>
  <c r="C201" i="63"/>
  <c r="D201" i="63"/>
  <c r="E201" i="63"/>
  <c r="F201" i="63"/>
  <c r="G201" i="63"/>
  <c r="H201" i="63"/>
  <c r="I201" i="63"/>
  <c r="A202" i="63"/>
  <c r="C202" i="63"/>
  <c r="D202" i="63"/>
  <c r="E202" i="63"/>
  <c r="F202" i="63"/>
  <c r="G202" i="63"/>
  <c r="H202" i="63"/>
  <c r="I202" i="63"/>
  <c r="A203" i="63"/>
  <c r="C203" i="63"/>
  <c r="D203" i="63"/>
  <c r="E203" i="63"/>
  <c r="F203" i="63"/>
  <c r="G203" i="63"/>
  <c r="H203" i="63"/>
  <c r="I203" i="63"/>
  <c r="A204" i="63"/>
  <c r="C204" i="63"/>
  <c r="D204" i="63"/>
  <c r="E204" i="63"/>
  <c r="F204" i="63"/>
  <c r="G204" i="63"/>
  <c r="H204" i="63"/>
  <c r="I204" i="63"/>
  <c r="A205" i="63"/>
  <c r="C205" i="63"/>
  <c r="D205" i="63"/>
  <c r="E205" i="63"/>
  <c r="F205" i="63"/>
  <c r="G205" i="63"/>
  <c r="H205" i="63"/>
  <c r="I205" i="63"/>
  <c r="A206" i="63"/>
  <c r="C206" i="63"/>
  <c r="D206" i="63"/>
  <c r="E206" i="63"/>
  <c r="F206" i="63"/>
  <c r="G206" i="63"/>
  <c r="H206" i="63"/>
  <c r="I206" i="63"/>
  <c r="A207" i="63"/>
  <c r="C207" i="63"/>
  <c r="D207" i="63"/>
  <c r="E207" i="63"/>
  <c r="F207" i="63"/>
  <c r="G207" i="63"/>
  <c r="H207" i="63"/>
  <c r="I207" i="63"/>
  <c r="A208" i="63"/>
  <c r="C208" i="63"/>
  <c r="D208" i="63"/>
  <c r="E208" i="63"/>
  <c r="F208" i="63"/>
  <c r="G208" i="63"/>
  <c r="H208" i="63"/>
  <c r="I208" i="63"/>
  <c r="A209" i="63"/>
  <c r="C209" i="63"/>
  <c r="D209" i="63"/>
  <c r="E209" i="63"/>
  <c r="F209" i="63"/>
  <c r="G209" i="63"/>
  <c r="H209" i="63"/>
  <c r="I209" i="63"/>
  <c r="A210" i="63"/>
  <c r="C210" i="63"/>
  <c r="D210" i="63"/>
  <c r="E210" i="63"/>
  <c r="F210" i="63"/>
  <c r="G210" i="63"/>
  <c r="H210" i="63"/>
  <c r="I210" i="63"/>
  <c r="A211" i="63"/>
  <c r="C211" i="63"/>
  <c r="D211" i="63"/>
  <c r="E211" i="63"/>
  <c r="F211" i="63"/>
  <c r="G211" i="63"/>
  <c r="H211" i="63"/>
  <c r="I211" i="63"/>
  <c r="A212" i="63"/>
  <c r="C212" i="63"/>
  <c r="D212" i="63"/>
  <c r="E212" i="63"/>
  <c r="F212" i="63"/>
  <c r="G212" i="63"/>
  <c r="H212" i="63"/>
  <c r="I212" i="63"/>
  <c r="A213" i="63"/>
  <c r="C213" i="63"/>
  <c r="D213" i="63"/>
  <c r="E213" i="63"/>
  <c r="F213" i="63"/>
  <c r="G213" i="63"/>
  <c r="H213" i="63"/>
  <c r="I213" i="63"/>
  <c r="A214" i="63"/>
  <c r="C214" i="63"/>
  <c r="D214" i="63"/>
  <c r="E214" i="63"/>
  <c r="F214" i="63"/>
  <c r="G214" i="63"/>
  <c r="H214" i="63"/>
  <c r="I214" i="63"/>
  <c r="A215" i="63"/>
  <c r="C215" i="63"/>
  <c r="D215" i="63"/>
  <c r="E215" i="63"/>
  <c r="F215" i="63"/>
  <c r="G215" i="63"/>
  <c r="H215" i="63"/>
  <c r="I215" i="63"/>
  <c r="A216" i="63"/>
  <c r="C216" i="63"/>
  <c r="D216" i="63"/>
  <c r="E216" i="63"/>
  <c r="F216" i="63"/>
  <c r="G216" i="63"/>
  <c r="H216" i="63"/>
  <c r="I216" i="63"/>
  <c r="A217" i="63"/>
  <c r="C217" i="63"/>
  <c r="D217" i="63"/>
  <c r="E217" i="63"/>
  <c r="F217" i="63"/>
  <c r="G217" i="63"/>
  <c r="H217" i="63"/>
  <c r="I217" i="63"/>
  <c r="A218" i="63"/>
  <c r="C218" i="63"/>
  <c r="D218" i="63"/>
  <c r="E218" i="63"/>
  <c r="F218" i="63"/>
  <c r="G218" i="63"/>
  <c r="H218" i="63"/>
  <c r="I218" i="63"/>
  <c r="A219" i="63"/>
  <c r="C219" i="63"/>
  <c r="D219" i="63"/>
  <c r="E219" i="63"/>
  <c r="F219" i="63"/>
  <c r="G219" i="63"/>
  <c r="H219" i="63"/>
  <c r="I219" i="63"/>
  <c r="A220" i="63"/>
  <c r="C220" i="63"/>
  <c r="D220" i="63"/>
  <c r="E220" i="63"/>
  <c r="F220" i="63"/>
  <c r="G220" i="63"/>
  <c r="H220" i="63"/>
  <c r="I220" i="63"/>
  <c r="A221" i="63"/>
  <c r="C221" i="63"/>
  <c r="D221" i="63"/>
  <c r="E221" i="63"/>
  <c r="F221" i="63"/>
  <c r="G221" i="63"/>
  <c r="H221" i="63"/>
  <c r="I221" i="63"/>
  <c r="A222" i="63"/>
  <c r="C222" i="63"/>
  <c r="D222" i="63"/>
  <c r="E222" i="63"/>
  <c r="F222" i="63"/>
  <c r="G222" i="63"/>
  <c r="H222" i="63"/>
  <c r="I222" i="63"/>
  <c r="A223" i="63"/>
  <c r="C223" i="63"/>
  <c r="D223" i="63"/>
  <c r="E223" i="63"/>
  <c r="F223" i="63"/>
  <c r="G223" i="63"/>
  <c r="H223" i="63"/>
  <c r="I223" i="63"/>
  <c r="A224" i="63"/>
  <c r="C224" i="63"/>
  <c r="D224" i="63"/>
  <c r="E224" i="63"/>
  <c r="F224" i="63"/>
  <c r="G224" i="63"/>
  <c r="H224" i="63"/>
  <c r="I224" i="63"/>
  <c r="A225" i="63"/>
  <c r="C225" i="63"/>
  <c r="D225" i="63"/>
  <c r="E225" i="63"/>
  <c r="F225" i="63"/>
  <c r="G225" i="63"/>
  <c r="H225" i="63"/>
  <c r="I225" i="63"/>
  <c r="A226" i="63"/>
  <c r="C226" i="63"/>
  <c r="D226" i="63"/>
  <c r="E226" i="63"/>
  <c r="F226" i="63"/>
  <c r="G226" i="63"/>
  <c r="H226" i="63"/>
  <c r="I226" i="63"/>
  <c r="A227" i="63"/>
  <c r="C227" i="63"/>
  <c r="D227" i="63"/>
  <c r="E227" i="63"/>
  <c r="F227" i="63"/>
  <c r="G227" i="63"/>
  <c r="H227" i="63"/>
  <c r="I227" i="63"/>
  <c r="A228" i="63"/>
  <c r="C228" i="63"/>
  <c r="D228" i="63"/>
  <c r="E228" i="63"/>
  <c r="F228" i="63"/>
  <c r="G228" i="63"/>
  <c r="H228" i="63"/>
  <c r="I228" i="63"/>
  <c r="A229" i="63"/>
  <c r="C229" i="63"/>
  <c r="D229" i="63"/>
  <c r="E229" i="63"/>
  <c r="F229" i="63"/>
  <c r="G229" i="63"/>
  <c r="H229" i="63"/>
  <c r="I229" i="63"/>
  <c r="A230" i="63"/>
  <c r="C230" i="63"/>
  <c r="D230" i="63"/>
  <c r="E230" i="63"/>
  <c r="F230" i="63"/>
  <c r="G230" i="63"/>
  <c r="H230" i="63"/>
  <c r="I230" i="63"/>
  <c r="A231" i="63"/>
  <c r="C231" i="63"/>
  <c r="D231" i="63"/>
  <c r="E231" i="63"/>
  <c r="F231" i="63"/>
  <c r="G231" i="63"/>
  <c r="H231" i="63"/>
  <c r="I231" i="63"/>
  <c r="A232" i="63"/>
  <c r="C232" i="63"/>
  <c r="D232" i="63"/>
  <c r="E232" i="63"/>
  <c r="F232" i="63"/>
  <c r="G232" i="63"/>
  <c r="H232" i="63"/>
  <c r="I232" i="63"/>
  <c r="A233" i="63"/>
  <c r="C233" i="63"/>
  <c r="D233" i="63"/>
  <c r="E233" i="63"/>
  <c r="F233" i="63"/>
  <c r="G233" i="63"/>
  <c r="H233" i="63"/>
  <c r="I233" i="63"/>
  <c r="A234" i="63"/>
  <c r="C234" i="63"/>
  <c r="D234" i="63"/>
  <c r="E234" i="63"/>
  <c r="F234" i="63"/>
  <c r="G234" i="63"/>
  <c r="H234" i="63"/>
  <c r="I234" i="63"/>
  <c r="A235" i="63"/>
  <c r="C235" i="63"/>
  <c r="D235" i="63"/>
  <c r="E235" i="63"/>
  <c r="F235" i="63"/>
  <c r="G235" i="63"/>
  <c r="H235" i="63"/>
  <c r="I235" i="63"/>
  <c r="A236" i="63"/>
  <c r="C236" i="63"/>
  <c r="D236" i="63"/>
  <c r="E236" i="63"/>
  <c r="F236" i="63"/>
  <c r="G236" i="63"/>
  <c r="H236" i="63"/>
  <c r="I236" i="63"/>
  <c r="A237" i="63"/>
  <c r="C237" i="63"/>
  <c r="D237" i="63"/>
  <c r="E237" i="63"/>
  <c r="F237" i="63"/>
  <c r="G237" i="63"/>
  <c r="H237" i="63"/>
  <c r="I237" i="63"/>
  <c r="A238" i="63"/>
  <c r="C238" i="63"/>
  <c r="D238" i="63"/>
  <c r="E238" i="63"/>
  <c r="F238" i="63"/>
  <c r="G238" i="63"/>
  <c r="H238" i="63"/>
  <c r="I238" i="63"/>
  <c r="A239" i="63"/>
  <c r="C239" i="63"/>
  <c r="D239" i="63"/>
  <c r="E239" i="63"/>
  <c r="F239" i="63"/>
  <c r="G239" i="63"/>
  <c r="H239" i="63"/>
  <c r="I239" i="63"/>
  <c r="A240" i="63"/>
  <c r="C240" i="63"/>
  <c r="D240" i="63"/>
  <c r="E240" i="63"/>
  <c r="F240" i="63"/>
  <c r="G240" i="63"/>
  <c r="H240" i="63"/>
  <c r="I240" i="63"/>
  <c r="A241" i="63"/>
  <c r="C241" i="63"/>
  <c r="D241" i="63"/>
  <c r="E241" i="63"/>
  <c r="F241" i="63"/>
  <c r="G241" i="63"/>
  <c r="H241" i="63"/>
  <c r="I241" i="63"/>
  <c r="A242" i="63"/>
  <c r="C242" i="63"/>
  <c r="D242" i="63"/>
  <c r="E242" i="63"/>
  <c r="F242" i="63"/>
  <c r="G242" i="63"/>
  <c r="H242" i="63"/>
  <c r="I242" i="63"/>
  <c r="A243" i="63"/>
  <c r="C243" i="63"/>
  <c r="D243" i="63"/>
  <c r="E243" i="63"/>
  <c r="F243" i="63"/>
  <c r="G243" i="63"/>
  <c r="H243" i="63"/>
  <c r="I243" i="63"/>
  <c r="A244" i="63"/>
  <c r="C244" i="63"/>
  <c r="D244" i="63"/>
  <c r="E244" i="63"/>
  <c r="F244" i="63"/>
  <c r="G244" i="63"/>
  <c r="H244" i="63"/>
  <c r="I244" i="63"/>
  <c r="A245" i="63"/>
  <c r="C245" i="63"/>
  <c r="D245" i="63"/>
  <c r="E245" i="63"/>
  <c r="F245" i="63"/>
  <c r="G245" i="63"/>
  <c r="H245" i="63"/>
  <c r="I245" i="63"/>
  <c r="A246" i="63"/>
  <c r="C246" i="63"/>
  <c r="D246" i="63"/>
  <c r="E246" i="63"/>
  <c r="F246" i="63"/>
  <c r="G246" i="63"/>
  <c r="H246" i="63"/>
  <c r="I246" i="63"/>
  <c r="A247" i="63"/>
  <c r="C247" i="63"/>
  <c r="D247" i="63"/>
  <c r="E247" i="63"/>
  <c r="F247" i="63"/>
  <c r="G247" i="63"/>
  <c r="H247" i="63"/>
  <c r="I247" i="63"/>
  <c r="A248" i="63"/>
  <c r="C248" i="63"/>
  <c r="D248" i="63"/>
  <c r="E248" i="63"/>
  <c r="F248" i="63"/>
  <c r="G248" i="63"/>
  <c r="H248" i="63"/>
  <c r="I248" i="63"/>
  <c r="A249" i="63"/>
  <c r="C249" i="63"/>
  <c r="D249" i="63"/>
  <c r="E249" i="63"/>
  <c r="F249" i="63"/>
  <c r="G249" i="63"/>
  <c r="H249" i="63"/>
  <c r="I249" i="63"/>
  <c r="A250" i="63"/>
  <c r="C250" i="63"/>
  <c r="D250" i="63"/>
  <c r="E250" i="63"/>
  <c r="F250" i="63"/>
  <c r="G250" i="63"/>
  <c r="H250" i="63"/>
  <c r="I250" i="63"/>
  <c r="A251" i="63"/>
  <c r="C251" i="63"/>
  <c r="D251" i="63"/>
  <c r="E251" i="63"/>
  <c r="F251" i="63"/>
  <c r="G251" i="63"/>
  <c r="H251" i="63"/>
  <c r="I251" i="63"/>
  <c r="A252" i="63"/>
  <c r="C252" i="63"/>
  <c r="D252" i="63"/>
  <c r="E252" i="63"/>
  <c r="F252" i="63"/>
  <c r="G252" i="63"/>
  <c r="H252" i="63"/>
  <c r="I252" i="63"/>
  <c r="A253" i="63"/>
  <c r="C253" i="63"/>
  <c r="D253" i="63"/>
  <c r="E253" i="63"/>
  <c r="F253" i="63"/>
  <c r="G253" i="63"/>
  <c r="H253" i="63"/>
  <c r="I253" i="63"/>
  <c r="A254" i="63"/>
  <c r="C254" i="63"/>
  <c r="D254" i="63"/>
  <c r="E254" i="63"/>
  <c r="F254" i="63"/>
  <c r="G254" i="63"/>
  <c r="H254" i="63"/>
  <c r="I254" i="63"/>
  <c r="A255" i="63"/>
  <c r="C255" i="63"/>
  <c r="D255" i="63"/>
  <c r="E255" i="63"/>
  <c r="F255" i="63"/>
  <c r="G255" i="63"/>
  <c r="H255" i="63"/>
  <c r="I255" i="63"/>
  <c r="A256" i="63"/>
  <c r="C256" i="63"/>
  <c r="D256" i="63"/>
  <c r="E256" i="63"/>
  <c r="F256" i="63"/>
  <c r="G256" i="63"/>
  <c r="H256" i="63"/>
  <c r="I256" i="63"/>
  <c r="A257" i="63"/>
  <c r="C257" i="63"/>
  <c r="D257" i="63"/>
  <c r="E257" i="63"/>
  <c r="F257" i="63"/>
  <c r="G257" i="63"/>
  <c r="H257" i="63"/>
  <c r="I257" i="63"/>
  <c r="A258" i="63"/>
  <c r="C258" i="63"/>
  <c r="D258" i="63"/>
  <c r="E258" i="63"/>
  <c r="F258" i="63"/>
  <c r="G258" i="63"/>
  <c r="H258" i="63"/>
  <c r="I258" i="63"/>
  <c r="A259" i="63"/>
  <c r="C259" i="63"/>
  <c r="D259" i="63"/>
  <c r="E259" i="63"/>
  <c r="F259" i="63"/>
  <c r="G259" i="63"/>
  <c r="H259" i="63"/>
  <c r="I259" i="63"/>
  <c r="A260" i="63"/>
  <c r="C260" i="63"/>
  <c r="D260" i="63"/>
  <c r="E260" i="63"/>
  <c r="F260" i="63"/>
  <c r="G260" i="63"/>
  <c r="H260" i="63"/>
  <c r="I260" i="63"/>
  <c r="A261" i="63"/>
  <c r="C261" i="63"/>
  <c r="D261" i="63"/>
  <c r="E261" i="63"/>
  <c r="F261" i="63"/>
  <c r="G261" i="63"/>
  <c r="H261" i="63"/>
  <c r="I261" i="63"/>
  <c r="A262" i="63"/>
  <c r="C262" i="63"/>
  <c r="D262" i="63"/>
  <c r="E262" i="63"/>
  <c r="F262" i="63"/>
  <c r="G262" i="63"/>
  <c r="H262" i="63"/>
  <c r="I262" i="63"/>
  <c r="A263" i="63"/>
  <c r="C263" i="63"/>
  <c r="D263" i="63"/>
  <c r="E263" i="63"/>
  <c r="F263" i="63"/>
  <c r="G263" i="63"/>
  <c r="H263" i="63"/>
  <c r="I263" i="63"/>
  <c r="A264" i="63"/>
  <c r="C264" i="63"/>
  <c r="D264" i="63"/>
  <c r="E264" i="63"/>
  <c r="F264" i="63"/>
  <c r="G264" i="63"/>
  <c r="H264" i="63"/>
  <c r="I264" i="63"/>
  <c r="A265" i="63"/>
  <c r="C265" i="63"/>
  <c r="D265" i="63"/>
  <c r="E265" i="63"/>
  <c r="F265" i="63"/>
  <c r="G265" i="63"/>
  <c r="H265" i="63"/>
  <c r="I265" i="63"/>
  <c r="A266" i="63"/>
  <c r="C266" i="63"/>
  <c r="D266" i="63"/>
  <c r="E266" i="63"/>
  <c r="F266" i="63"/>
  <c r="G266" i="63"/>
  <c r="H266" i="63"/>
  <c r="I266" i="63"/>
  <c r="A267" i="63"/>
  <c r="C267" i="63"/>
  <c r="D267" i="63"/>
  <c r="E267" i="63"/>
  <c r="F267" i="63"/>
  <c r="G267" i="63"/>
  <c r="H267" i="63"/>
  <c r="I267" i="63"/>
  <c r="A268" i="63"/>
  <c r="C268" i="63"/>
  <c r="D268" i="63"/>
  <c r="E268" i="63"/>
  <c r="F268" i="63"/>
  <c r="G268" i="63"/>
  <c r="H268" i="63"/>
  <c r="I268" i="63"/>
  <c r="A269" i="63"/>
  <c r="C269" i="63"/>
  <c r="D269" i="63"/>
  <c r="E269" i="63"/>
  <c r="F269" i="63"/>
  <c r="G269" i="63"/>
  <c r="H269" i="63"/>
  <c r="I269" i="63"/>
  <c r="A270" i="63"/>
  <c r="C270" i="63"/>
  <c r="D270" i="63"/>
  <c r="E270" i="63"/>
  <c r="F270" i="63"/>
  <c r="G270" i="63"/>
  <c r="H270" i="63"/>
  <c r="I270" i="63"/>
  <c r="A271" i="63"/>
  <c r="C271" i="63"/>
  <c r="D271" i="63"/>
  <c r="E271" i="63"/>
  <c r="F271" i="63"/>
  <c r="G271" i="63"/>
  <c r="H271" i="63"/>
  <c r="I271" i="63"/>
  <c r="A272" i="63"/>
  <c r="C272" i="63"/>
  <c r="D272" i="63"/>
  <c r="E272" i="63"/>
  <c r="F272" i="63"/>
  <c r="G272" i="63"/>
  <c r="H272" i="63"/>
  <c r="I272" i="63"/>
  <c r="A273" i="63"/>
  <c r="C273" i="63"/>
  <c r="D273" i="63"/>
  <c r="E273" i="63"/>
  <c r="F273" i="63"/>
  <c r="G273" i="63"/>
  <c r="H273" i="63"/>
  <c r="I273" i="63"/>
  <c r="A274" i="63"/>
  <c r="C274" i="63"/>
  <c r="D274" i="63"/>
  <c r="E274" i="63"/>
  <c r="F274" i="63"/>
  <c r="G274" i="63"/>
  <c r="H274" i="63"/>
  <c r="I274" i="63"/>
  <c r="A275" i="63"/>
  <c r="C275" i="63"/>
  <c r="D275" i="63"/>
  <c r="E275" i="63"/>
  <c r="F275" i="63"/>
  <c r="G275" i="63"/>
  <c r="H275" i="63"/>
  <c r="I275" i="63"/>
  <c r="A276" i="63"/>
  <c r="C276" i="63"/>
  <c r="D276" i="63"/>
  <c r="E276" i="63"/>
  <c r="F276" i="63"/>
  <c r="G276" i="63"/>
  <c r="H276" i="63"/>
  <c r="I276" i="63"/>
  <c r="A277" i="63"/>
  <c r="C277" i="63"/>
  <c r="D277" i="63"/>
  <c r="E277" i="63"/>
  <c r="F277" i="63"/>
  <c r="G277" i="63"/>
  <c r="H277" i="63"/>
  <c r="I277" i="63"/>
  <c r="A278" i="63"/>
  <c r="C278" i="63"/>
  <c r="D278" i="63"/>
  <c r="E278" i="63"/>
  <c r="F278" i="63"/>
  <c r="G278" i="63"/>
  <c r="H278" i="63"/>
  <c r="I278" i="63"/>
  <c r="A279" i="63"/>
  <c r="C279" i="63"/>
  <c r="D279" i="63"/>
  <c r="E279" i="63"/>
  <c r="F279" i="63"/>
  <c r="G279" i="63"/>
  <c r="H279" i="63"/>
  <c r="I279" i="63"/>
  <c r="A280" i="63"/>
  <c r="C280" i="63"/>
  <c r="D280" i="63"/>
  <c r="E280" i="63"/>
  <c r="F280" i="63"/>
  <c r="G280" i="63"/>
  <c r="H280" i="63"/>
  <c r="I280" i="63"/>
  <c r="A281" i="63"/>
  <c r="C281" i="63"/>
  <c r="D281" i="63"/>
  <c r="E281" i="63"/>
  <c r="F281" i="63"/>
  <c r="G281" i="63"/>
  <c r="H281" i="63"/>
  <c r="I281" i="63"/>
  <c r="A282" i="63"/>
  <c r="C282" i="63"/>
  <c r="D282" i="63"/>
  <c r="E282" i="63"/>
  <c r="F282" i="63"/>
  <c r="G282" i="63"/>
  <c r="H282" i="63"/>
  <c r="I282" i="63"/>
  <c r="A283" i="63"/>
  <c r="C283" i="63"/>
  <c r="D283" i="63"/>
  <c r="E283" i="63"/>
  <c r="F283" i="63"/>
  <c r="G283" i="63"/>
  <c r="H283" i="63"/>
  <c r="I283" i="63"/>
  <c r="A284" i="63"/>
  <c r="C284" i="63"/>
  <c r="D284" i="63"/>
  <c r="E284" i="63"/>
  <c r="F284" i="63"/>
  <c r="G284" i="63"/>
  <c r="H284" i="63"/>
  <c r="I284" i="63"/>
  <c r="A285" i="63"/>
  <c r="C285" i="63"/>
  <c r="D285" i="63"/>
  <c r="E285" i="63"/>
  <c r="F285" i="63"/>
  <c r="G285" i="63"/>
  <c r="H285" i="63"/>
  <c r="I285" i="63"/>
  <c r="A286" i="63"/>
  <c r="C286" i="63"/>
  <c r="D286" i="63"/>
  <c r="E286" i="63"/>
  <c r="F286" i="63"/>
  <c r="G286" i="63"/>
  <c r="H286" i="63"/>
  <c r="I286" i="63"/>
  <c r="A287" i="63"/>
  <c r="C287" i="63"/>
  <c r="D287" i="63"/>
  <c r="E287" i="63"/>
  <c r="F287" i="63"/>
  <c r="G287" i="63"/>
  <c r="H287" i="63"/>
  <c r="I287" i="63"/>
  <c r="A288" i="63"/>
  <c r="C288" i="63"/>
  <c r="D288" i="63"/>
  <c r="E288" i="63"/>
  <c r="F288" i="63"/>
  <c r="G288" i="63"/>
  <c r="H288" i="63"/>
  <c r="I288" i="63"/>
  <c r="A289" i="63"/>
  <c r="C289" i="63"/>
  <c r="D289" i="63"/>
  <c r="E289" i="63"/>
  <c r="F289" i="63"/>
  <c r="G289" i="63"/>
  <c r="H289" i="63"/>
  <c r="I289" i="63"/>
  <c r="A290" i="63"/>
  <c r="C290" i="63"/>
  <c r="D290" i="63"/>
  <c r="E290" i="63"/>
  <c r="F290" i="63"/>
  <c r="G290" i="63"/>
  <c r="H290" i="63"/>
  <c r="I290" i="63"/>
  <c r="A291" i="63"/>
  <c r="C291" i="63"/>
  <c r="D291" i="63"/>
  <c r="E291" i="63"/>
  <c r="F291" i="63"/>
  <c r="G291" i="63"/>
  <c r="H291" i="63"/>
  <c r="I291" i="63"/>
  <c r="A292" i="63"/>
  <c r="C292" i="63"/>
  <c r="D292" i="63"/>
  <c r="E292" i="63"/>
  <c r="F292" i="63"/>
  <c r="G292" i="63"/>
  <c r="H292" i="63"/>
  <c r="I292" i="63"/>
  <c r="A293" i="63"/>
  <c r="C293" i="63"/>
  <c r="D293" i="63"/>
  <c r="E293" i="63"/>
  <c r="F293" i="63"/>
  <c r="G293" i="63"/>
  <c r="H293" i="63"/>
  <c r="I293" i="63"/>
  <c r="A294" i="63"/>
  <c r="C294" i="63"/>
  <c r="D294" i="63"/>
  <c r="E294" i="63"/>
  <c r="F294" i="63"/>
  <c r="G294" i="63"/>
  <c r="H294" i="63"/>
  <c r="I294" i="63"/>
  <c r="A295" i="63"/>
  <c r="C295" i="63"/>
  <c r="D295" i="63"/>
  <c r="E295" i="63"/>
  <c r="F295" i="63"/>
  <c r="G295" i="63"/>
  <c r="H295" i="63"/>
  <c r="I295" i="63"/>
  <c r="A296" i="63"/>
  <c r="C296" i="63"/>
  <c r="D296" i="63"/>
  <c r="E296" i="63"/>
  <c r="F296" i="63"/>
  <c r="G296" i="63"/>
  <c r="H296" i="63"/>
  <c r="I296" i="63"/>
  <c r="A297" i="63"/>
  <c r="C297" i="63"/>
  <c r="D297" i="63"/>
  <c r="E297" i="63"/>
  <c r="F297" i="63"/>
  <c r="G297" i="63"/>
  <c r="H297" i="63"/>
  <c r="I297" i="63"/>
  <c r="A298" i="63"/>
  <c r="C298" i="63"/>
  <c r="D298" i="63"/>
  <c r="E298" i="63"/>
  <c r="F298" i="63"/>
  <c r="G298" i="63"/>
  <c r="H298" i="63"/>
  <c r="I298" i="63"/>
  <c r="A299" i="63"/>
  <c r="C299" i="63"/>
  <c r="D299" i="63"/>
  <c r="E299" i="63"/>
  <c r="F299" i="63"/>
  <c r="G299" i="63"/>
  <c r="H299" i="63"/>
  <c r="I299" i="63"/>
  <c r="A300" i="63"/>
  <c r="C300" i="63"/>
  <c r="D300" i="63"/>
  <c r="E300" i="63"/>
  <c r="F300" i="63"/>
  <c r="G300" i="63"/>
  <c r="H300" i="63"/>
  <c r="I300" i="63"/>
  <c r="A301" i="63"/>
  <c r="C301" i="63"/>
  <c r="D301" i="63"/>
  <c r="E301" i="63"/>
  <c r="F301" i="63"/>
  <c r="G301" i="63"/>
  <c r="H301" i="63"/>
  <c r="I301" i="63"/>
  <c r="A302" i="63"/>
  <c r="C302" i="63"/>
  <c r="D302" i="63"/>
  <c r="E302" i="63"/>
  <c r="F302" i="63"/>
  <c r="G302" i="63"/>
  <c r="H302" i="63"/>
  <c r="I302" i="63"/>
  <c r="A303" i="63"/>
  <c r="C303" i="63"/>
  <c r="D303" i="63"/>
  <c r="E303" i="63"/>
  <c r="F303" i="63"/>
  <c r="G303" i="63"/>
  <c r="H303" i="63"/>
  <c r="I303" i="63"/>
  <c r="A304" i="63"/>
  <c r="C304" i="63"/>
  <c r="D304" i="63"/>
  <c r="E304" i="63"/>
  <c r="F304" i="63"/>
  <c r="G304" i="63"/>
  <c r="H304" i="63"/>
  <c r="I304" i="63"/>
  <c r="A305" i="63"/>
  <c r="C305" i="63"/>
  <c r="D305" i="63"/>
  <c r="E305" i="63"/>
  <c r="F305" i="63"/>
  <c r="G305" i="63"/>
  <c r="H305" i="63"/>
  <c r="I305" i="63"/>
  <c r="A306" i="63"/>
  <c r="C306" i="63"/>
  <c r="D306" i="63"/>
  <c r="E306" i="63"/>
  <c r="F306" i="63"/>
  <c r="G306" i="63"/>
  <c r="H306" i="63"/>
  <c r="I306" i="63"/>
  <c r="A307" i="63"/>
  <c r="C307" i="63"/>
  <c r="D307" i="63"/>
  <c r="E307" i="63"/>
  <c r="F307" i="63"/>
  <c r="G307" i="63"/>
  <c r="H307" i="63"/>
  <c r="I307" i="63"/>
  <c r="A308" i="63"/>
  <c r="C308" i="63"/>
  <c r="D308" i="63"/>
  <c r="E308" i="63"/>
  <c r="F308" i="63"/>
  <c r="G308" i="63"/>
  <c r="H308" i="63"/>
  <c r="I308" i="63"/>
  <c r="A309" i="63"/>
  <c r="C309" i="63"/>
  <c r="D309" i="63"/>
  <c r="E309" i="63"/>
  <c r="F309" i="63"/>
  <c r="G309" i="63"/>
  <c r="H309" i="63"/>
  <c r="I309" i="63"/>
  <c r="A310" i="63"/>
  <c r="C310" i="63"/>
  <c r="D310" i="63"/>
  <c r="E310" i="63"/>
  <c r="F310" i="63"/>
  <c r="G310" i="63"/>
  <c r="H310" i="63"/>
  <c r="I310" i="63"/>
  <c r="A311" i="63"/>
  <c r="C311" i="63"/>
  <c r="D311" i="63"/>
  <c r="E311" i="63"/>
  <c r="F311" i="63"/>
  <c r="G311" i="63"/>
  <c r="H311" i="63"/>
  <c r="I311" i="63"/>
  <c r="A312" i="63"/>
  <c r="C312" i="63"/>
  <c r="D312" i="63"/>
  <c r="E312" i="63"/>
  <c r="F312" i="63"/>
  <c r="G312" i="63"/>
  <c r="H312" i="63"/>
  <c r="I312" i="63"/>
  <c r="A313" i="63"/>
  <c r="C313" i="63"/>
  <c r="D313" i="63"/>
  <c r="E313" i="63"/>
  <c r="F313" i="63"/>
  <c r="G313" i="63"/>
  <c r="H313" i="63"/>
  <c r="I313" i="63"/>
  <c r="A314" i="63"/>
  <c r="C314" i="63"/>
  <c r="D314" i="63"/>
  <c r="E314" i="63"/>
  <c r="F314" i="63"/>
  <c r="G314" i="63"/>
  <c r="H314" i="63"/>
  <c r="I314" i="63"/>
  <c r="A315" i="63"/>
  <c r="C315" i="63"/>
  <c r="D315" i="63"/>
  <c r="E315" i="63"/>
  <c r="F315" i="63"/>
  <c r="G315" i="63"/>
  <c r="H315" i="63"/>
  <c r="I315" i="63"/>
  <c r="A316" i="63"/>
  <c r="C316" i="63"/>
  <c r="D316" i="63"/>
  <c r="E316" i="63"/>
  <c r="F316" i="63"/>
  <c r="G316" i="63"/>
  <c r="H316" i="63"/>
  <c r="I316" i="63"/>
  <c r="A317" i="63"/>
  <c r="C317" i="63"/>
  <c r="D317" i="63"/>
  <c r="E317" i="63"/>
  <c r="F317" i="63"/>
  <c r="G317" i="63"/>
  <c r="H317" i="63"/>
  <c r="I317" i="63"/>
  <c r="A318" i="63"/>
  <c r="C318" i="63"/>
  <c r="D318" i="63"/>
  <c r="E318" i="63"/>
  <c r="F318" i="63"/>
  <c r="G318" i="63"/>
  <c r="H318" i="63"/>
  <c r="I318" i="63"/>
  <c r="A319" i="63"/>
  <c r="C319" i="63"/>
  <c r="D319" i="63"/>
  <c r="E319" i="63"/>
  <c r="F319" i="63"/>
  <c r="G319" i="63"/>
  <c r="H319" i="63"/>
  <c r="I319" i="63"/>
  <c r="A320" i="63"/>
  <c r="C320" i="63"/>
  <c r="D320" i="63"/>
  <c r="E320" i="63"/>
  <c r="F320" i="63"/>
  <c r="G320" i="63"/>
  <c r="H320" i="63"/>
  <c r="I320" i="63"/>
  <c r="A321" i="63"/>
  <c r="C321" i="63"/>
  <c r="D321" i="63"/>
  <c r="E321" i="63"/>
  <c r="F321" i="63"/>
  <c r="G321" i="63"/>
  <c r="H321" i="63"/>
  <c r="I321" i="63"/>
  <c r="A322" i="63"/>
  <c r="C322" i="63"/>
  <c r="D322" i="63"/>
  <c r="E322" i="63"/>
  <c r="F322" i="63"/>
  <c r="G322" i="63"/>
  <c r="H322" i="63"/>
  <c r="I322" i="63"/>
  <c r="A323" i="63"/>
  <c r="C323" i="63"/>
  <c r="D323" i="63"/>
  <c r="E323" i="63"/>
  <c r="F323" i="63"/>
  <c r="G323" i="63"/>
  <c r="H323" i="63"/>
  <c r="I323" i="63"/>
  <c r="A324" i="63"/>
  <c r="C324" i="63"/>
  <c r="D324" i="63"/>
  <c r="E324" i="63"/>
  <c r="F324" i="63"/>
  <c r="G324" i="63"/>
  <c r="H324" i="63"/>
  <c r="I324" i="63"/>
  <c r="A325" i="63"/>
  <c r="C325" i="63"/>
  <c r="D325" i="63"/>
  <c r="E325" i="63"/>
  <c r="F325" i="63"/>
  <c r="G325" i="63"/>
  <c r="H325" i="63"/>
  <c r="I325" i="63"/>
  <c r="A326" i="63"/>
  <c r="C326" i="63"/>
  <c r="D326" i="63"/>
  <c r="E326" i="63"/>
  <c r="F326" i="63"/>
  <c r="G326" i="63"/>
  <c r="H326" i="63"/>
  <c r="I326" i="63"/>
  <c r="A327" i="63"/>
  <c r="C327" i="63"/>
  <c r="D327" i="63"/>
  <c r="E327" i="63"/>
  <c r="F327" i="63"/>
  <c r="G327" i="63"/>
  <c r="H327" i="63"/>
  <c r="I327" i="63"/>
  <c r="A328" i="63"/>
  <c r="C328" i="63"/>
  <c r="D328" i="63"/>
  <c r="E328" i="63"/>
  <c r="F328" i="63"/>
  <c r="G328" i="63"/>
  <c r="H328" i="63"/>
  <c r="I328" i="63"/>
  <c r="A329" i="63"/>
  <c r="C329" i="63"/>
  <c r="D329" i="63"/>
  <c r="E329" i="63"/>
  <c r="F329" i="63"/>
  <c r="G329" i="63"/>
  <c r="H329" i="63"/>
  <c r="I329" i="63"/>
  <c r="A330" i="63"/>
  <c r="C330" i="63"/>
  <c r="D330" i="63"/>
  <c r="E330" i="63"/>
  <c r="F330" i="63"/>
  <c r="G330" i="63"/>
  <c r="H330" i="63"/>
  <c r="I330" i="63"/>
  <c r="A331" i="63"/>
  <c r="C331" i="63"/>
  <c r="D331" i="63"/>
  <c r="E331" i="63"/>
  <c r="F331" i="63"/>
  <c r="G331" i="63"/>
  <c r="H331" i="63"/>
  <c r="I331" i="63"/>
  <c r="A332" i="63"/>
  <c r="C332" i="63"/>
  <c r="D332" i="63"/>
  <c r="E332" i="63"/>
  <c r="F332" i="63"/>
  <c r="G332" i="63"/>
  <c r="H332" i="63"/>
  <c r="I332" i="63"/>
  <c r="A333" i="63"/>
  <c r="C333" i="63"/>
  <c r="D333" i="63"/>
  <c r="E333" i="63"/>
  <c r="F333" i="63"/>
  <c r="G333" i="63"/>
  <c r="H333" i="63"/>
  <c r="I333" i="63"/>
  <c r="A334" i="63"/>
  <c r="C334" i="63"/>
  <c r="D334" i="63"/>
  <c r="E334" i="63"/>
  <c r="F334" i="63"/>
  <c r="G334" i="63"/>
  <c r="H334" i="63"/>
  <c r="I334" i="63"/>
  <c r="A335" i="63"/>
  <c r="C335" i="63"/>
  <c r="D335" i="63"/>
  <c r="E335" i="63"/>
  <c r="F335" i="63"/>
  <c r="G335" i="63"/>
  <c r="H335" i="63"/>
  <c r="I335" i="63"/>
  <c r="A336" i="63"/>
  <c r="C336" i="63"/>
  <c r="D336" i="63"/>
  <c r="E336" i="63"/>
  <c r="F336" i="63"/>
  <c r="G336" i="63"/>
  <c r="H336" i="63"/>
  <c r="I336" i="63"/>
  <c r="A337" i="63"/>
  <c r="C337" i="63"/>
  <c r="D337" i="63"/>
  <c r="E337" i="63"/>
  <c r="F337" i="63"/>
  <c r="G337" i="63"/>
  <c r="H337" i="63"/>
  <c r="I337" i="63"/>
  <c r="A338" i="63"/>
  <c r="C338" i="63"/>
  <c r="D338" i="63"/>
  <c r="E338" i="63"/>
  <c r="F338" i="63"/>
  <c r="G338" i="63"/>
  <c r="H338" i="63"/>
  <c r="I338" i="63"/>
  <c r="A339" i="63"/>
  <c r="C339" i="63"/>
  <c r="D339" i="63"/>
  <c r="E339" i="63"/>
  <c r="F339" i="63"/>
  <c r="G339" i="63"/>
  <c r="H339" i="63"/>
  <c r="I339" i="63"/>
  <c r="A340" i="63"/>
  <c r="C340" i="63"/>
  <c r="D340" i="63"/>
  <c r="E340" i="63"/>
  <c r="F340" i="63"/>
  <c r="G340" i="63"/>
  <c r="H340" i="63"/>
  <c r="I340" i="63"/>
  <c r="A341" i="63"/>
  <c r="C341" i="63"/>
  <c r="D341" i="63"/>
  <c r="E341" i="63"/>
  <c r="F341" i="63"/>
  <c r="G341" i="63"/>
  <c r="H341" i="63"/>
  <c r="I341" i="63"/>
  <c r="A342" i="63"/>
  <c r="C342" i="63"/>
  <c r="D342" i="63"/>
  <c r="E342" i="63"/>
  <c r="F342" i="63"/>
  <c r="G342" i="63"/>
  <c r="H342" i="63"/>
  <c r="I342" i="63"/>
  <c r="A343" i="63"/>
  <c r="C343" i="63"/>
  <c r="D343" i="63"/>
  <c r="E343" i="63"/>
  <c r="F343" i="63"/>
  <c r="G343" i="63"/>
  <c r="H343" i="63"/>
  <c r="I343" i="63"/>
  <c r="A344" i="63"/>
  <c r="C344" i="63"/>
  <c r="D344" i="63"/>
  <c r="E344" i="63"/>
  <c r="F344" i="63"/>
  <c r="G344" i="63"/>
  <c r="H344" i="63"/>
  <c r="I344" i="63"/>
  <c r="A345" i="63"/>
  <c r="C345" i="63"/>
  <c r="D345" i="63"/>
  <c r="E345" i="63"/>
  <c r="F345" i="63"/>
  <c r="G345" i="63"/>
  <c r="H345" i="63"/>
  <c r="I345" i="63"/>
  <c r="A346" i="63"/>
  <c r="C346" i="63"/>
  <c r="D346" i="63"/>
  <c r="E346" i="63"/>
  <c r="F346" i="63"/>
  <c r="G346" i="63"/>
  <c r="H346" i="63"/>
  <c r="I346" i="63"/>
  <c r="A347" i="63"/>
  <c r="C347" i="63"/>
  <c r="D347" i="63"/>
  <c r="E347" i="63"/>
  <c r="F347" i="63"/>
  <c r="G347" i="63"/>
  <c r="H347" i="63"/>
  <c r="I347" i="63"/>
  <c r="A348" i="63"/>
  <c r="C348" i="63"/>
  <c r="D348" i="63"/>
  <c r="E348" i="63"/>
  <c r="F348" i="63"/>
  <c r="G348" i="63"/>
  <c r="H348" i="63"/>
  <c r="I348" i="63"/>
  <c r="A349" i="63"/>
  <c r="C349" i="63"/>
  <c r="D349" i="63"/>
  <c r="E349" i="63"/>
  <c r="F349" i="63"/>
  <c r="G349" i="63"/>
  <c r="H349" i="63"/>
  <c r="I349" i="63"/>
  <c r="A350" i="63"/>
  <c r="C350" i="63"/>
  <c r="D350" i="63"/>
  <c r="E350" i="63"/>
  <c r="F350" i="63"/>
  <c r="G350" i="63"/>
  <c r="H350" i="63"/>
  <c r="I350" i="63"/>
  <c r="A351" i="63"/>
  <c r="C351" i="63"/>
  <c r="D351" i="63"/>
  <c r="E351" i="63"/>
  <c r="F351" i="63"/>
  <c r="G351" i="63"/>
  <c r="H351" i="63"/>
  <c r="I351" i="63"/>
  <c r="A352" i="63"/>
  <c r="C352" i="63"/>
  <c r="D352" i="63"/>
  <c r="E352" i="63"/>
  <c r="F352" i="63"/>
  <c r="G352" i="63"/>
  <c r="H352" i="63"/>
  <c r="I352" i="63"/>
  <c r="A353" i="63"/>
  <c r="C353" i="63"/>
  <c r="D353" i="63"/>
  <c r="E353" i="63"/>
  <c r="F353" i="63"/>
  <c r="G353" i="63"/>
  <c r="H353" i="63"/>
  <c r="I353" i="63"/>
  <c r="A354" i="63"/>
  <c r="C354" i="63"/>
  <c r="D354" i="63"/>
  <c r="E354" i="63"/>
  <c r="F354" i="63"/>
  <c r="G354" i="63"/>
  <c r="H354" i="63"/>
  <c r="I354" i="63"/>
  <c r="A355" i="63"/>
  <c r="C355" i="63"/>
  <c r="D355" i="63"/>
  <c r="E355" i="63"/>
  <c r="F355" i="63"/>
  <c r="G355" i="63"/>
  <c r="H355" i="63"/>
  <c r="I355" i="63"/>
  <c r="A356" i="63"/>
  <c r="C356" i="63"/>
  <c r="D356" i="63"/>
  <c r="E356" i="63"/>
  <c r="F356" i="63"/>
  <c r="G356" i="63"/>
  <c r="H356" i="63"/>
  <c r="I356" i="63"/>
  <c r="A357" i="63"/>
  <c r="C357" i="63"/>
  <c r="D357" i="63"/>
  <c r="E357" i="63"/>
  <c r="F357" i="63"/>
  <c r="G357" i="63"/>
  <c r="H357" i="63"/>
  <c r="I357" i="63"/>
  <c r="A358" i="63"/>
  <c r="C358" i="63"/>
  <c r="D358" i="63"/>
  <c r="E358" i="63"/>
  <c r="F358" i="63"/>
  <c r="G358" i="63"/>
  <c r="H358" i="63"/>
  <c r="I358" i="63"/>
  <c r="A359" i="63"/>
  <c r="C359" i="63"/>
  <c r="D359" i="63"/>
  <c r="E359" i="63"/>
  <c r="F359" i="63"/>
  <c r="G359" i="63"/>
  <c r="H359" i="63"/>
  <c r="I359" i="63"/>
  <c r="A360" i="63"/>
  <c r="C360" i="63"/>
  <c r="D360" i="63"/>
  <c r="E360" i="63"/>
  <c r="F360" i="63"/>
  <c r="G360" i="63"/>
  <c r="H360" i="63"/>
  <c r="I360" i="63"/>
  <c r="A361" i="63"/>
  <c r="C361" i="63"/>
  <c r="D361" i="63"/>
  <c r="E361" i="63"/>
  <c r="F361" i="63"/>
  <c r="G361" i="63"/>
  <c r="H361" i="63"/>
  <c r="I361" i="63"/>
  <c r="A362" i="63"/>
  <c r="C362" i="63"/>
  <c r="D362" i="63"/>
  <c r="E362" i="63"/>
  <c r="F362" i="63"/>
  <c r="G362" i="63"/>
  <c r="H362" i="63"/>
  <c r="I362" i="63"/>
  <c r="A363" i="63"/>
  <c r="C363" i="63"/>
  <c r="D363" i="63"/>
  <c r="E363" i="63"/>
  <c r="F363" i="63"/>
  <c r="G363" i="63"/>
  <c r="H363" i="63"/>
  <c r="I363" i="63"/>
  <c r="A364" i="63"/>
  <c r="C364" i="63"/>
  <c r="D364" i="63"/>
  <c r="E364" i="63"/>
  <c r="F364" i="63"/>
  <c r="G364" i="63"/>
  <c r="H364" i="63"/>
  <c r="I364" i="63"/>
  <c r="A365" i="63"/>
  <c r="C365" i="63"/>
  <c r="D365" i="63"/>
  <c r="E365" i="63"/>
  <c r="F365" i="63"/>
  <c r="G365" i="63"/>
  <c r="H365" i="63"/>
  <c r="I365" i="63"/>
  <c r="A366" i="63"/>
  <c r="C366" i="63"/>
  <c r="D366" i="63"/>
  <c r="E366" i="63"/>
  <c r="F366" i="63"/>
  <c r="G366" i="63"/>
  <c r="H366" i="63"/>
  <c r="I366" i="63"/>
  <c r="A367" i="63"/>
  <c r="C367" i="63"/>
  <c r="D367" i="63"/>
  <c r="E367" i="63"/>
  <c r="F367" i="63"/>
  <c r="G367" i="63"/>
  <c r="H367" i="63"/>
  <c r="I367" i="63"/>
  <c r="A368" i="63"/>
  <c r="C368" i="63"/>
  <c r="D368" i="63"/>
  <c r="E368" i="63"/>
  <c r="F368" i="63"/>
  <c r="G368" i="63"/>
  <c r="H368" i="63"/>
  <c r="I368" i="63"/>
  <c r="A369" i="63"/>
  <c r="C369" i="63"/>
  <c r="D369" i="63"/>
  <c r="E369" i="63"/>
  <c r="F369" i="63"/>
  <c r="G369" i="63"/>
  <c r="H369" i="63"/>
  <c r="I369" i="63"/>
  <c r="A370" i="63"/>
  <c r="C370" i="63"/>
  <c r="D370" i="63"/>
  <c r="E370" i="63"/>
  <c r="F370" i="63"/>
  <c r="G370" i="63"/>
  <c r="H370" i="63"/>
  <c r="I370" i="63"/>
  <c r="A371" i="63"/>
  <c r="C371" i="63"/>
  <c r="D371" i="63"/>
  <c r="E371" i="63"/>
  <c r="F371" i="63"/>
  <c r="G371" i="63"/>
  <c r="H371" i="63"/>
  <c r="I371" i="63"/>
  <c r="A372" i="63"/>
  <c r="C372" i="63"/>
  <c r="D372" i="63"/>
  <c r="E372" i="63"/>
  <c r="F372" i="63"/>
  <c r="G372" i="63"/>
  <c r="H372" i="63"/>
  <c r="I372" i="63"/>
  <c r="A373" i="63"/>
  <c r="C373" i="63"/>
  <c r="D373" i="63"/>
  <c r="E373" i="63"/>
  <c r="F373" i="63"/>
  <c r="G373" i="63"/>
  <c r="H373" i="63"/>
  <c r="I373" i="63"/>
  <c r="A374" i="63"/>
  <c r="C374" i="63"/>
  <c r="D374" i="63"/>
  <c r="E374" i="63"/>
  <c r="F374" i="63"/>
  <c r="G374" i="63"/>
  <c r="H374" i="63"/>
  <c r="I374" i="63"/>
  <c r="A375" i="63"/>
  <c r="C375" i="63"/>
  <c r="D375" i="63"/>
  <c r="E375" i="63"/>
  <c r="F375" i="63"/>
  <c r="G375" i="63"/>
  <c r="H375" i="63"/>
  <c r="I375" i="63"/>
  <c r="A376" i="63"/>
  <c r="C376" i="63"/>
  <c r="D376" i="63"/>
  <c r="E376" i="63"/>
  <c r="F376" i="63"/>
  <c r="G376" i="63"/>
  <c r="H376" i="63"/>
  <c r="I376" i="63"/>
  <c r="A377" i="63"/>
  <c r="C377" i="63"/>
  <c r="D377" i="63"/>
  <c r="E377" i="63"/>
  <c r="F377" i="63"/>
  <c r="G377" i="63"/>
  <c r="H377" i="63"/>
  <c r="I377" i="63"/>
  <c r="A378" i="63"/>
  <c r="C378" i="63"/>
  <c r="D378" i="63"/>
  <c r="E378" i="63"/>
  <c r="F378" i="63"/>
  <c r="G378" i="63"/>
  <c r="H378" i="63"/>
  <c r="I378" i="63"/>
  <c r="A379" i="63"/>
  <c r="C379" i="63"/>
  <c r="D379" i="63"/>
  <c r="E379" i="63"/>
  <c r="F379" i="63"/>
  <c r="G379" i="63"/>
  <c r="H379" i="63"/>
  <c r="I379" i="63"/>
  <c r="A380" i="63"/>
  <c r="C380" i="63"/>
  <c r="D380" i="63"/>
  <c r="E380" i="63"/>
  <c r="F380" i="63"/>
  <c r="G380" i="63"/>
  <c r="H380" i="63"/>
  <c r="I380" i="63"/>
  <c r="A381" i="63"/>
  <c r="C381" i="63"/>
  <c r="D381" i="63"/>
  <c r="E381" i="63"/>
  <c r="F381" i="63"/>
  <c r="G381" i="63"/>
  <c r="H381" i="63"/>
  <c r="I381" i="63"/>
  <c r="A382" i="63"/>
  <c r="C382" i="63"/>
  <c r="D382" i="63"/>
  <c r="E382" i="63"/>
  <c r="F382" i="63"/>
  <c r="G382" i="63"/>
  <c r="H382" i="63"/>
  <c r="I382" i="63"/>
  <c r="A383" i="63"/>
  <c r="C383" i="63"/>
  <c r="D383" i="63"/>
  <c r="E383" i="63"/>
  <c r="F383" i="63"/>
  <c r="G383" i="63"/>
  <c r="H383" i="63"/>
  <c r="I383" i="63"/>
  <c r="A384" i="63"/>
  <c r="C384" i="63"/>
  <c r="D384" i="63"/>
  <c r="E384" i="63"/>
  <c r="F384" i="63"/>
  <c r="G384" i="63"/>
  <c r="H384" i="63"/>
  <c r="I384" i="63"/>
  <c r="A385" i="63"/>
  <c r="C385" i="63"/>
  <c r="D385" i="63"/>
  <c r="E385" i="63"/>
  <c r="F385" i="63"/>
  <c r="G385" i="63"/>
  <c r="H385" i="63"/>
  <c r="I385" i="63"/>
  <c r="A386" i="63"/>
  <c r="C386" i="63"/>
  <c r="D386" i="63"/>
  <c r="E386" i="63"/>
  <c r="F386" i="63"/>
  <c r="G386" i="63"/>
  <c r="H386" i="63"/>
  <c r="I386" i="63"/>
  <c r="A387" i="63"/>
  <c r="C387" i="63"/>
  <c r="D387" i="63"/>
  <c r="E387" i="63"/>
  <c r="F387" i="63"/>
  <c r="G387" i="63"/>
  <c r="H387" i="63"/>
  <c r="I387" i="63"/>
  <c r="A388" i="63"/>
  <c r="C388" i="63"/>
  <c r="D388" i="63"/>
  <c r="E388" i="63"/>
  <c r="F388" i="63"/>
  <c r="G388" i="63"/>
  <c r="H388" i="63"/>
  <c r="I388" i="63"/>
  <c r="A389" i="63"/>
  <c r="C389" i="63"/>
  <c r="D389" i="63"/>
  <c r="E389" i="63"/>
  <c r="F389" i="63"/>
  <c r="G389" i="63"/>
  <c r="H389" i="63"/>
  <c r="I389" i="63"/>
  <c r="A390" i="63"/>
  <c r="C390" i="63"/>
  <c r="D390" i="63"/>
  <c r="E390" i="63"/>
  <c r="F390" i="63"/>
  <c r="G390" i="63"/>
  <c r="H390" i="63"/>
  <c r="I390" i="63"/>
  <c r="A391" i="63"/>
  <c r="C391" i="63"/>
  <c r="D391" i="63"/>
  <c r="E391" i="63"/>
  <c r="F391" i="63"/>
  <c r="G391" i="63"/>
  <c r="H391" i="63"/>
  <c r="I391" i="63"/>
  <c r="A392" i="63"/>
  <c r="C392" i="63"/>
  <c r="D392" i="63"/>
  <c r="E392" i="63"/>
  <c r="F392" i="63"/>
  <c r="G392" i="63"/>
  <c r="H392" i="63"/>
  <c r="I392" i="63"/>
  <c r="A393" i="63"/>
  <c r="C393" i="63"/>
  <c r="D393" i="63"/>
  <c r="E393" i="63"/>
  <c r="F393" i="63"/>
  <c r="G393" i="63"/>
  <c r="H393" i="63"/>
  <c r="I393" i="63"/>
  <c r="A394" i="63"/>
  <c r="C394" i="63"/>
  <c r="D394" i="63"/>
  <c r="E394" i="63"/>
  <c r="F394" i="63"/>
  <c r="G394" i="63"/>
  <c r="H394" i="63"/>
  <c r="I394" i="63"/>
  <c r="A395" i="63"/>
  <c r="C395" i="63"/>
  <c r="D395" i="63"/>
  <c r="E395" i="63"/>
  <c r="F395" i="63"/>
  <c r="G395" i="63"/>
  <c r="H395" i="63"/>
  <c r="I395" i="63"/>
  <c r="A396" i="63"/>
  <c r="C396" i="63"/>
  <c r="D396" i="63"/>
  <c r="E396" i="63"/>
  <c r="F396" i="63"/>
  <c r="G396" i="63"/>
  <c r="H396" i="63"/>
  <c r="I396" i="63"/>
  <c r="A397" i="63"/>
  <c r="C397" i="63"/>
  <c r="D397" i="63"/>
  <c r="E397" i="63"/>
  <c r="F397" i="63"/>
  <c r="G397" i="63"/>
  <c r="H397" i="63"/>
  <c r="I397" i="63"/>
  <c r="A398" i="63"/>
  <c r="C398" i="63"/>
  <c r="D398" i="63"/>
  <c r="E398" i="63"/>
  <c r="F398" i="63"/>
  <c r="G398" i="63"/>
  <c r="H398" i="63"/>
  <c r="I398" i="63"/>
  <c r="A399" i="63"/>
  <c r="C399" i="63"/>
  <c r="D399" i="63"/>
  <c r="E399" i="63"/>
  <c r="F399" i="63"/>
  <c r="G399" i="63"/>
  <c r="H399" i="63"/>
  <c r="I399" i="63"/>
  <c r="A400" i="63"/>
  <c r="C400" i="63"/>
  <c r="D400" i="63"/>
  <c r="E400" i="63"/>
  <c r="F400" i="63"/>
  <c r="G400" i="63"/>
  <c r="H400" i="63"/>
  <c r="I400" i="63"/>
  <c r="A401" i="63"/>
  <c r="C401" i="63"/>
  <c r="D401" i="63"/>
  <c r="E401" i="63"/>
  <c r="F401" i="63"/>
  <c r="G401" i="63"/>
  <c r="H401" i="63"/>
  <c r="I401" i="63"/>
  <c r="A402" i="63"/>
  <c r="C402" i="63"/>
  <c r="D402" i="63"/>
  <c r="E402" i="63"/>
  <c r="F402" i="63"/>
  <c r="G402" i="63"/>
  <c r="H402" i="63"/>
  <c r="I402" i="63"/>
  <c r="A403" i="63"/>
  <c r="C403" i="63"/>
  <c r="D403" i="63"/>
  <c r="E403" i="63"/>
  <c r="F403" i="63"/>
  <c r="G403" i="63"/>
  <c r="H403" i="63"/>
  <c r="I403" i="63"/>
  <c r="A404" i="63"/>
  <c r="C404" i="63"/>
  <c r="D404" i="63"/>
  <c r="E404" i="63"/>
  <c r="F404" i="63"/>
  <c r="G404" i="63"/>
  <c r="H404" i="63"/>
  <c r="I404" i="63"/>
  <c r="A405" i="63"/>
  <c r="C405" i="63"/>
  <c r="D405" i="63"/>
  <c r="E405" i="63"/>
  <c r="F405" i="63"/>
  <c r="G405" i="63"/>
  <c r="H405" i="63"/>
  <c r="I405" i="63"/>
  <c r="A406" i="63"/>
  <c r="C406" i="63"/>
  <c r="D406" i="63"/>
  <c r="E406" i="63"/>
  <c r="F406" i="63"/>
  <c r="G406" i="63"/>
  <c r="H406" i="63"/>
  <c r="I406" i="63"/>
  <c r="A407" i="63"/>
  <c r="C407" i="63"/>
  <c r="D407" i="63"/>
  <c r="E407" i="63"/>
  <c r="F407" i="63"/>
  <c r="G407" i="63"/>
  <c r="H407" i="63"/>
  <c r="I407" i="63"/>
  <c r="A408" i="63"/>
  <c r="C408" i="63"/>
  <c r="D408" i="63"/>
  <c r="E408" i="63"/>
  <c r="F408" i="63"/>
  <c r="G408" i="63"/>
  <c r="H408" i="63"/>
  <c r="I408" i="63"/>
  <c r="A409" i="63"/>
  <c r="C409" i="63"/>
  <c r="D409" i="63"/>
  <c r="E409" i="63"/>
  <c r="F409" i="63"/>
  <c r="G409" i="63"/>
  <c r="H409" i="63"/>
  <c r="I409" i="63"/>
  <c r="A410" i="63"/>
  <c r="C410" i="63"/>
  <c r="D410" i="63"/>
  <c r="E410" i="63"/>
  <c r="F410" i="63"/>
  <c r="G410" i="63"/>
  <c r="H410" i="63"/>
  <c r="I410" i="63"/>
  <c r="A411" i="63"/>
  <c r="C411" i="63"/>
  <c r="D411" i="63"/>
  <c r="E411" i="63"/>
  <c r="F411" i="63"/>
  <c r="G411" i="63"/>
  <c r="H411" i="63"/>
  <c r="I411" i="63"/>
  <c r="A412" i="63"/>
  <c r="C412" i="63"/>
  <c r="D412" i="63"/>
  <c r="E412" i="63"/>
  <c r="F412" i="63"/>
  <c r="G412" i="63"/>
  <c r="H412" i="63"/>
  <c r="I412" i="63"/>
  <c r="A413" i="63"/>
  <c r="C413" i="63"/>
  <c r="D413" i="63"/>
  <c r="E413" i="63"/>
  <c r="F413" i="63"/>
  <c r="G413" i="63"/>
  <c r="H413" i="63"/>
  <c r="I413" i="63"/>
  <c r="A414" i="63"/>
  <c r="C414" i="63"/>
  <c r="D414" i="63"/>
  <c r="E414" i="63"/>
  <c r="F414" i="63"/>
  <c r="G414" i="63"/>
  <c r="H414" i="63"/>
  <c r="I414" i="63"/>
  <c r="A415" i="63"/>
  <c r="C415" i="63"/>
  <c r="D415" i="63"/>
  <c r="E415" i="63"/>
  <c r="F415" i="63"/>
  <c r="G415" i="63"/>
  <c r="H415" i="63"/>
  <c r="I415" i="63"/>
  <c r="A416" i="63"/>
  <c r="C416" i="63"/>
  <c r="D416" i="63"/>
  <c r="E416" i="63"/>
  <c r="F416" i="63"/>
  <c r="G416" i="63"/>
  <c r="H416" i="63"/>
  <c r="I416" i="63"/>
  <c r="A417" i="63"/>
  <c r="C417" i="63"/>
  <c r="D417" i="63"/>
  <c r="E417" i="63"/>
  <c r="F417" i="63"/>
  <c r="G417" i="63"/>
  <c r="H417" i="63"/>
  <c r="I417" i="63"/>
  <c r="A418" i="63"/>
  <c r="C418" i="63"/>
  <c r="D418" i="63"/>
  <c r="E418" i="63"/>
  <c r="F418" i="63"/>
  <c r="G418" i="63"/>
  <c r="H418" i="63"/>
  <c r="I418" i="63"/>
  <c r="A419" i="63"/>
  <c r="C419" i="63"/>
  <c r="D419" i="63"/>
  <c r="E419" i="63"/>
  <c r="F419" i="63"/>
  <c r="G419" i="63"/>
  <c r="H419" i="63"/>
  <c r="I419" i="63"/>
  <c r="A420" i="63"/>
  <c r="C420" i="63"/>
  <c r="D420" i="63"/>
  <c r="E420" i="63"/>
  <c r="F420" i="63"/>
  <c r="G420" i="63"/>
  <c r="H420" i="63"/>
  <c r="I420" i="63"/>
  <c r="A421" i="63"/>
  <c r="C421" i="63"/>
  <c r="D421" i="63"/>
  <c r="E421" i="63"/>
  <c r="F421" i="63"/>
  <c r="G421" i="63"/>
  <c r="H421" i="63"/>
  <c r="I421" i="63"/>
  <c r="A422" i="63"/>
  <c r="C422" i="63"/>
  <c r="D422" i="63"/>
  <c r="E422" i="63"/>
  <c r="F422" i="63"/>
  <c r="G422" i="63"/>
  <c r="H422" i="63"/>
  <c r="I422" i="63"/>
  <c r="A423" i="63"/>
  <c r="C423" i="63"/>
  <c r="D423" i="63"/>
  <c r="E423" i="63"/>
  <c r="F423" i="63"/>
  <c r="G423" i="63"/>
  <c r="H423" i="63"/>
  <c r="I423" i="63"/>
  <c r="A424" i="63"/>
  <c r="C424" i="63"/>
  <c r="D424" i="63"/>
  <c r="E424" i="63"/>
  <c r="F424" i="63"/>
  <c r="G424" i="63"/>
  <c r="H424" i="63"/>
  <c r="I424" i="63"/>
  <c r="A425" i="63"/>
  <c r="C425" i="63"/>
  <c r="D425" i="63"/>
  <c r="E425" i="63"/>
  <c r="F425" i="63"/>
  <c r="G425" i="63"/>
  <c r="H425" i="63"/>
  <c r="I425" i="63"/>
  <c r="A426" i="63"/>
  <c r="C426" i="63"/>
  <c r="D426" i="63"/>
  <c r="E426" i="63"/>
  <c r="F426" i="63"/>
  <c r="G426" i="63"/>
  <c r="H426" i="63"/>
  <c r="I426" i="63"/>
  <c r="A427" i="63"/>
  <c r="C427" i="63"/>
  <c r="D427" i="63"/>
  <c r="E427" i="63"/>
  <c r="F427" i="63"/>
  <c r="G427" i="63"/>
  <c r="H427" i="63"/>
  <c r="I427" i="63"/>
  <c r="A428" i="63"/>
  <c r="C428" i="63"/>
  <c r="D428" i="63"/>
  <c r="E428" i="63"/>
  <c r="F428" i="63"/>
  <c r="G428" i="63"/>
  <c r="H428" i="63"/>
  <c r="I428" i="63"/>
  <c r="A429" i="63"/>
  <c r="C429" i="63"/>
  <c r="D429" i="63"/>
  <c r="E429" i="63"/>
  <c r="F429" i="63"/>
  <c r="G429" i="63"/>
  <c r="H429" i="63"/>
  <c r="I429" i="63"/>
  <c r="A430" i="63"/>
  <c r="C430" i="63"/>
  <c r="D430" i="63"/>
  <c r="E430" i="63"/>
  <c r="F430" i="63"/>
  <c r="G430" i="63"/>
  <c r="H430" i="63"/>
  <c r="I430" i="63"/>
  <c r="A431" i="63"/>
  <c r="C431" i="63"/>
  <c r="D431" i="63"/>
  <c r="E431" i="63"/>
  <c r="F431" i="63"/>
  <c r="G431" i="63"/>
  <c r="H431" i="63"/>
  <c r="I431" i="63"/>
  <c r="A432" i="63"/>
  <c r="C432" i="63"/>
  <c r="D432" i="63"/>
  <c r="E432" i="63"/>
  <c r="F432" i="63"/>
  <c r="G432" i="63"/>
  <c r="H432" i="63"/>
  <c r="I432" i="63"/>
  <c r="A433" i="63"/>
  <c r="C433" i="63"/>
  <c r="D433" i="63"/>
  <c r="E433" i="63"/>
  <c r="F433" i="63"/>
  <c r="G433" i="63"/>
  <c r="H433" i="63"/>
  <c r="I433" i="63"/>
  <c r="A434" i="63"/>
  <c r="C434" i="63"/>
  <c r="D434" i="63"/>
  <c r="E434" i="63"/>
  <c r="F434" i="63"/>
  <c r="G434" i="63"/>
  <c r="H434" i="63"/>
  <c r="I434" i="63"/>
  <c r="A435" i="63"/>
  <c r="C435" i="63"/>
  <c r="D435" i="63"/>
  <c r="E435" i="63"/>
  <c r="F435" i="63"/>
  <c r="G435" i="63"/>
  <c r="H435" i="63"/>
  <c r="I435" i="63"/>
  <c r="A436" i="63"/>
  <c r="C436" i="63"/>
  <c r="D436" i="63"/>
  <c r="E436" i="63"/>
  <c r="F436" i="63"/>
  <c r="G436" i="63"/>
  <c r="H436" i="63"/>
  <c r="I436" i="63"/>
  <c r="A437" i="63"/>
  <c r="C437" i="63"/>
  <c r="D437" i="63"/>
  <c r="E437" i="63"/>
  <c r="F437" i="63"/>
  <c r="G437" i="63"/>
  <c r="H437" i="63"/>
  <c r="I437" i="63"/>
  <c r="A438" i="63"/>
  <c r="C438" i="63"/>
  <c r="D438" i="63"/>
  <c r="E438" i="63"/>
  <c r="F438" i="63"/>
  <c r="G438" i="63"/>
  <c r="H438" i="63"/>
  <c r="I438" i="63"/>
  <c r="A439" i="63"/>
  <c r="C439" i="63"/>
  <c r="D439" i="63"/>
  <c r="E439" i="63"/>
  <c r="F439" i="63"/>
  <c r="G439" i="63"/>
  <c r="H439" i="63"/>
  <c r="I439" i="63"/>
  <c r="A440" i="63"/>
  <c r="C440" i="63"/>
  <c r="D440" i="63"/>
  <c r="E440" i="63"/>
  <c r="F440" i="63"/>
  <c r="G440" i="63"/>
  <c r="H440" i="63"/>
  <c r="I440" i="63"/>
  <c r="A441" i="63"/>
  <c r="C441" i="63"/>
  <c r="D441" i="63"/>
  <c r="E441" i="63"/>
  <c r="F441" i="63"/>
  <c r="G441" i="63"/>
  <c r="H441" i="63"/>
  <c r="I441" i="63"/>
  <c r="A442" i="63"/>
  <c r="C442" i="63"/>
  <c r="D442" i="63"/>
  <c r="E442" i="63"/>
  <c r="F442" i="63"/>
  <c r="G442" i="63"/>
  <c r="H442" i="63"/>
  <c r="I442" i="63"/>
  <c r="A443" i="63"/>
  <c r="C443" i="63"/>
  <c r="D443" i="63"/>
  <c r="E443" i="63"/>
  <c r="F443" i="63"/>
  <c r="G443" i="63"/>
  <c r="H443" i="63"/>
  <c r="I443" i="63"/>
  <c r="A444" i="63"/>
  <c r="C444" i="63"/>
  <c r="D444" i="63"/>
  <c r="E444" i="63"/>
  <c r="F444" i="63"/>
  <c r="G444" i="63"/>
  <c r="H444" i="63"/>
  <c r="I444" i="63"/>
  <c r="A445" i="63"/>
  <c r="C445" i="63"/>
  <c r="D445" i="63"/>
  <c r="E445" i="63"/>
  <c r="F445" i="63"/>
  <c r="G445" i="63"/>
  <c r="H445" i="63"/>
  <c r="I445" i="63"/>
  <c r="A446" i="63"/>
  <c r="C446" i="63"/>
  <c r="D446" i="63"/>
  <c r="E446" i="63"/>
  <c r="F446" i="63"/>
  <c r="G446" i="63"/>
  <c r="H446" i="63"/>
  <c r="I446" i="63"/>
  <c r="A447" i="63"/>
  <c r="C447" i="63"/>
  <c r="D447" i="63"/>
  <c r="E447" i="63"/>
  <c r="F447" i="63"/>
  <c r="G447" i="63"/>
  <c r="H447" i="63"/>
  <c r="I447" i="63"/>
  <c r="A448" i="63"/>
  <c r="C448" i="63"/>
  <c r="D448" i="63"/>
  <c r="E448" i="63"/>
  <c r="F448" i="63"/>
  <c r="G448" i="63"/>
  <c r="H448" i="63"/>
  <c r="I448" i="63"/>
  <c r="A449" i="63"/>
  <c r="C449" i="63"/>
  <c r="D449" i="63"/>
  <c r="E449" i="63"/>
  <c r="F449" i="63"/>
  <c r="G449" i="63"/>
  <c r="H449" i="63"/>
  <c r="I449" i="63"/>
  <c r="A450" i="63"/>
  <c r="C450" i="63"/>
  <c r="D450" i="63"/>
  <c r="E450" i="63"/>
  <c r="F450" i="63"/>
  <c r="G450" i="63"/>
  <c r="H450" i="63"/>
  <c r="I450" i="63"/>
  <c r="A451" i="63"/>
  <c r="C451" i="63"/>
  <c r="D451" i="63"/>
  <c r="E451" i="63"/>
  <c r="F451" i="63"/>
  <c r="G451" i="63"/>
  <c r="H451" i="63"/>
  <c r="I451" i="63"/>
  <c r="A452" i="63"/>
  <c r="C452" i="63"/>
  <c r="D452" i="63"/>
  <c r="E452" i="63"/>
  <c r="F452" i="63"/>
  <c r="G452" i="63"/>
  <c r="H452" i="63"/>
  <c r="I452" i="63"/>
  <c r="A453" i="63"/>
  <c r="C453" i="63"/>
  <c r="D453" i="63"/>
  <c r="E453" i="63"/>
  <c r="F453" i="63"/>
  <c r="G453" i="63"/>
  <c r="H453" i="63"/>
  <c r="I453" i="63"/>
  <c r="A454" i="63"/>
  <c r="C454" i="63"/>
  <c r="D454" i="63"/>
  <c r="E454" i="63"/>
  <c r="F454" i="63"/>
  <c r="G454" i="63"/>
  <c r="H454" i="63"/>
  <c r="I454" i="63"/>
  <c r="A455" i="63"/>
  <c r="C455" i="63"/>
  <c r="D455" i="63"/>
  <c r="E455" i="63"/>
  <c r="F455" i="63"/>
  <c r="G455" i="63"/>
  <c r="H455" i="63"/>
  <c r="I455" i="63"/>
  <c r="A456" i="63"/>
  <c r="C456" i="63"/>
  <c r="D456" i="63"/>
  <c r="E456" i="63"/>
  <c r="F456" i="63"/>
  <c r="G456" i="63"/>
  <c r="H456" i="63"/>
  <c r="I456" i="63"/>
  <c r="A457" i="63"/>
  <c r="C457" i="63"/>
  <c r="D457" i="63"/>
  <c r="E457" i="63"/>
  <c r="F457" i="63"/>
  <c r="G457" i="63"/>
  <c r="H457" i="63"/>
  <c r="I457" i="63"/>
  <c r="A458" i="63"/>
  <c r="C458" i="63"/>
  <c r="D458" i="63"/>
  <c r="E458" i="63"/>
  <c r="F458" i="63"/>
  <c r="G458" i="63"/>
  <c r="H458" i="63"/>
  <c r="I458" i="63"/>
  <c r="A459" i="63"/>
  <c r="C459" i="63"/>
  <c r="D459" i="63"/>
  <c r="E459" i="63"/>
  <c r="F459" i="63"/>
  <c r="G459" i="63"/>
  <c r="H459" i="63"/>
  <c r="I459" i="63"/>
  <c r="A460" i="63"/>
  <c r="C460" i="63"/>
  <c r="D460" i="63"/>
  <c r="E460" i="63"/>
  <c r="F460" i="63"/>
  <c r="G460" i="63"/>
  <c r="H460" i="63"/>
  <c r="I460" i="63"/>
  <c r="A461" i="63"/>
  <c r="C461" i="63"/>
  <c r="D461" i="63"/>
  <c r="E461" i="63"/>
  <c r="F461" i="63"/>
  <c r="G461" i="63"/>
  <c r="H461" i="63"/>
  <c r="I461" i="63"/>
  <c r="A462" i="63"/>
  <c r="C462" i="63"/>
  <c r="D462" i="63"/>
  <c r="E462" i="63"/>
  <c r="F462" i="63"/>
  <c r="G462" i="63"/>
  <c r="H462" i="63"/>
  <c r="I462" i="63"/>
  <c r="A463" i="63"/>
  <c r="C463" i="63"/>
  <c r="D463" i="63"/>
  <c r="E463" i="63"/>
  <c r="F463" i="63"/>
  <c r="G463" i="63"/>
  <c r="H463" i="63"/>
  <c r="I463" i="63"/>
  <c r="A464" i="63"/>
  <c r="C464" i="63"/>
  <c r="D464" i="63"/>
  <c r="E464" i="63"/>
  <c r="F464" i="63"/>
  <c r="G464" i="63"/>
  <c r="H464" i="63"/>
  <c r="I464" i="63"/>
  <c r="A465" i="63"/>
  <c r="C465" i="63"/>
  <c r="D465" i="63"/>
  <c r="E465" i="63"/>
  <c r="F465" i="63"/>
  <c r="G465" i="63"/>
  <c r="H465" i="63"/>
  <c r="I465" i="63"/>
  <c r="A466" i="63"/>
  <c r="C466" i="63"/>
  <c r="D466" i="63"/>
  <c r="E466" i="63"/>
  <c r="F466" i="63"/>
  <c r="G466" i="63"/>
  <c r="H466" i="63"/>
  <c r="I466" i="63"/>
  <c r="A467" i="63"/>
  <c r="C467" i="63"/>
  <c r="D467" i="63"/>
  <c r="E467" i="63"/>
  <c r="F467" i="63"/>
  <c r="G467" i="63"/>
  <c r="H467" i="63"/>
  <c r="I467" i="63"/>
  <c r="A468" i="63"/>
  <c r="C468" i="63"/>
  <c r="D468" i="63"/>
  <c r="E468" i="63"/>
  <c r="F468" i="63"/>
  <c r="G468" i="63"/>
  <c r="H468" i="63"/>
  <c r="I468" i="63"/>
  <c r="A469" i="63"/>
  <c r="C469" i="63"/>
  <c r="D469" i="63"/>
  <c r="E469" i="63"/>
  <c r="F469" i="63"/>
  <c r="G469" i="63"/>
  <c r="H469" i="63"/>
  <c r="I469" i="63"/>
  <c r="A470" i="63"/>
  <c r="C470" i="63"/>
  <c r="D470" i="63"/>
  <c r="E470" i="63"/>
  <c r="F470" i="63"/>
  <c r="G470" i="63"/>
  <c r="H470" i="63"/>
  <c r="I470" i="63"/>
  <c r="A471" i="63"/>
  <c r="C471" i="63"/>
  <c r="D471" i="63"/>
  <c r="E471" i="63"/>
  <c r="F471" i="63"/>
  <c r="G471" i="63"/>
  <c r="H471" i="63"/>
  <c r="I471" i="63"/>
  <c r="A472" i="63"/>
  <c r="C472" i="63"/>
  <c r="D472" i="63"/>
  <c r="E472" i="63"/>
  <c r="F472" i="63"/>
  <c r="G472" i="63"/>
  <c r="H472" i="63"/>
  <c r="I472" i="63"/>
  <c r="A473" i="63"/>
  <c r="C473" i="63"/>
  <c r="D473" i="63"/>
  <c r="E473" i="63"/>
  <c r="F473" i="63"/>
  <c r="G473" i="63"/>
  <c r="H473" i="63"/>
  <c r="I473" i="63"/>
  <c r="A474" i="63"/>
  <c r="C474" i="63"/>
  <c r="D474" i="63"/>
  <c r="E474" i="63"/>
  <c r="F474" i="63"/>
  <c r="G474" i="63"/>
  <c r="H474" i="63"/>
  <c r="I474" i="63"/>
  <c r="A475" i="63"/>
  <c r="C475" i="63"/>
  <c r="D475" i="63"/>
  <c r="E475" i="63"/>
  <c r="F475" i="63"/>
  <c r="G475" i="63"/>
  <c r="H475" i="63"/>
  <c r="I475" i="63"/>
  <c r="A476" i="63"/>
  <c r="C476" i="63"/>
  <c r="D476" i="63"/>
  <c r="E476" i="63"/>
  <c r="F476" i="63"/>
  <c r="G476" i="63"/>
  <c r="H476" i="63"/>
  <c r="I476" i="63"/>
  <c r="A477" i="63"/>
  <c r="C477" i="63"/>
  <c r="D477" i="63"/>
  <c r="E477" i="63"/>
  <c r="F477" i="63"/>
  <c r="G477" i="63"/>
  <c r="H477" i="63"/>
  <c r="I477" i="63"/>
  <c r="A478" i="63"/>
  <c r="C478" i="63"/>
  <c r="D478" i="63"/>
  <c r="E478" i="63"/>
  <c r="F478" i="63"/>
  <c r="G478" i="63"/>
  <c r="H478" i="63"/>
  <c r="I478" i="63"/>
  <c r="A479" i="63"/>
  <c r="C479" i="63"/>
  <c r="D479" i="63"/>
  <c r="E479" i="63"/>
  <c r="F479" i="63"/>
  <c r="G479" i="63"/>
  <c r="H479" i="63"/>
  <c r="I479" i="63"/>
  <c r="A480" i="63"/>
  <c r="C480" i="63"/>
  <c r="D480" i="63"/>
  <c r="E480" i="63"/>
  <c r="F480" i="63"/>
  <c r="G480" i="63"/>
  <c r="H480" i="63"/>
  <c r="I480" i="63"/>
  <c r="A481" i="63"/>
  <c r="C481" i="63"/>
  <c r="D481" i="63"/>
  <c r="E481" i="63"/>
  <c r="F481" i="63"/>
  <c r="G481" i="63"/>
  <c r="H481" i="63"/>
  <c r="I481" i="63"/>
  <c r="A482" i="63"/>
  <c r="C482" i="63"/>
  <c r="D482" i="63"/>
  <c r="E482" i="63"/>
  <c r="F482" i="63"/>
  <c r="G482" i="63"/>
  <c r="H482" i="63"/>
  <c r="I482" i="63"/>
  <c r="A483" i="63"/>
  <c r="C483" i="63"/>
  <c r="D483" i="63"/>
  <c r="E483" i="63"/>
  <c r="F483" i="63"/>
  <c r="G483" i="63"/>
  <c r="H483" i="63"/>
  <c r="I483" i="63"/>
  <c r="A484" i="63"/>
  <c r="C484" i="63"/>
  <c r="D484" i="63"/>
  <c r="E484" i="63"/>
  <c r="F484" i="63"/>
  <c r="G484" i="63"/>
  <c r="H484" i="63"/>
  <c r="I484" i="63"/>
  <c r="A485" i="63"/>
  <c r="C485" i="63"/>
  <c r="D485" i="63"/>
  <c r="E485" i="63"/>
  <c r="F485" i="63"/>
  <c r="G485" i="63"/>
  <c r="H485" i="63"/>
  <c r="I485" i="63"/>
  <c r="A486" i="63"/>
  <c r="C486" i="63"/>
  <c r="D486" i="63"/>
  <c r="E486" i="63"/>
  <c r="F486" i="63"/>
  <c r="G486" i="63"/>
  <c r="H486" i="63"/>
  <c r="I486" i="63"/>
  <c r="A487" i="63"/>
  <c r="C487" i="63"/>
  <c r="D487" i="63"/>
  <c r="E487" i="63"/>
  <c r="F487" i="63"/>
  <c r="G487" i="63"/>
  <c r="H487" i="63"/>
  <c r="I487" i="63"/>
  <c r="A488" i="63"/>
  <c r="C488" i="63"/>
  <c r="D488" i="63"/>
  <c r="E488" i="63"/>
  <c r="F488" i="63"/>
  <c r="G488" i="63"/>
  <c r="H488" i="63"/>
  <c r="I488" i="63"/>
  <c r="A489" i="63"/>
  <c r="C489" i="63"/>
  <c r="D489" i="63"/>
  <c r="E489" i="63"/>
  <c r="F489" i="63"/>
  <c r="G489" i="63"/>
  <c r="H489" i="63"/>
  <c r="I489" i="63"/>
  <c r="A490" i="63"/>
  <c r="C490" i="63"/>
  <c r="D490" i="63"/>
  <c r="E490" i="63"/>
  <c r="F490" i="63"/>
  <c r="G490" i="63"/>
  <c r="H490" i="63"/>
  <c r="I490" i="63"/>
  <c r="A491" i="63"/>
  <c r="C491" i="63"/>
  <c r="D491" i="63"/>
  <c r="E491" i="63"/>
  <c r="F491" i="63"/>
  <c r="G491" i="63"/>
  <c r="H491" i="63"/>
  <c r="I491" i="63"/>
  <c r="A492" i="63"/>
  <c r="C492" i="63"/>
  <c r="D492" i="63"/>
  <c r="E492" i="63"/>
  <c r="F492" i="63"/>
  <c r="G492" i="63"/>
  <c r="H492" i="63"/>
  <c r="I492" i="63"/>
  <c r="A493" i="63"/>
  <c r="C493" i="63"/>
  <c r="D493" i="63"/>
  <c r="E493" i="63"/>
  <c r="F493" i="63"/>
  <c r="G493" i="63"/>
  <c r="H493" i="63"/>
  <c r="I493" i="63"/>
  <c r="A494" i="63"/>
  <c r="C494" i="63"/>
  <c r="D494" i="63"/>
  <c r="E494" i="63"/>
  <c r="F494" i="63"/>
  <c r="G494" i="63"/>
  <c r="H494" i="63"/>
  <c r="I494" i="63"/>
  <c r="A495" i="63"/>
  <c r="C495" i="63"/>
  <c r="D495" i="63"/>
  <c r="E495" i="63"/>
  <c r="F495" i="63"/>
  <c r="G495" i="63"/>
  <c r="H495" i="63"/>
  <c r="I495" i="63"/>
  <c r="A496" i="63"/>
  <c r="C496" i="63"/>
  <c r="D496" i="63"/>
  <c r="E496" i="63"/>
  <c r="F496" i="63"/>
  <c r="G496" i="63"/>
  <c r="H496" i="63"/>
  <c r="I496" i="63"/>
  <c r="A497" i="63"/>
  <c r="C497" i="63"/>
  <c r="D497" i="63"/>
  <c r="E497" i="63"/>
  <c r="F497" i="63"/>
  <c r="G497" i="63"/>
  <c r="H497" i="63"/>
  <c r="I497" i="63"/>
  <c r="A498" i="63"/>
  <c r="C498" i="63"/>
  <c r="D498" i="63"/>
  <c r="E498" i="63"/>
  <c r="F498" i="63"/>
  <c r="G498" i="63"/>
  <c r="H498" i="63"/>
  <c r="I498" i="63"/>
  <c r="A499" i="63"/>
  <c r="C499" i="63"/>
  <c r="D499" i="63"/>
  <c r="E499" i="63"/>
  <c r="F499" i="63"/>
  <c r="G499" i="63"/>
  <c r="H499" i="63"/>
  <c r="I499" i="63"/>
  <c r="A500" i="63"/>
  <c r="C500" i="63"/>
  <c r="D500" i="63"/>
  <c r="E500" i="63"/>
  <c r="F500" i="63"/>
  <c r="G500" i="63"/>
  <c r="H500" i="63"/>
  <c r="I500" i="63"/>
  <c r="A501" i="63"/>
  <c r="C501" i="63"/>
  <c r="D501" i="63"/>
  <c r="E501" i="63"/>
  <c r="F501" i="63"/>
  <c r="G501" i="63"/>
  <c r="H501" i="63"/>
  <c r="I501" i="63"/>
  <c r="A502" i="63"/>
  <c r="C502" i="63"/>
  <c r="D502" i="63"/>
  <c r="E502" i="63"/>
  <c r="F502" i="63"/>
  <c r="G502" i="63"/>
  <c r="H502" i="63"/>
  <c r="I502" i="63"/>
  <c r="A503" i="63"/>
  <c r="C503" i="63"/>
  <c r="D503" i="63"/>
  <c r="E503" i="63"/>
  <c r="F503" i="63"/>
  <c r="G503" i="63"/>
  <c r="H503" i="63"/>
  <c r="I503" i="63"/>
  <c r="A504" i="63"/>
  <c r="C504" i="63"/>
  <c r="D504" i="63"/>
  <c r="E504" i="63"/>
  <c r="F504" i="63"/>
  <c r="G504" i="63"/>
  <c r="H504" i="63"/>
  <c r="I504" i="63"/>
  <c r="A505" i="63"/>
  <c r="C505" i="63"/>
  <c r="D505" i="63"/>
  <c r="E505" i="63"/>
  <c r="F505" i="63"/>
  <c r="G505" i="63"/>
  <c r="H505" i="63"/>
  <c r="I505" i="63"/>
  <c r="A506" i="63"/>
  <c r="C506" i="63"/>
  <c r="D506" i="63"/>
  <c r="E506" i="63"/>
  <c r="F506" i="63"/>
  <c r="G506" i="63"/>
  <c r="H506" i="63"/>
  <c r="I506" i="63"/>
  <c r="A507" i="63"/>
  <c r="C507" i="63"/>
  <c r="D507" i="63"/>
  <c r="E507" i="63"/>
  <c r="F507" i="63"/>
  <c r="G507" i="63"/>
  <c r="H507" i="63"/>
  <c r="I507" i="63"/>
  <c r="A508" i="63"/>
  <c r="C508" i="63"/>
  <c r="D508" i="63"/>
  <c r="E508" i="63"/>
  <c r="F508" i="63"/>
  <c r="G508" i="63"/>
  <c r="H508" i="63"/>
  <c r="I508" i="63"/>
  <c r="A509" i="63"/>
  <c r="C509" i="63"/>
  <c r="D509" i="63"/>
  <c r="E509" i="63"/>
  <c r="F509" i="63"/>
  <c r="G509" i="63"/>
  <c r="H509" i="63"/>
  <c r="I509" i="63"/>
  <c r="A510" i="63"/>
  <c r="C510" i="63"/>
  <c r="D510" i="63"/>
  <c r="E510" i="63"/>
  <c r="F510" i="63"/>
  <c r="G510" i="63"/>
  <c r="H510" i="63"/>
  <c r="I510" i="63"/>
  <c r="A511" i="63"/>
  <c r="C511" i="63"/>
  <c r="D511" i="63"/>
  <c r="E511" i="63"/>
  <c r="F511" i="63"/>
  <c r="G511" i="63"/>
  <c r="H511" i="63"/>
  <c r="I511" i="63"/>
  <c r="A512" i="63"/>
  <c r="C512" i="63"/>
  <c r="D512" i="63"/>
  <c r="E512" i="63"/>
  <c r="F512" i="63"/>
  <c r="G512" i="63"/>
  <c r="H512" i="63"/>
  <c r="I512" i="63"/>
  <c r="A513" i="63"/>
  <c r="C513" i="63"/>
  <c r="D513" i="63"/>
  <c r="E513" i="63"/>
  <c r="F513" i="63"/>
  <c r="G513" i="63"/>
  <c r="H513" i="63"/>
  <c r="I513" i="63"/>
  <c r="A514" i="63"/>
  <c r="C514" i="63"/>
  <c r="D514" i="63"/>
  <c r="E514" i="63"/>
  <c r="F514" i="63"/>
  <c r="G514" i="63"/>
  <c r="H514" i="63"/>
  <c r="I514" i="63"/>
  <c r="A515" i="63"/>
  <c r="C515" i="63"/>
  <c r="D515" i="63"/>
  <c r="E515" i="63"/>
  <c r="F515" i="63"/>
  <c r="G515" i="63"/>
  <c r="H515" i="63"/>
  <c r="I515" i="63"/>
  <c r="A516" i="63"/>
  <c r="C516" i="63"/>
  <c r="D516" i="63"/>
  <c r="E516" i="63"/>
  <c r="F516" i="63"/>
  <c r="G516" i="63"/>
  <c r="H516" i="63"/>
  <c r="I516" i="63"/>
  <c r="A517" i="63"/>
  <c r="C517" i="63"/>
  <c r="D517" i="63"/>
  <c r="E517" i="63"/>
  <c r="F517" i="63"/>
  <c r="G517" i="63"/>
  <c r="H517" i="63"/>
  <c r="I517" i="63"/>
  <c r="A518" i="63"/>
  <c r="C518" i="63"/>
  <c r="D518" i="63"/>
  <c r="E518" i="63"/>
  <c r="F518" i="63"/>
  <c r="G518" i="63"/>
  <c r="H518" i="63"/>
  <c r="I518" i="63"/>
  <c r="A519" i="63"/>
  <c r="C519" i="63"/>
  <c r="D519" i="63"/>
  <c r="E519" i="63"/>
  <c r="F519" i="63"/>
  <c r="G519" i="63"/>
  <c r="H519" i="63"/>
  <c r="I519" i="63"/>
  <c r="A520" i="63"/>
  <c r="C520" i="63"/>
  <c r="D520" i="63"/>
  <c r="E520" i="63"/>
  <c r="F520" i="63"/>
  <c r="G520" i="63"/>
  <c r="H520" i="63"/>
  <c r="I520" i="63"/>
  <c r="A521" i="63"/>
  <c r="C521" i="63"/>
  <c r="D521" i="63"/>
  <c r="E521" i="63"/>
  <c r="F521" i="63"/>
  <c r="G521" i="63"/>
  <c r="H521" i="63"/>
  <c r="I521" i="63"/>
  <c r="A522" i="63"/>
  <c r="C522" i="63"/>
  <c r="D522" i="63"/>
  <c r="E522" i="63"/>
  <c r="F522" i="63"/>
  <c r="G522" i="63"/>
  <c r="H522" i="63"/>
  <c r="I522" i="63"/>
  <c r="A523" i="63"/>
  <c r="C523" i="63"/>
  <c r="D523" i="63"/>
  <c r="E523" i="63"/>
  <c r="F523" i="63"/>
  <c r="G523" i="63"/>
  <c r="H523" i="63"/>
  <c r="I523" i="63"/>
  <c r="A524" i="63"/>
  <c r="C524" i="63"/>
  <c r="D524" i="63"/>
  <c r="E524" i="63"/>
  <c r="F524" i="63"/>
  <c r="G524" i="63"/>
  <c r="H524" i="63"/>
  <c r="I524" i="63"/>
  <c r="A525" i="63"/>
  <c r="C525" i="63"/>
  <c r="D525" i="63"/>
  <c r="E525" i="63"/>
  <c r="F525" i="63"/>
  <c r="G525" i="63"/>
  <c r="H525" i="63"/>
  <c r="I525" i="63"/>
  <c r="A526" i="63"/>
  <c r="C526" i="63"/>
  <c r="D526" i="63"/>
  <c r="E526" i="63"/>
  <c r="F526" i="63"/>
  <c r="G526" i="63"/>
  <c r="H526" i="63"/>
  <c r="I526" i="63"/>
  <c r="A527" i="63"/>
  <c r="C527" i="63"/>
  <c r="D527" i="63"/>
  <c r="E527" i="63"/>
  <c r="F527" i="63"/>
  <c r="G527" i="63"/>
  <c r="H527" i="63"/>
  <c r="I527" i="63"/>
  <c r="A528" i="63"/>
  <c r="C528" i="63"/>
  <c r="D528" i="63"/>
  <c r="E528" i="63"/>
  <c r="F528" i="63"/>
  <c r="G528" i="63"/>
  <c r="H528" i="63"/>
  <c r="I528" i="63"/>
  <c r="A529" i="63"/>
  <c r="C529" i="63"/>
  <c r="D529" i="63"/>
  <c r="E529" i="63"/>
  <c r="F529" i="63"/>
  <c r="G529" i="63"/>
  <c r="H529" i="63"/>
  <c r="I529" i="63"/>
  <c r="A530" i="63"/>
  <c r="C530" i="63"/>
  <c r="D530" i="63"/>
  <c r="E530" i="63"/>
  <c r="F530" i="63"/>
  <c r="G530" i="63"/>
  <c r="H530" i="63"/>
  <c r="I530" i="63"/>
  <c r="A531" i="63"/>
  <c r="C531" i="63"/>
  <c r="D531" i="63"/>
  <c r="E531" i="63"/>
  <c r="F531" i="63"/>
  <c r="G531" i="63"/>
  <c r="H531" i="63"/>
  <c r="I531" i="63"/>
  <c r="A532" i="63"/>
  <c r="C532" i="63"/>
  <c r="D532" i="63"/>
  <c r="E532" i="63"/>
  <c r="F532" i="63"/>
  <c r="G532" i="63"/>
  <c r="H532" i="63"/>
  <c r="I532" i="63"/>
  <c r="A533" i="63"/>
  <c r="C533" i="63"/>
  <c r="D533" i="63"/>
  <c r="E533" i="63"/>
  <c r="F533" i="63"/>
  <c r="G533" i="63"/>
  <c r="H533" i="63"/>
  <c r="I533" i="63"/>
  <c r="A534" i="63"/>
  <c r="C534" i="63"/>
  <c r="D534" i="63"/>
  <c r="E534" i="63"/>
  <c r="F534" i="63"/>
  <c r="G534" i="63"/>
  <c r="H534" i="63"/>
  <c r="I534" i="63"/>
  <c r="A535" i="63"/>
  <c r="C535" i="63"/>
  <c r="D535" i="63"/>
  <c r="E535" i="63"/>
  <c r="F535" i="63"/>
  <c r="G535" i="63"/>
  <c r="H535" i="63"/>
  <c r="I535" i="63"/>
  <c r="A536" i="63"/>
  <c r="C536" i="63"/>
  <c r="D536" i="63"/>
  <c r="E536" i="63"/>
  <c r="F536" i="63"/>
  <c r="G536" i="63"/>
  <c r="H536" i="63"/>
  <c r="I536" i="63"/>
  <c r="A537" i="63"/>
  <c r="C537" i="63"/>
  <c r="D537" i="63"/>
  <c r="E537" i="63"/>
  <c r="F537" i="63"/>
  <c r="G537" i="63"/>
  <c r="H537" i="63"/>
  <c r="I537" i="63"/>
  <c r="A538" i="63"/>
  <c r="C538" i="63"/>
  <c r="D538" i="63"/>
  <c r="E538" i="63"/>
  <c r="F538" i="63"/>
  <c r="G538" i="63"/>
  <c r="H538" i="63"/>
  <c r="I538" i="63"/>
  <c r="A539" i="63"/>
  <c r="C539" i="63"/>
  <c r="D539" i="63"/>
  <c r="E539" i="63"/>
  <c r="F539" i="63"/>
  <c r="G539" i="63"/>
  <c r="H539" i="63"/>
  <c r="I539" i="63"/>
  <c r="A540" i="63"/>
  <c r="C540" i="63"/>
  <c r="D540" i="63"/>
  <c r="E540" i="63"/>
  <c r="F540" i="63"/>
  <c r="G540" i="63"/>
  <c r="H540" i="63"/>
  <c r="I540" i="63"/>
  <c r="A541" i="63"/>
  <c r="C541" i="63"/>
  <c r="D541" i="63"/>
  <c r="E541" i="63"/>
  <c r="F541" i="63"/>
  <c r="G541" i="63"/>
  <c r="H541" i="63"/>
  <c r="I541" i="63"/>
  <c r="A542" i="63"/>
  <c r="C542" i="63"/>
  <c r="D542" i="63"/>
  <c r="E542" i="63"/>
  <c r="F542" i="63"/>
  <c r="G542" i="63"/>
  <c r="H542" i="63"/>
  <c r="I542" i="63"/>
  <c r="A543" i="63"/>
  <c r="C543" i="63"/>
  <c r="D543" i="63"/>
  <c r="E543" i="63"/>
  <c r="F543" i="63"/>
  <c r="G543" i="63"/>
  <c r="H543" i="63"/>
  <c r="I543" i="63"/>
  <c r="A544" i="63"/>
  <c r="C544" i="63"/>
  <c r="D544" i="63"/>
  <c r="E544" i="63"/>
  <c r="F544" i="63"/>
  <c r="G544" i="63"/>
  <c r="H544" i="63"/>
  <c r="I544" i="63"/>
  <c r="A545" i="63"/>
  <c r="C545" i="63"/>
  <c r="D545" i="63"/>
  <c r="E545" i="63"/>
  <c r="F545" i="63"/>
  <c r="G545" i="63"/>
  <c r="H545" i="63"/>
  <c r="I545" i="63"/>
  <c r="A546" i="63"/>
  <c r="C546" i="63"/>
  <c r="D546" i="63"/>
  <c r="E546" i="63"/>
  <c r="F546" i="63"/>
  <c r="G546" i="63"/>
  <c r="H546" i="63"/>
  <c r="I546" i="63"/>
  <c r="A547" i="63"/>
  <c r="C547" i="63"/>
  <c r="D547" i="63"/>
  <c r="E547" i="63"/>
  <c r="F547" i="63"/>
  <c r="G547" i="63"/>
  <c r="H547" i="63"/>
  <c r="I547" i="63"/>
  <c r="A548" i="63"/>
  <c r="C548" i="63"/>
  <c r="D548" i="63"/>
  <c r="E548" i="63"/>
  <c r="F548" i="63"/>
  <c r="G548" i="63"/>
  <c r="H548" i="63"/>
  <c r="I548" i="63"/>
  <c r="A549" i="63"/>
  <c r="C549" i="63"/>
  <c r="D549" i="63"/>
  <c r="E549" i="63"/>
  <c r="F549" i="63"/>
  <c r="G549" i="63"/>
  <c r="H549" i="63"/>
  <c r="I549" i="63"/>
  <c r="A550" i="63"/>
  <c r="C550" i="63"/>
  <c r="D550" i="63"/>
  <c r="E550" i="63"/>
  <c r="F550" i="63"/>
  <c r="G550" i="63"/>
  <c r="H550" i="63"/>
  <c r="I550" i="63"/>
  <c r="A551" i="63"/>
  <c r="C551" i="63"/>
  <c r="D551" i="63"/>
  <c r="E551" i="63"/>
  <c r="F551" i="63"/>
  <c r="G551" i="63"/>
  <c r="H551" i="63"/>
  <c r="I551" i="63"/>
  <c r="A552" i="63"/>
  <c r="C552" i="63"/>
  <c r="D552" i="63"/>
  <c r="E552" i="63"/>
  <c r="F552" i="63"/>
  <c r="G552" i="63"/>
  <c r="H552" i="63"/>
  <c r="I552" i="63"/>
  <c r="A553" i="63"/>
  <c r="C553" i="63"/>
  <c r="D553" i="63"/>
  <c r="E553" i="63"/>
  <c r="F553" i="63"/>
  <c r="G553" i="63"/>
  <c r="H553" i="63"/>
  <c r="I553" i="63"/>
  <c r="A554" i="63"/>
  <c r="C554" i="63"/>
  <c r="D554" i="63"/>
  <c r="E554" i="63"/>
  <c r="F554" i="63"/>
  <c r="G554" i="63"/>
  <c r="H554" i="63"/>
  <c r="I554" i="63"/>
  <c r="A555" i="63"/>
  <c r="C555" i="63"/>
  <c r="D555" i="63"/>
  <c r="E555" i="63"/>
  <c r="F555" i="63"/>
  <c r="G555" i="63"/>
  <c r="H555" i="63"/>
  <c r="I555" i="63"/>
  <c r="A556" i="63"/>
  <c r="C556" i="63"/>
  <c r="D556" i="63"/>
  <c r="E556" i="63"/>
  <c r="F556" i="63"/>
  <c r="G556" i="63"/>
  <c r="H556" i="63"/>
  <c r="I556" i="63"/>
  <c r="A557" i="63"/>
  <c r="C557" i="63"/>
  <c r="D557" i="63"/>
  <c r="E557" i="63"/>
  <c r="F557" i="63"/>
  <c r="G557" i="63"/>
  <c r="H557" i="63"/>
  <c r="I557" i="63"/>
  <c r="A558" i="63"/>
  <c r="C558" i="63"/>
  <c r="D558" i="63"/>
  <c r="E558" i="63"/>
  <c r="F558" i="63"/>
  <c r="G558" i="63"/>
  <c r="H558" i="63"/>
  <c r="I558" i="63"/>
  <c r="A559" i="63"/>
  <c r="C559" i="63"/>
  <c r="D559" i="63"/>
  <c r="E559" i="63"/>
  <c r="F559" i="63"/>
  <c r="G559" i="63"/>
  <c r="H559" i="63"/>
  <c r="I559" i="63"/>
  <c r="A560" i="63"/>
  <c r="C560" i="63"/>
  <c r="D560" i="63"/>
  <c r="E560" i="63"/>
  <c r="F560" i="63"/>
  <c r="G560" i="63"/>
  <c r="H560" i="63"/>
  <c r="I560" i="63"/>
  <c r="A561" i="63"/>
  <c r="C561" i="63"/>
  <c r="D561" i="63"/>
  <c r="E561" i="63"/>
  <c r="F561" i="63"/>
  <c r="G561" i="63"/>
  <c r="H561" i="63"/>
  <c r="I561" i="63"/>
  <c r="A562" i="63"/>
  <c r="C562" i="63"/>
  <c r="D562" i="63"/>
  <c r="E562" i="63"/>
  <c r="F562" i="63"/>
  <c r="G562" i="63"/>
  <c r="H562" i="63"/>
  <c r="I562" i="63"/>
  <c r="A563" i="63"/>
  <c r="C563" i="63"/>
  <c r="D563" i="63"/>
  <c r="E563" i="63"/>
  <c r="F563" i="63"/>
  <c r="G563" i="63"/>
  <c r="H563" i="63"/>
  <c r="I563" i="63"/>
  <c r="A564" i="63"/>
  <c r="C564" i="63"/>
  <c r="D564" i="63"/>
  <c r="E564" i="63"/>
  <c r="F564" i="63"/>
  <c r="G564" i="63"/>
  <c r="H564" i="63"/>
  <c r="I564" i="63"/>
  <c r="A565" i="63"/>
  <c r="C565" i="63"/>
  <c r="D565" i="63"/>
  <c r="E565" i="63"/>
  <c r="F565" i="63"/>
  <c r="G565" i="63"/>
  <c r="H565" i="63"/>
  <c r="I565" i="63"/>
  <c r="A566" i="63"/>
  <c r="C566" i="63"/>
  <c r="D566" i="63"/>
  <c r="E566" i="63"/>
  <c r="F566" i="63"/>
  <c r="G566" i="63"/>
  <c r="H566" i="63"/>
  <c r="I566" i="63"/>
  <c r="A567" i="63"/>
  <c r="C567" i="63"/>
  <c r="D567" i="63"/>
  <c r="E567" i="63"/>
  <c r="F567" i="63"/>
  <c r="G567" i="63"/>
  <c r="H567" i="63"/>
  <c r="I567" i="63"/>
  <c r="A568" i="63"/>
  <c r="C568" i="63"/>
  <c r="D568" i="63"/>
  <c r="E568" i="63"/>
  <c r="F568" i="63"/>
  <c r="G568" i="63"/>
  <c r="H568" i="63"/>
  <c r="I568" i="63"/>
  <c r="A569" i="63"/>
  <c r="C569" i="63"/>
  <c r="D569" i="63"/>
  <c r="E569" i="63"/>
  <c r="F569" i="63"/>
  <c r="G569" i="63"/>
  <c r="H569" i="63"/>
  <c r="I569" i="63"/>
  <c r="A570" i="63"/>
  <c r="C570" i="63"/>
  <c r="D570" i="63"/>
  <c r="E570" i="63"/>
  <c r="F570" i="63"/>
  <c r="G570" i="63"/>
  <c r="H570" i="63"/>
  <c r="I570" i="63"/>
  <c r="A571" i="63"/>
  <c r="C571" i="63"/>
  <c r="D571" i="63"/>
  <c r="E571" i="63"/>
  <c r="F571" i="63"/>
  <c r="G571" i="63"/>
  <c r="H571" i="63"/>
  <c r="I571" i="63"/>
  <c r="A572" i="63"/>
  <c r="C572" i="63"/>
  <c r="D572" i="63"/>
  <c r="E572" i="63"/>
  <c r="F572" i="63"/>
  <c r="G572" i="63"/>
  <c r="H572" i="63"/>
  <c r="I572" i="63"/>
  <c r="A573" i="63"/>
  <c r="C573" i="63"/>
  <c r="D573" i="63"/>
  <c r="E573" i="63"/>
  <c r="F573" i="63"/>
  <c r="G573" i="63"/>
  <c r="H573" i="63"/>
  <c r="I573" i="63"/>
  <c r="A574" i="63"/>
  <c r="C574" i="63"/>
  <c r="D574" i="63"/>
  <c r="E574" i="63"/>
  <c r="F574" i="63"/>
  <c r="G574" i="63"/>
  <c r="H574" i="63"/>
  <c r="I574" i="63"/>
  <c r="A575" i="63"/>
  <c r="C575" i="63"/>
  <c r="D575" i="63"/>
  <c r="E575" i="63"/>
  <c r="F575" i="63"/>
  <c r="G575" i="63"/>
  <c r="H575" i="63"/>
  <c r="I575" i="63"/>
  <c r="A576" i="63"/>
  <c r="C576" i="63"/>
  <c r="D576" i="63"/>
  <c r="E576" i="63"/>
  <c r="F576" i="63"/>
  <c r="G576" i="63"/>
  <c r="H576" i="63"/>
  <c r="I576" i="63"/>
  <c r="A577" i="63"/>
  <c r="C577" i="63"/>
  <c r="D577" i="63"/>
  <c r="E577" i="63"/>
  <c r="F577" i="63"/>
  <c r="G577" i="63"/>
  <c r="H577" i="63"/>
  <c r="I577" i="63"/>
  <c r="A578" i="63"/>
  <c r="C578" i="63"/>
  <c r="D578" i="63"/>
  <c r="E578" i="63"/>
  <c r="F578" i="63"/>
  <c r="G578" i="63"/>
  <c r="H578" i="63"/>
  <c r="I578" i="63"/>
  <c r="A579" i="63"/>
  <c r="C579" i="63"/>
  <c r="D579" i="63"/>
  <c r="E579" i="63"/>
  <c r="F579" i="63"/>
  <c r="G579" i="63"/>
  <c r="H579" i="63"/>
  <c r="I579" i="63"/>
  <c r="A580" i="63"/>
  <c r="C580" i="63"/>
  <c r="D580" i="63"/>
  <c r="E580" i="63"/>
  <c r="F580" i="63"/>
  <c r="G580" i="63"/>
  <c r="H580" i="63"/>
  <c r="I580" i="63"/>
  <c r="A581" i="63"/>
  <c r="C581" i="63"/>
  <c r="D581" i="63"/>
  <c r="E581" i="63"/>
  <c r="F581" i="63"/>
  <c r="G581" i="63"/>
  <c r="H581" i="63"/>
  <c r="I581" i="63"/>
  <c r="A582" i="63"/>
  <c r="C582" i="63"/>
  <c r="D582" i="63"/>
  <c r="E582" i="63"/>
  <c r="F582" i="63"/>
  <c r="G582" i="63"/>
  <c r="H582" i="63"/>
  <c r="I582" i="63"/>
  <c r="A583" i="63"/>
  <c r="C583" i="63"/>
  <c r="D583" i="63"/>
  <c r="E583" i="63"/>
  <c r="F583" i="63"/>
  <c r="G583" i="63"/>
  <c r="H583" i="63"/>
  <c r="I583" i="63"/>
  <c r="A584" i="63"/>
  <c r="C584" i="63"/>
  <c r="D584" i="63"/>
  <c r="E584" i="63"/>
  <c r="F584" i="63"/>
  <c r="G584" i="63"/>
  <c r="H584" i="63"/>
  <c r="I584" i="63"/>
  <c r="A585" i="63"/>
  <c r="C585" i="63"/>
  <c r="D585" i="63"/>
  <c r="E585" i="63"/>
  <c r="F585" i="63"/>
  <c r="G585" i="63"/>
  <c r="H585" i="63"/>
  <c r="I585" i="63"/>
  <c r="A586" i="63"/>
  <c r="C586" i="63"/>
  <c r="D586" i="63"/>
  <c r="E586" i="63"/>
  <c r="F586" i="63"/>
  <c r="G586" i="63"/>
  <c r="H586" i="63"/>
  <c r="I586" i="63"/>
  <c r="A587" i="63"/>
  <c r="C587" i="63"/>
  <c r="D587" i="63"/>
  <c r="E587" i="63"/>
  <c r="F587" i="63"/>
  <c r="G587" i="63"/>
  <c r="H587" i="63"/>
  <c r="I587" i="63"/>
  <c r="A588" i="63"/>
  <c r="C588" i="63"/>
  <c r="D588" i="63"/>
  <c r="E588" i="63"/>
  <c r="F588" i="63"/>
  <c r="G588" i="63"/>
  <c r="H588" i="63"/>
  <c r="I588" i="63"/>
  <c r="A589" i="63"/>
  <c r="C589" i="63"/>
  <c r="D589" i="63"/>
  <c r="E589" i="63"/>
  <c r="F589" i="63"/>
  <c r="G589" i="63"/>
  <c r="H589" i="63"/>
  <c r="I589" i="63"/>
  <c r="A590" i="63"/>
  <c r="C590" i="63"/>
  <c r="D590" i="63"/>
  <c r="E590" i="63"/>
  <c r="F590" i="63"/>
  <c r="G590" i="63"/>
  <c r="H590" i="63"/>
  <c r="I590" i="63"/>
  <c r="A591" i="63"/>
  <c r="C591" i="63"/>
  <c r="D591" i="63"/>
  <c r="E591" i="63"/>
  <c r="F591" i="63"/>
  <c r="G591" i="63"/>
  <c r="H591" i="63"/>
  <c r="I591" i="63"/>
  <c r="A592" i="63"/>
  <c r="C592" i="63"/>
  <c r="D592" i="63"/>
  <c r="E592" i="63"/>
  <c r="F592" i="63"/>
  <c r="G592" i="63"/>
  <c r="H592" i="63"/>
  <c r="I592" i="63"/>
  <c r="A593" i="63"/>
  <c r="C593" i="63"/>
  <c r="D593" i="63"/>
  <c r="E593" i="63"/>
  <c r="F593" i="63"/>
  <c r="G593" i="63"/>
  <c r="H593" i="63"/>
  <c r="I593" i="63"/>
  <c r="A594" i="63"/>
  <c r="C594" i="63"/>
  <c r="D594" i="63"/>
  <c r="E594" i="63"/>
  <c r="F594" i="63"/>
  <c r="G594" i="63"/>
  <c r="H594" i="63"/>
  <c r="I594" i="63"/>
  <c r="A595" i="63"/>
  <c r="C595" i="63"/>
  <c r="D595" i="63"/>
  <c r="E595" i="63"/>
  <c r="F595" i="63"/>
  <c r="G595" i="63"/>
  <c r="H595" i="63"/>
  <c r="I595" i="63"/>
  <c r="A596" i="63"/>
  <c r="C596" i="63"/>
  <c r="D596" i="63"/>
  <c r="E596" i="63"/>
  <c r="F596" i="63"/>
  <c r="G596" i="63"/>
  <c r="H596" i="63"/>
  <c r="I596" i="63"/>
  <c r="A597" i="63"/>
  <c r="C597" i="63"/>
  <c r="D597" i="63"/>
  <c r="E597" i="63"/>
  <c r="F597" i="63"/>
  <c r="G597" i="63"/>
  <c r="H597" i="63"/>
  <c r="I597" i="63"/>
  <c r="A598" i="63"/>
  <c r="C598" i="63"/>
  <c r="D598" i="63"/>
  <c r="E598" i="63"/>
  <c r="F598" i="63"/>
  <c r="G598" i="63"/>
  <c r="H598" i="63"/>
  <c r="I598" i="63"/>
  <c r="A599" i="63"/>
  <c r="C599" i="63"/>
  <c r="D599" i="63"/>
  <c r="E599" i="63"/>
  <c r="F599" i="63"/>
  <c r="G599" i="63"/>
  <c r="H599" i="63"/>
  <c r="I599" i="63"/>
  <c r="A600" i="63"/>
  <c r="C600" i="63"/>
  <c r="D600" i="63"/>
  <c r="E600" i="63"/>
  <c r="F600" i="63"/>
  <c r="G600" i="63"/>
  <c r="H600" i="63"/>
  <c r="I600" i="63"/>
  <c r="A601" i="63"/>
  <c r="C601" i="63"/>
  <c r="D601" i="63"/>
  <c r="E601" i="63"/>
  <c r="F601" i="63"/>
  <c r="G601" i="63"/>
  <c r="H601" i="63"/>
  <c r="I601" i="63"/>
  <c r="A602" i="63"/>
  <c r="C602" i="63"/>
  <c r="D602" i="63"/>
  <c r="E602" i="63"/>
  <c r="F602" i="63"/>
  <c r="G602" i="63"/>
  <c r="H602" i="63"/>
  <c r="I602" i="63"/>
  <c r="A603" i="63"/>
  <c r="C603" i="63"/>
  <c r="D603" i="63"/>
  <c r="E603" i="63"/>
  <c r="F603" i="63"/>
  <c r="G603" i="63"/>
  <c r="H603" i="63"/>
  <c r="I603" i="63"/>
  <c r="A604" i="63"/>
  <c r="C604" i="63"/>
  <c r="D604" i="63"/>
  <c r="E604" i="63"/>
  <c r="F604" i="63"/>
  <c r="G604" i="63"/>
  <c r="H604" i="63"/>
  <c r="I604" i="63"/>
  <c r="A605" i="63"/>
  <c r="C605" i="63"/>
  <c r="D605" i="63"/>
  <c r="E605" i="63"/>
  <c r="F605" i="63"/>
  <c r="G605" i="63"/>
  <c r="H605" i="63"/>
  <c r="I605" i="63"/>
  <c r="A606" i="63"/>
  <c r="C606" i="63"/>
  <c r="D606" i="63"/>
  <c r="E606" i="63"/>
  <c r="F606" i="63"/>
  <c r="G606" i="63"/>
  <c r="H606" i="63"/>
  <c r="I606" i="63"/>
  <c r="A607" i="63"/>
  <c r="C607" i="63"/>
  <c r="D607" i="63"/>
  <c r="E607" i="63"/>
  <c r="F607" i="63"/>
  <c r="G607" i="63"/>
  <c r="H607" i="63"/>
  <c r="I607" i="63"/>
  <c r="A608" i="63"/>
  <c r="C608" i="63"/>
  <c r="D608" i="63"/>
  <c r="E608" i="63"/>
  <c r="F608" i="63"/>
  <c r="G608" i="63"/>
  <c r="H608" i="63"/>
  <c r="I608" i="63"/>
  <c r="A609" i="63"/>
  <c r="C609" i="63"/>
  <c r="D609" i="63"/>
  <c r="E609" i="63"/>
  <c r="F609" i="63"/>
  <c r="G609" i="63"/>
  <c r="H609" i="63"/>
  <c r="I609" i="63"/>
  <c r="A610" i="63"/>
  <c r="C610" i="63"/>
  <c r="D610" i="63"/>
  <c r="E610" i="63"/>
  <c r="F610" i="63"/>
  <c r="G610" i="63"/>
  <c r="H610" i="63"/>
  <c r="I610" i="63"/>
  <c r="A611" i="63"/>
  <c r="C611" i="63"/>
  <c r="D611" i="63"/>
  <c r="E611" i="63"/>
  <c r="F611" i="63"/>
  <c r="G611" i="63"/>
  <c r="H611" i="63"/>
  <c r="I611" i="63"/>
  <c r="A612" i="63"/>
  <c r="C612" i="63"/>
  <c r="D612" i="63"/>
  <c r="E612" i="63"/>
  <c r="F612" i="63"/>
  <c r="G612" i="63"/>
  <c r="H612" i="63"/>
  <c r="I612" i="63"/>
  <c r="A613" i="63"/>
  <c r="C613" i="63"/>
  <c r="D613" i="63"/>
  <c r="E613" i="63"/>
  <c r="F613" i="63"/>
  <c r="G613" i="63"/>
  <c r="H613" i="63"/>
  <c r="I613" i="63"/>
  <c r="A614" i="63"/>
  <c r="C614" i="63"/>
  <c r="D614" i="63"/>
  <c r="E614" i="63"/>
  <c r="F614" i="63"/>
  <c r="G614" i="63"/>
  <c r="H614" i="63"/>
  <c r="I614" i="63"/>
  <c r="A615" i="63"/>
  <c r="C615" i="63"/>
  <c r="D615" i="63"/>
  <c r="E615" i="63"/>
  <c r="F615" i="63"/>
  <c r="G615" i="63"/>
  <c r="H615" i="63"/>
  <c r="I615" i="63"/>
  <c r="A616" i="63"/>
  <c r="C616" i="63"/>
  <c r="D616" i="63"/>
  <c r="E616" i="63"/>
  <c r="F616" i="63"/>
  <c r="G616" i="63"/>
  <c r="H616" i="63"/>
  <c r="I616" i="63"/>
  <c r="A617" i="63"/>
  <c r="C617" i="63"/>
  <c r="D617" i="63"/>
  <c r="E617" i="63"/>
  <c r="F617" i="63"/>
  <c r="G617" i="63"/>
  <c r="H617" i="63"/>
  <c r="I617" i="63"/>
  <c r="A618" i="63"/>
  <c r="C618" i="63"/>
  <c r="D618" i="63"/>
  <c r="E618" i="63"/>
  <c r="F618" i="63"/>
  <c r="G618" i="63"/>
  <c r="H618" i="63"/>
  <c r="I618" i="63"/>
  <c r="A619" i="63"/>
  <c r="C619" i="63"/>
  <c r="D619" i="63"/>
  <c r="E619" i="63"/>
  <c r="F619" i="63"/>
  <c r="G619" i="63"/>
  <c r="H619" i="63"/>
  <c r="I619" i="63"/>
  <c r="A620" i="63"/>
  <c r="C620" i="63"/>
  <c r="D620" i="63"/>
  <c r="E620" i="63"/>
  <c r="F620" i="63"/>
  <c r="G620" i="63"/>
  <c r="H620" i="63"/>
  <c r="I620" i="63"/>
  <c r="A621" i="63"/>
  <c r="C621" i="63"/>
  <c r="D621" i="63"/>
  <c r="E621" i="63"/>
  <c r="F621" i="63"/>
  <c r="G621" i="63"/>
  <c r="H621" i="63"/>
  <c r="I621" i="63"/>
  <c r="A622" i="63"/>
  <c r="C622" i="63"/>
  <c r="D622" i="63"/>
  <c r="E622" i="63"/>
  <c r="F622" i="63"/>
  <c r="G622" i="63"/>
  <c r="H622" i="63"/>
  <c r="I622" i="63"/>
  <c r="A623" i="63"/>
  <c r="C623" i="63"/>
  <c r="D623" i="63"/>
  <c r="E623" i="63"/>
  <c r="F623" i="63"/>
  <c r="G623" i="63"/>
  <c r="H623" i="63"/>
  <c r="I623" i="63"/>
  <c r="A624" i="63"/>
  <c r="C624" i="63"/>
  <c r="D624" i="63"/>
  <c r="E624" i="63"/>
  <c r="F624" i="63"/>
  <c r="G624" i="63"/>
  <c r="H624" i="63"/>
  <c r="I624" i="63"/>
  <c r="A625" i="63"/>
  <c r="C625" i="63"/>
  <c r="D625" i="63"/>
  <c r="E625" i="63"/>
  <c r="F625" i="63"/>
  <c r="G625" i="63"/>
  <c r="H625" i="63"/>
  <c r="I625" i="63"/>
  <c r="A626" i="63"/>
  <c r="C626" i="63"/>
  <c r="D626" i="63"/>
  <c r="E626" i="63"/>
  <c r="F626" i="63"/>
  <c r="G626" i="63"/>
  <c r="H626" i="63"/>
  <c r="I626" i="63"/>
  <c r="A627" i="63"/>
  <c r="C627" i="63"/>
  <c r="D627" i="63"/>
  <c r="E627" i="63"/>
  <c r="F627" i="63"/>
  <c r="G627" i="63"/>
  <c r="H627" i="63"/>
  <c r="I627" i="63"/>
  <c r="A628" i="63"/>
  <c r="C628" i="63"/>
  <c r="D628" i="63"/>
  <c r="E628" i="63"/>
  <c r="F628" i="63"/>
  <c r="G628" i="63"/>
  <c r="H628" i="63"/>
  <c r="I628" i="63"/>
  <c r="A629" i="63"/>
  <c r="C629" i="63"/>
  <c r="D629" i="63"/>
  <c r="E629" i="63"/>
  <c r="F629" i="63"/>
  <c r="G629" i="63"/>
  <c r="H629" i="63"/>
  <c r="I629" i="63"/>
  <c r="A630" i="63"/>
  <c r="C630" i="63"/>
  <c r="D630" i="63"/>
  <c r="E630" i="63"/>
  <c r="F630" i="63"/>
  <c r="G630" i="63"/>
  <c r="H630" i="63"/>
  <c r="I630" i="63"/>
  <c r="A631" i="63"/>
  <c r="C631" i="63"/>
  <c r="D631" i="63"/>
  <c r="E631" i="63"/>
  <c r="F631" i="63"/>
  <c r="G631" i="63"/>
  <c r="H631" i="63"/>
  <c r="I631" i="63"/>
  <c r="A632" i="63"/>
  <c r="C632" i="63"/>
  <c r="D632" i="63"/>
  <c r="E632" i="63"/>
  <c r="F632" i="63"/>
  <c r="G632" i="63"/>
  <c r="H632" i="63"/>
  <c r="I632" i="63"/>
  <c r="A633" i="63"/>
  <c r="C633" i="63"/>
  <c r="D633" i="63"/>
  <c r="E633" i="63"/>
  <c r="F633" i="63"/>
  <c r="G633" i="63"/>
  <c r="H633" i="63"/>
  <c r="I633" i="63"/>
  <c r="A634" i="63"/>
  <c r="C634" i="63"/>
  <c r="D634" i="63"/>
  <c r="E634" i="63"/>
  <c r="F634" i="63"/>
  <c r="G634" i="63"/>
  <c r="H634" i="63"/>
  <c r="I634" i="63"/>
  <c r="A635" i="63"/>
  <c r="C635" i="63"/>
  <c r="D635" i="63"/>
  <c r="E635" i="63"/>
  <c r="F635" i="63"/>
  <c r="G635" i="63"/>
  <c r="H635" i="63"/>
  <c r="I635" i="63"/>
  <c r="A636" i="63"/>
  <c r="C636" i="63"/>
  <c r="D636" i="63"/>
  <c r="E636" i="63"/>
  <c r="F636" i="63"/>
  <c r="G636" i="63"/>
  <c r="H636" i="63"/>
  <c r="I636" i="63"/>
  <c r="A637" i="63"/>
  <c r="C637" i="63"/>
  <c r="D637" i="63"/>
  <c r="E637" i="63"/>
  <c r="F637" i="63"/>
  <c r="G637" i="63"/>
  <c r="H637" i="63"/>
  <c r="I637" i="63"/>
  <c r="A638" i="63"/>
  <c r="C638" i="63"/>
  <c r="D638" i="63"/>
  <c r="E638" i="63"/>
  <c r="F638" i="63"/>
  <c r="G638" i="63"/>
  <c r="H638" i="63"/>
  <c r="I638" i="63"/>
  <c r="A639" i="63"/>
  <c r="C639" i="63"/>
  <c r="D639" i="63"/>
  <c r="E639" i="63"/>
  <c r="F639" i="63"/>
  <c r="G639" i="63"/>
  <c r="H639" i="63"/>
  <c r="I639" i="63"/>
  <c r="A640" i="63"/>
  <c r="C640" i="63"/>
  <c r="D640" i="63"/>
  <c r="E640" i="63"/>
  <c r="F640" i="63"/>
  <c r="G640" i="63"/>
  <c r="H640" i="63"/>
  <c r="I640" i="63"/>
  <c r="A641" i="63"/>
  <c r="C641" i="63"/>
  <c r="D641" i="63"/>
  <c r="E641" i="63"/>
  <c r="F641" i="63"/>
  <c r="G641" i="63"/>
  <c r="H641" i="63"/>
  <c r="I641" i="63"/>
  <c r="A642" i="63"/>
  <c r="C642" i="63"/>
  <c r="D642" i="63"/>
  <c r="E642" i="63"/>
  <c r="F642" i="63"/>
  <c r="G642" i="63"/>
  <c r="H642" i="63"/>
  <c r="I642" i="63"/>
  <c r="A643" i="63"/>
  <c r="C643" i="63"/>
  <c r="D643" i="63"/>
  <c r="E643" i="63"/>
  <c r="F643" i="63"/>
  <c r="G643" i="63"/>
  <c r="H643" i="63"/>
  <c r="I643" i="63"/>
  <c r="A644" i="63"/>
  <c r="C644" i="63"/>
  <c r="D644" i="63"/>
  <c r="E644" i="63"/>
  <c r="F644" i="63"/>
  <c r="G644" i="63"/>
  <c r="H644" i="63"/>
  <c r="I644" i="63"/>
  <c r="A645" i="63"/>
  <c r="C645" i="63"/>
  <c r="D645" i="63"/>
  <c r="E645" i="63"/>
  <c r="F645" i="63"/>
  <c r="G645" i="63"/>
  <c r="H645" i="63"/>
  <c r="I645" i="63"/>
  <c r="A646" i="63"/>
  <c r="C646" i="63"/>
  <c r="D646" i="63"/>
  <c r="E646" i="63"/>
  <c r="F646" i="63"/>
  <c r="G646" i="63"/>
  <c r="H646" i="63"/>
  <c r="I646" i="63"/>
  <c r="A647" i="63"/>
  <c r="C647" i="63"/>
  <c r="D647" i="63"/>
  <c r="E647" i="63"/>
  <c r="F647" i="63"/>
  <c r="G647" i="63"/>
  <c r="H647" i="63"/>
  <c r="I647" i="63"/>
  <c r="A648" i="63"/>
  <c r="C648" i="63"/>
  <c r="D648" i="63"/>
  <c r="E648" i="63"/>
  <c r="F648" i="63"/>
  <c r="G648" i="63"/>
  <c r="H648" i="63"/>
  <c r="I648" i="63"/>
  <c r="A649" i="63"/>
  <c r="C649" i="63"/>
  <c r="D649" i="63"/>
  <c r="E649" i="63"/>
  <c r="F649" i="63"/>
  <c r="G649" i="63"/>
  <c r="H649" i="63"/>
  <c r="I649" i="63"/>
  <c r="A650" i="63"/>
  <c r="C650" i="63"/>
  <c r="D650" i="63"/>
  <c r="E650" i="63"/>
  <c r="F650" i="63"/>
  <c r="G650" i="63"/>
  <c r="H650" i="63"/>
  <c r="I650" i="63"/>
  <c r="A651" i="63"/>
  <c r="C651" i="63"/>
  <c r="D651" i="63"/>
  <c r="E651" i="63"/>
  <c r="F651" i="63"/>
  <c r="G651" i="63"/>
  <c r="H651" i="63"/>
  <c r="I651" i="63"/>
  <c r="A652" i="63"/>
  <c r="C652" i="63"/>
  <c r="D652" i="63"/>
  <c r="E652" i="63"/>
  <c r="F652" i="63"/>
  <c r="G652" i="63"/>
  <c r="H652" i="63"/>
  <c r="I652" i="63"/>
  <c r="A653" i="63"/>
  <c r="C653" i="63"/>
  <c r="D653" i="63"/>
  <c r="E653" i="63"/>
  <c r="F653" i="63"/>
  <c r="G653" i="63"/>
  <c r="H653" i="63"/>
  <c r="I653" i="63"/>
  <c r="A654" i="63"/>
  <c r="C654" i="63"/>
  <c r="D654" i="63"/>
  <c r="E654" i="63"/>
  <c r="F654" i="63"/>
  <c r="G654" i="63"/>
  <c r="H654" i="63"/>
  <c r="I654" i="63"/>
  <c r="A655" i="63"/>
  <c r="C655" i="63"/>
  <c r="D655" i="63"/>
  <c r="E655" i="63"/>
  <c r="F655" i="63"/>
  <c r="G655" i="63"/>
  <c r="H655" i="63"/>
  <c r="I655" i="63"/>
  <c r="A656" i="63"/>
  <c r="C656" i="63"/>
  <c r="D656" i="63"/>
  <c r="E656" i="63"/>
  <c r="F656" i="63"/>
  <c r="G656" i="63"/>
  <c r="H656" i="63"/>
  <c r="I656" i="63"/>
  <c r="A657" i="63"/>
  <c r="C657" i="63"/>
  <c r="D657" i="63"/>
  <c r="E657" i="63"/>
  <c r="F657" i="63"/>
  <c r="G657" i="63"/>
  <c r="H657" i="63"/>
  <c r="I657" i="63"/>
  <c r="A658" i="63"/>
  <c r="C658" i="63"/>
  <c r="D658" i="63"/>
  <c r="E658" i="63"/>
  <c r="F658" i="63"/>
  <c r="G658" i="63"/>
  <c r="H658" i="63"/>
  <c r="I658" i="63"/>
  <c r="A659" i="63"/>
  <c r="C659" i="63"/>
  <c r="D659" i="63"/>
  <c r="E659" i="63"/>
  <c r="F659" i="63"/>
  <c r="G659" i="63"/>
  <c r="H659" i="63"/>
  <c r="I659" i="63"/>
  <c r="A660" i="63"/>
  <c r="C660" i="63"/>
  <c r="D660" i="63"/>
  <c r="E660" i="63"/>
  <c r="F660" i="63"/>
  <c r="G660" i="63"/>
  <c r="H660" i="63"/>
  <c r="I660" i="63"/>
  <c r="A661" i="63"/>
  <c r="C661" i="63"/>
  <c r="D661" i="63"/>
  <c r="E661" i="63"/>
  <c r="F661" i="63"/>
  <c r="G661" i="63"/>
  <c r="H661" i="63"/>
  <c r="I661" i="63"/>
  <c r="A662" i="63"/>
  <c r="C662" i="63"/>
  <c r="D662" i="63"/>
  <c r="E662" i="63"/>
  <c r="F662" i="63"/>
  <c r="G662" i="63"/>
  <c r="H662" i="63"/>
  <c r="I662" i="63"/>
  <c r="A663" i="63"/>
  <c r="C663" i="63"/>
  <c r="D663" i="63"/>
  <c r="E663" i="63"/>
  <c r="F663" i="63"/>
  <c r="G663" i="63"/>
  <c r="H663" i="63"/>
  <c r="I663" i="63"/>
  <c r="A664" i="63"/>
  <c r="C664" i="63"/>
  <c r="D664" i="63"/>
  <c r="E664" i="63"/>
  <c r="F664" i="63"/>
  <c r="G664" i="63"/>
  <c r="H664" i="63"/>
  <c r="I664" i="63"/>
  <c r="A665" i="63"/>
  <c r="C665" i="63"/>
  <c r="D665" i="63"/>
  <c r="E665" i="63"/>
  <c r="F665" i="63"/>
  <c r="G665" i="63"/>
  <c r="H665" i="63"/>
  <c r="I665" i="63"/>
  <c r="A666" i="63"/>
  <c r="C666" i="63"/>
  <c r="D666" i="63"/>
  <c r="E666" i="63"/>
  <c r="F666" i="63"/>
  <c r="G666" i="63"/>
  <c r="H666" i="63"/>
  <c r="I666" i="63"/>
  <c r="A667" i="63"/>
  <c r="C667" i="63"/>
  <c r="D667" i="63"/>
  <c r="E667" i="63"/>
  <c r="F667" i="63"/>
  <c r="G667" i="63"/>
  <c r="H667" i="63"/>
  <c r="I667" i="63"/>
  <c r="A668" i="63"/>
  <c r="C668" i="63"/>
  <c r="D668" i="63"/>
  <c r="E668" i="63"/>
  <c r="F668" i="63"/>
  <c r="G668" i="63"/>
  <c r="H668" i="63"/>
  <c r="I668" i="63"/>
  <c r="A669" i="63"/>
  <c r="C669" i="63"/>
  <c r="D669" i="63"/>
  <c r="E669" i="63"/>
  <c r="F669" i="63"/>
  <c r="G669" i="63"/>
  <c r="H669" i="63"/>
  <c r="I669" i="63"/>
  <c r="A670" i="63"/>
  <c r="C670" i="63"/>
  <c r="D670" i="63"/>
  <c r="E670" i="63"/>
  <c r="F670" i="63"/>
  <c r="G670" i="63"/>
  <c r="H670" i="63"/>
  <c r="I670" i="63"/>
  <c r="A671" i="63"/>
  <c r="C671" i="63"/>
  <c r="D671" i="63"/>
  <c r="E671" i="63"/>
  <c r="F671" i="63"/>
  <c r="G671" i="63"/>
  <c r="H671" i="63"/>
  <c r="I671" i="63"/>
  <c r="A672" i="63"/>
  <c r="C672" i="63"/>
  <c r="D672" i="63"/>
  <c r="E672" i="63"/>
  <c r="F672" i="63"/>
  <c r="G672" i="63"/>
  <c r="H672" i="63"/>
  <c r="I672" i="63"/>
  <c r="A673" i="63"/>
  <c r="C673" i="63"/>
  <c r="D673" i="63"/>
  <c r="E673" i="63"/>
  <c r="F673" i="63"/>
  <c r="G673" i="63"/>
  <c r="H673" i="63"/>
  <c r="I673" i="63"/>
  <c r="A674" i="63"/>
  <c r="C674" i="63"/>
  <c r="D674" i="63"/>
  <c r="E674" i="63"/>
  <c r="F674" i="63"/>
  <c r="G674" i="63"/>
  <c r="H674" i="63"/>
  <c r="I674" i="63"/>
  <c r="A675" i="63"/>
  <c r="C675" i="63"/>
  <c r="D675" i="63"/>
  <c r="E675" i="63"/>
  <c r="F675" i="63"/>
  <c r="G675" i="63"/>
  <c r="H675" i="63"/>
  <c r="I675" i="63"/>
  <c r="A676" i="63"/>
  <c r="C676" i="63"/>
  <c r="D676" i="63"/>
  <c r="E676" i="63"/>
  <c r="F676" i="63"/>
  <c r="G676" i="63"/>
  <c r="H676" i="63"/>
  <c r="I676" i="63"/>
  <c r="A677" i="63"/>
  <c r="C677" i="63"/>
  <c r="D677" i="63"/>
  <c r="E677" i="63"/>
  <c r="F677" i="63"/>
  <c r="G677" i="63"/>
  <c r="H677" i="63"/>
  <c r="I677" i="63"/>
  <c r="A678" i="63"/>
  <c r="C678" i="63"/>
  <c r="D678" i="63"/>
  <c r="E678" i="63"/>
  <c r="F678" i="63"/>
  <c r="G678" i="63"/>
  <c r="H678" i="63"/>
  <c r="I678" i="63"/>
  <c r="A679" i="63"/>
  <c r="C679" i="63"/>
  <c r="D679" i="63"/>
  <c r="E679" i="63"/>
  <c r="F679" i="63"/>
  <c r="G679" i="63"/>
  <c r="H679" i="63"/>
  <c r="I679" i="63"/>
  <c r="A680" i="63"/>
  <c r="C680" i="63"/>
  <c r="D680" i="63"/>
  <c r="E680" i="63"/>
  <c r="F680" i="63"/>
  <c r="G680" i="63"/>
  <c r="H680" i="63"/>
  <c r="I680" i="63"/>
  <c r="A681" i="63"/>
  <c r="C681" i="63"/>
  <c r="D681" i="63"/>
  <c r="E681" i="63"/>
  <c r="F681" i="63"/>
  <c r="G681" i="63"/>
  <c r="H681" i="63"/>
  <c r="I681" i="63"/>
  <c r="A682" i="63"/>
  <c r="C682" i="63"/>
  <c r="D682" i="63"/>
  <c r="E682" i="63"/>
  <c r="F682" i="63"/>
  <c r="G682" i="63"/>
  <c r="H682" i="63"/>
  <c r="I682" i="63"/>
  <c r="A683" i="63"/>
  <c r="C683" i="63"/>
  <c r="D683" i="63"/>
  <c r="E683" i="63"/>
  <c r="F683" i="63"/>
  <c r="G683" i="63"/>
  <c r="H683" i="63"/>
  <c r="I683" i="63"/>
  <c r="A684" i="63"/>
  <c r="C684" i="63"/>
  <c r="D684" i="63"/>
  <c r="E684" i="63"/>
  <c r="F684" i="63"/>
  <c r="G684" i="63"/>
  <c r="H684" i="63"/>
  <c r="I684" i="63"/>
  <c r="A685" i="63"/>
  <c r="C685" i="63"/>
  <c r="D685" i="63"/>
  <c r="E685" i="63"/>
  <c r="F685" i="63"/>
  <c r="G685" i="63"/>
  <c r="H685" i="63"/>
  <c r="I685" i="63"/>
  <c r="A686" i="63"/>
  <c r="C686" i="63"/>
  <c r="D686" i="63"/>
  <c r="E686" i="63"/>
  <c r="F686" i="63"/>
  <c r="G686" i="63"/>
  <c r="H686" i="63"/>
  <c r="I686" i="63"/>
  <c r="A687" i="63"/>
  <c r="C687" i="63"/>
  <c r="D687" i="63"/>
  <c r="E687" i="63"/>
  <c r="F687" i="63"/>
  <c r="G687" i="63"/>
  <c r="H687" i="63"/>
  <c r="I687" i="63"/>
  <c r="A688" i="63"/>
  <c r="C688" i="63"/>
  <c r="D688" i="63"/>
  <c r="E688" i="63"/>
  <c r="F688" i="63"/>
  <c r="G688" i="63"/>
  <c r="H688" i="63"/>
  <c r="I688" i="63"/>
  <c r="A689" i="63"/>
  <c r="C689" i="63"/>
  <c r="D689" i="63"/>
  <c r="E689" i="63"/>
  <c r="F689" i="63"/>
  <c r="G689" i="63"/>
  <c r="H689" i="63"/>
  <c r="I689" i="63"/>
  <c r="A690" i="63"/>
  <c r="C690" i="63"/>
  <c r="D690" i="63"/>
  <c r="E690" i="63"/>
  <c r="F690" i="63"/>
  <c r="G690" i="63"/>
  <c r="H690" i="63"/>
  <c r="I690" i="63"/>
  <c r="A691" i="63"/>
  <c r="C691" i="63"/>
  <c r="D691" i="63"/>
  <c r="E691" i="63"/>
  <c r="F691" i="63"/>
  <c r="G691" i="63"/>
  <c r="H691" i="63"/>
  <c r="I691" i="63"/>
  <c r="A692" i="63"/>
  <c r="C692" i="63"/>
  <c r="D692" i="63"/>
  <c r="E692" i="63"/>
  <c r="F692" i="63"/>
  <c r="G692" i="63"/>
  <c r="H692" i="63"/>
  <c r="I692" i="63"/>
  <c r="A693" i="63"/>
  <c r="C693" i="63"/>
  <c r="D693" i="63"/>
  <c r="E693" i="63"/>
  <c r="F693" i="63"/>
  <c r="G693" i="63"/>
  <c r="H693" i="63"/>
  <c r="I693" i="63"/>
  <c r="A694" i="63"/>
  <c r="C694" i="63"/>
  <c r="D694" i="63"/>
  <c r="E694" i="63"/>
  <c r="F694" i="63"/>
  <c r="G694" i="63"/>
  <c r="H694" i="63"/>
  <c r="I694" i="63"/>
  <c r="A695" i="63"/>
  <c r="C695" i="63"/>
  <c r="D695" i="63"/>
  <c r="E695" i="63"/>
  <c r="F695" i="63"/>
  <c r="G695" i="63"/>
  <c r="H695" i="63"/>
  <c r="I695" i="63"/>
  <c r="A696" i="63"/>
  <c r="C696" i="63"/>
  <c r="D696" i="63"/>
  <c r="E696" i="63"/>
  <c r="F696" i="63"/>
  <c r="G696" i="63"/>
  <c r="H696" i="63"/>
  <c r="I696" i="63"/>
  <c r="A697" i="63"/>
  <c r="C697" i="63"/>
  <c r="D697" i="63"/>
  <c r="E697" i="63"/>
  <c r="F697" i="63"/>
  <c r="G697" i="63"/>
  <c r="H697" i="63"/>
  <c r="I697" i="63"/>
  <c r="A698" i="63"/>
  <c r="C698" i="63"/>
  <c r="D698" i="63"/>
  <c r="E698" i="63"/>
  <c r="F698" i="63"/>
  <c r="G698" i="63"/>
  <c r="H698" i="63"/>
  <c r="I698" i="63"/>
  <c r="A699" i="63"/>
  <c r="C699" i="63"/>
  <c r="D699" i="63"/>
  <c r="E699" i="63"/>
  <c r="F699" i="63"/>
  <c r="G699" i="63"/>
  <c r="H699" i="63"/>
  <c r="I699" i="63"/>
  <c r="A700" i="63"/>
  <c r="C700" i="63"/>
  <c r="D700" i="63"/>
  <c r="E700" i="63"/>
  <c r="F700" i="63"/>
  <c r="G700" i="63"/>
  <c r="H700" i="63"/>
  <c r="I700" i="63"/>
  <c r="A701" i="63"/>
  <c r="C701" i="63"/>
  <c r="D701" i="63"/>
  <c r="E701" i="63"/>
  <c r="F701" i="63"/>
  <c r="G701" i="63"/>
  <c r="H701" i="63"/>
  <c r="I701" i="63"/>
  <c r="A702" i="63"/>
  <c r="C702" i="63"/>
  <c r="D702" i="63"/>
  <c r="E702" i="63"/>
  <c r="F702" i="63"/>
  <c r="G702" i="63"/>
  <c r="H702" i="63"/>
  <c r="I702" i="63"/>
  <c r="A703" i="63"/>
  <c r="C703" i="63"/>
  <c r="D703" i="63"/>
  <c r="E703" i="63"/>
  <c r="F703" i="63"/>
  <c r="G703" i="63"/>
  <c r="H703" i="63"/>
  <c r="I703" i="63"/>
  <c r="A704" i="63"/>
  <c r="C704" i="63"/>
  <c r="D704" i="63"/>
  <c r="E704" i="63"/>
  <c r="F704" i="63"/>
  <c r="G704" i="63"/>
  <c r="H704" i="63"/>
  <c r="I704" i="63"/>
  <c r="A705" i="63"/>
  <c r="C705" i="63"/>
  <c r="D705" i="63"/>
  <c r="E705" i="63"/>
  <c r="F705" i="63"/>
  <c r="G705" i="63"/>
  <c r="H705" i="63"/>
  <c r="I705" i="63"/>
  <c r="A706" i="63"/>
  <c r="C706" i="63"/>
  <c r="D706" i="63"/>
  <c r="E706" i="63"/>
  <c r="F706" i="63"/>
  <c r="G706" i="63"/>
  <c r="H706" i="63"/>
  <c r="I706" i="63"/>
  <c r="A707" i="63"/>
  <c r="C707" i="63"/>
  <c r="D707" i="63"/>
  <c r="E707" i="63"/>
  <c r="F707" i="63"/>
  <c r="G707" i="63"/>
  <c r="H707" i="63"/>
  <c r="I707" i="63"/>
  <c r="A708" i="63"/>
  <c r="C708" i="63"/>
  <c r="D708" i="63"/>
  <c r="E708" i="63"/>
  <c r="F708" i="63"/>
  <c r="G708" i="63"/>
  <c r="H708" i="63"/>
  <c r="I708" i="63"/>
  <c r="A709" i="63"/>
  <c r="C709" i="63"/>
  <c r="D709" i="63"/>
  <c r="E709" i="63"/>
  <c r="F709" i="63"/>
  <c r="G709" i="63"/>
  <c r="H709" i="63"/>
  <c r="I709" i="63"/>
  <c r="A710" i="63"/>
  <c r="C710" i="63"/>
  <c r="D710" i="63"/>
  <c r="E710" i="63"/>
  <c r="F710" i="63"/>
  <c r="G710" i="63"/>
  <c r="H710" i="63"/>
  <c r="I710" i="63"/>
  <c r="A711" i="63"/>
  <c r="C711" i="63"/>
  <c r="D711" i="63"/>
  <c r="E711" i="63"/>
  <c r="F711" i="63"/>
  <c r="G711" i="63"/>
  <c r="H711" i="63"/>
  <c r="I711" i="63"/>
  <c r="A712" i="63"/>
  <c r="C712" i="63"/>
  <c r="D712" i="63"/>
  <c r="E712" i="63"/>
  <c r="F712" i="63"/>
  <c r="G712" i="63"/>
  <c r="H712" i="63"/>
  <c r="I712" i="63"/>
  <c r="A713" i="63"/>
  <c r="C713" i="63"/>
  <c r="D713" i="63"/>
  <c r="E713" i="63"/>
  <c r="F713" i="63"/>
  <c r="G713" i="63"/>
  <c r="H713" i="63"/>
  <c r="I713" i="63"/>
  <c r="A714" i="63"/>
  <c r="C714" i="63"/>
  <c r="D714" i="63"/>
  <c r="E714" i="63"/>
  <c r="F714" i="63"/>
  <c r="G714" i="63"/>
  <c r="H714" i="63"/>
  <c r="I714" i="63"/>
  <c r="A715" i="63"/>
  <c r="C715" i="63"/>
  <c r="D715" i="63"/>
  <c r="E715" i="63"/>
  <c r="F715" i="63"/>
  <c r="G715" i="63"/>
  <c r="H715" i="63"/>
  <c r="I715" i="63"/>
  <c r="A716" i="63"/>
  <c r="C716" i="63"/>
  <c r="D716" i="63"/>
  <c r="E716" i="63"/>
  <c r="F716" i="63"/>
  <c r="G716" i="63"/>
  <c r="H716" i="63"/>
  <c r="I716" i="63"/>
  <c r="A717" i="63"/>
  <c r="C717" i="63"/>
  <c r="D717" i="63"/>
  <c r="E717" i="63"/>
  <c r="F717" i="63"/>
  <c r="G717" i="63"/>
  <c r="H717" i="63"/>
  <c r="I717" i="63"/>
  <c r="A718" i="63"/>
  <c r="C718" i="63"/>
  <c r="D718" i="63"/>
  <c r="E718" i="63"/>
  <c r="F718" i="63"/>
  <c r="G718" i="63"/>
  <c r="H718" i="63"/>
  <c r="I718" i="63"/>
  <c r="A719" i="63"/>
  <c r="C719" i="63"/>
  <c r="D719" i="63"/>
  <c r="E719" i="63"/>
  <c r="F719" i="63"/>
  <c r="G719" i="63"/>
  <c r="H719" i="63"/>
  <c r="I719" i="63"/>
  <c r="A720" i="63"/>
  <c r="C720" i="63"/>
  <c r="D720" i="63"/>
  <c r="E720" i="63"/>
  <c r="F720" i="63"/>
  <c r="G720" i="63"/>
  <c r="H720" i="63"/>
  <c r="I720" i="63"/>
  <c r="A721" i="63"/>
  <c r="C721" i="63"/>
  <c r="D721" i="63"/>
  <c r="E721" i="63"/>
  <c r="F721" i="63"/>
  <c r="G721" i="63"/>
  <c r="H721" i="63"/>
  <c r="I721" i="63"/>
  <c r="A722" i="63"/>
  <c r="C722" i="63"/>
  <c r="D722" i="63"/>
  <c r="E722" i="63"/>
  <c r="F722" i="63"/>
  <c r="G722" i="63"/>
  <c r="H722" i="63"/>
  <c r="I722" i="63"/>
  <c r="A723" i="63"/>
  <c r="C723" i="63"/>
  <c r="D723" i="63"/>
  <c r="E723" i="63"/>
  <c r="F723" i="63"/>
  <c r="G723" i="63"/>
  <c r="H723" i="63"/>
  <c r="I723" i="63"/>
  <c r="A724" i="63"/>
  <c r="C724" i="63"/>
  <c r="D724" i="63"/>
  <c r="E724" i="63"/>
  <c r="F724" i="63"/>
  <c r="G724" i="63"/>
  <c r="H724" i="63"/>
  <c r="I724" i="63"/>
  <c r="A725" i="63"/>
  <c r="C725" i="63"/>
  <c r="D725" i="63"/>
  <c r="E725" i="63"/>
  <c r="F725" i="63"/>
  <c r="G725" i="63"/>
  <c r="H725" i="63"/>
  <c r="I725" i="63"/>
  <c r="A726" i="63"/>
  <c r="C726" i="63"/>
  <c r="D726" i="63"/>
  <c r="E726" i="63"/>
  <c r="F726" i="63"/>
  <c r="G726" i="63"/>
  <c r="H726" i="63"/>
  <c r="I726" i="63"/>
  <c r="A727" i="63"/>
  <c r="C727" i="63"/>
  <c r="D727" i="63"/>
  <c r="E727" i="63"/>
  <c r="F727" i="63"/>
  <c r="G727" i="63"/>
  <c r="H727" i="63"/>
  <c r="I727" i="63"/>
  <c r="A728" i="63"/>
  <c r="C728" i="63"/>
  <c r="D728" i="63"/>
  <c r="E728" i="63"/>
  <c r="F728" i="63"/>
  <c r="G728" i="63"/>
  <c r="H728" i="63"/>
  <c r="I728" i="63"/>
  <c r="A729" i="63"/>
  <c r="C729" i="63"/>
  <c r="D729" i="63"/>
  <c r="E729" i="63"/>
  <c r="F729" i="63"/>
  <c r="G729" i="63"/>
  <c r="H729" i="63"/>
  <c r="I729" i="63"/>
  <c r="A730" i="63"/>
  <c r="C730" i="63"/>
  <c r="D730" i="63"/>
  <c r="E730" i="63"/>
  <c r="F730" i="63"/>
  <c r="G730" i="63"/>
  <c r="H730" i="63"/>
  <c r="I730" i="63"/>
  <c r="A731" i="63"/>
  <c r="C731" i="63"/>
  <c r="D731" i="63"/>
  <c r="E731" i="63"/>
  <c r="F731" i="63"/>
  <c r="G731" i="63"/>
  <c r="H731" i="63"/>
  <c r="I731" i="63"/>
  <c r="A732" i="63"/>
  <c r="C732" i="63"/>
  <c r="D732" i="63"/>
  <c r="E732" i="63"/>
  <c r="F732" i="63"/>
  <c r="G732" i="63"/>
  <c r="H732" i="63"/>
  <c r="I732" i="63"/>
  <c r="A733" i="63"/>
  <c r="C733" i="63"/>
  <c r="D733" i="63"/>
  <c r="E733" i="63"/>
  <c r="F733" i="63"/>
  <c r="G733" i="63"/>
  <c r="H733" i="63"/>
  <c r="I733" i="63"/>
  <c r="A734" i="63"/>
  <c r="C734" i="63"/>
  <c r="D734" i="63"/>
  <c r="E734" i="63"/>
  <c r="F734" i="63"/>
  <c r="G734" i="63"/>
  <c r="H734" i="63"/>
  <c r="I734" i="63"/>
  <c r="A735" i="63"/>
  <c r="C735" i="63"/>
  <c r="D735" i="63"/>
  <c r="E735" i="63"/>
  <c r="F735" i="63"/>
  <c r="G735" i="63"/>
  <c r="H735" i="63"/>
  <c r="I735" i="63"/>
  <c r="A736" i="63"/>
  <c r="C736" i="63"/>
  <c r="D736" i="63"/>
  <c r="E736" i="63"/>
  <c r="F736" i="63"/>
  <c r="G736" i="63"/>
  <c r="H736" i="63"/>
  <c r="I736" i="63"/>
  <c r="A737" i="63"/>
  <c r="C737" i="63"/>
  <c r="D737" i="63"/>
  <c r="E737" i="63"/>
  <c r="F737" i="63"/>
  <c r="G737" i="63"/>
  <c r="H737" i="63"/>
  <c r="I737" i="63"/>
  <c r="A738" i="63"/>
  <c r="C738" i="63"/>
  <c r="D738" i="63"/>
  <c r="E738" i="63"/>
  <c r="F738" i="63"/>
  <c r="G738" i="63"/>
  <c r="H738" i="63"/>
  <c r="I738" i="63"/>
  <c r="A739" i="63"/>
  <c r="C739" i="63"/>
  <c r="D739" i="63"/>
  <c r="E739" i="63"/>
  <c r="F739" i="63"/>
  <c r="G739" i="63"/>
  <c r="H739" i="63"/>
  <c r="I739" i="63"/>
  <c r="A740" i="63"/>
  <c r="C740" i="63"/>
  <c r="D740" i="63"/>
  <c r="E740" i="63"/>
  <c r="F740" i="63"/>
  <c r="G740" i="63"/>
  <c r="H740" i="63"/>
  <c r="I740" i="63"/>
  <c r="A741" i="63"/>
  <c r="C741" i="63"/>
  <c r="D741" i="63"/>
  <c r="E741" i="63"/>
  <c r="F741" i="63"/>
  <c r="G741" i="63"/>
  <c r="H741" i="63"/>
  <c r="I741" i="63"/>
  <c r="A742" i="63"/>
  <c r="C742" i="63"/>
  <c r="D742" i="63"/>
  <c r="E742" i="63"/>
  <c r="F742" i="63"/>
  <c r="G742" i="63"/>
  <c r="H742" i="63"/>
  <c r="I742" i="63"/>
  <c r="A743" i="63"/>
  <c r="C743" i="63"/>
  <c r="D743" i="63"/>
  <c r="E743" i="63"/>
  <c r="F743" i="63"/>
  <c r="G743" i="63"/>
  <c r="H743" i="63"/>
  <c r="I743" i="63"/>
  <c r="A744" i="63"/>
  <c r="C744" i="63"/>
  <c r="D744" i="63"/>
  <c r="E744" i="63"/>
  <c r="F744" i="63"/>
  <c r="G744" i="63"/>
  <c r="H744" i="63"/>
  <c r="I744" i="63"/>
  <c r="A745" i="63"/>
  <c r="C745" i="63"/>
  <c r="D745" i="63"/>
  <c r="E745" i="63"/>
  <c r="F745" i="63"/>
  <c r="G745" i="63"/>
  <c r="H745" i="63"/>
  <c r="I745" i="63"/>
  <c r="A746" i="63"/>
  <c r="C746" i="63"/>
  <c r="D746" i="63"/>
  <c r="E746" i="63"/>
  <c r="F746" i="63"/>
  <c r="G746" i="63"/>
  <c r="H746" i="63"/>
  <c r="I746" i="63"/>
  <c r="A747" i="63"/>
  <c r="C747" i="63"/>
  <c r="D747" i="63"/>
  <c r="E747" i="63"/>
  <c r="F747" i="63"/>
  <c r="G747" i="63"/>
  <c r="H747" i="63"/>
  <c r="I747" i="63"/>
  <c r="A748" i="63"/>
  <c r="C748" i="63"/>
  <c r="D748" i="63"/>
  <c r="E748" i="63"/>
  <c r="F748" i="63"/>
  <c r="G748" i="63"/>
  <c r="H748" i="63"/>
  <c r="I748" i="63"/>
  <c r="A749" i="63"/>
  <c r="C749" i="63"/>
  <c r="D749" i="63"/>
  <c r="E749" i="63"/>
  <c r="F749" i="63"/>
  <c r="G749" i="63"/>
  <c r="H749" i="63"/>
  <c r="I749" i="63"/>
  <c r="A750" i="63"/>
  <c r="C750" i="63"/>
  <c r="D750" i="63"/>
  <c r="E750" i="63"/>
  <c r="F750" i="63"/>
  <c r="G750" i="63"/>
  <c r="H750" i="63"/>
  <c r="I750" i="63"/>
  <c r="A751" i="63"/>
  <c r="C751" i="63"/>
  <c r="D751" i="63"/>
  <c r="E751" i="63"/>
  <c r="F751" i="63"/>
  <c r="G751" i="63"/>
  <c r="H751" i="63"/>
  <c r="I751" i="63"/>
  <c r="A752" i="63"/>
  <c r="C752" i="63"/>
  <c r="D752" i="63"/>
  <c r="E752" i="63"/>
  <c r="F752" i="63"/>
  <c r="G752" i="63"/>
  <c r="H752" i="63"/>
  <c r="I752" i="63"/>
  <c r="A753" i="63"/>
  <c r="C753" i="63"/>
  <c r="D753" i="63"/>
  <c r="E753" i="63"/>
  <c r="F753" i="63"/>
  <c r="G753" i="63"/>
  <c r="H753" i="63"/>
  <c r="I753" i="63"/>
  <c r="A754" i="63"/>
  <c r="C754" i="63"/>
  <c r="D754" i="63"/>
  <c r="E754" i="63"/>
  <c r="F754" i="63"/>
  <c r="G754" i="63"/>
  <c r="H754" i="63"/>
  <c r="I754" i="63"/>
  <c r="A755" i="63"/>
  <c r="C755" i="63"/>
  <c r="D755" i="63"/>
  <c r="E755" i="63"/>
  <c r="F755" i="63"/>
  <c r="G755" i="63"/>
  <c r="H755" i="63"/>
  <c r="I755" i="63"/>
  <c r="A756" i="63"/>
  <c r="C756" i="63"/>
  <c r="D756" i="63"/>
  <c r="E756" i="63"/>
  <c r="F756" i="63"/>
  <c r="G756" i="63"/>
  <c r="H756" i="63"/>
  <c r="I756" i="63"/>
  <c r="A757" i="63"/>
  <c r="C757" i="63"/>
  <c r="D757" i="63"/>
  <c r="E757" i="63"/>
  <c r="F757" i="63"/>
  <c r="G757" i="63"/>
  <c r="H757" i="63"/>
  <c r="I757" i="63"/>
  <c r="A758" i="63"/>
  <c r="C758" i="63"/>
  <c r="D758" i="63"/>
  <c r="E758" i="63"/>
  <c r="F758" i="63"/>
  <c r="G758" i="63"/>
  <c r="H758" i="63"/>
  <c r="I758" i="63"/>
  <c r="A759" i="63"/>
  <c r="C759" i="63"/>
  <c r="D759" i="63"/>
  <c r="E759" i="63"/>
  <c r="F759" i="63"/>
  <c r="G759" i="63"/>
  <c r="H759" i="63"/>
  <c r="I759" i="63"/>
  <c r="A760" i="63"/>
  <c r="C760" i="63"/>
  <c r="D760" i="63"/>
  <c r="E760" i="63"/>
  <c r="F760" i="63"/>
  <c r="G760" i="63"/>
  <c r="H760" i="63"/>
  <c r="I760" i="63"/>
  <c r="A761" i="63"/>
  <c r="C761" i="63"/>
  <c r="D761" i="63"/>
  <c r="E761" i="63"/>
  <c r="F761" i="63"/>
  <c r="G761" i="63"/>
  <c r="H761" i="63"/>
  <c r="I761" i="63"/>
  <c r="A762" i="63"/>
  <c r="C762" i="63"/>
  <c r="D762" i="63"/>
  <c r="E762" i="63"/>
  <c r="F762" i="63"/>
  <c r="G762" i="63"/>
  <c r="H762" i="63"/>
  <c r="I762" i="63"/>
  <c r="A763" i="63"/>
  <c r="C763" i="63"/>
  <c r="D763" i="63"/>
  <c r="E763" i="63"/>
  <c r="F763" i="63"/>
  <c r="G763" i="63"/>
  <c r="H763" i="63"/>
  <c r="I763" i="63"/>
  <c r="A764" i="63"/>
  <c r="C764" i="63"/>
  <c r="D764" i="63"/>
  <c r="E764" i="63"/>
  <c r="F764" i="63"/>
  <c r="G764" i="63"/>
  <c r="H764" i="63"/>
  <c r="I764" i="63"/>
  <c r="A765" i="63"/>
  <c r="C765" i="63"/>
  <c r="D765" i="63"/>
  <c r="E765" i="63"/>
  <c r="F765" i="63"/>
  <c r="G765" i="63"/>
  <c r="H765" i="63"/>
  <c r="I765" i="63"/>
  <c r="A766" i="63"/>
  <c r="C766" i="63"/>
  <c r="D766" i="63"/>
  <c r="E766" i="63"/>
  <c r="F766" i="63"/>
  <c r="G766" i="63"/>
  <c r="H766" i="63"/>
  <c r="I766" i="63"/>
  <c r="A767" i="63"/>
  <c r="C767" i="63"/>
  <c r="D767" i="63"/>
  <c r="E767" i="63"/>
  <c r="F767" i="63"/>
  <c r="G767" i="63"/>
  <c r="H767" i="63"/>
  <c r="I767" i="63"/>
  <c r="A768" i="63"/>
  <c r="C768" i="63"/>
  <c r="D768" i="63"/>
  <c r="E768" i="63"/>
  <c r="F768" i="63"/>
  <c r="G768" i="63"/>
  <c r="H768" i="63"/>
  <c r="I768" i="63"/>
  <c r="A769" i="63"/>
  <c r="C769" i="63"/>
  <c r="D769" i="63"/>
  <c r="E769" i="63"/>
  <c r="F769" i="63"/>
  <c r="G769" i="63"/>
  <c r="H769" i="63"/>
  <c r="I769" i="63"/>
  <c r="A770" i="63"/>
  <c r="C770" i="63"/>
  <c r="D770" i="63"/>
  <c r="E770" i="63"/>
  <c r="F770" i="63"/>
  <c r="G770" i="63"/>
  <c r="H770" i="63"/>
  <c r="I770" i="63"/>
  <c r="A771" i="63"/>
  <c r="C771" i="63"/>
  <c r="D771" i="63"/>
  <c r="E771" i="63"/>
  <c r="F771" i="63"/>
  <c r="G771" i="63"/>
  <c r="H771" i="63"/>
  <c r="I771" i="63"/>
  <c r="A772" i="63"/>
  <c r="C772" i="63"/>
  <c r="D772" i="63"/>
  <c r="E772" i="63"/>
  <c r="F772" i="63"/>
  <c r="G772" i="63"/>
  <c r="H772" i="63"/>
  <c r="I772" i="63"/>
  <c r="A773" i="63"/>
  <c r="C773" i="63"/>
  <c r="D773" i="63"/>
  <c r="E773" i="63"/>
  <c r="F773" i="63"/>
  <c r="G773" i="63"/>
  <c r="H773" i="63"/>
  <c r="I773" i="63"/>
  <c r="A774" i="63"/>
  <c r="C774" i="63"/>
  <c r="D774" i="63"/>
  <c r="E774" i="63"/>
  <c r="F774" i="63"/>
  <c r="G774" i="63"/>
  <c r="H774" i="63"/>
  <c r="I774" i="63"/>
  <c r="A775" i="63"/>
  <c r="C775" i="63"/>
  <c r="D775" i="63"/>
  <c r="E775" i="63"/>
  <c r="F775" i="63"/>
  <c r="G775" i="63"/>
  <c r="H775" i="63"/>
  <c r="I775" i="63"/>
  <c r="A776" i="63"/>
  <c r="C776" i="63"/>
  <c r="D776" i="63"/>
  <c r="E776" i="63"/>
  <c r="F776" i="63"/>
  <c r="G776" i="63"/>
  <c r="H776" i="63"/>
  <c r="I776" i="63"/>
  <c r="A777" i="63"/>
  <c r="C777" i="63"/>
  <c r="D777" i="63"/>
  <c r="E777" i="63"/>
  <c r="F777" i="63"/>
  <c r="G777" i="63"/>
  <c r="H777" i="63"/>
  <c r="I777" i="63"/>
  <c r="A778" i="63"/>
  <c r="C778" i="63"/>
  <c r="D778" i="63"/>
  <c r="E778" i="63"/>
  <c r="F778" i="63"/>
  <c r="G778" i="63"/>
  <c r="H778" i="63"/>
  <c r="I778" i="63"/>
  <c r="A779" i="63"/>
  <c r="C779" i="63"/>
  <c r="D779" i="63"/>
  <c r="E779" i="63"/>
  <c r="F779" i="63"/>
  <c r="G779" i="63"/>
  <c r="H779" i="63"/>
  <c r="I779" i="63"/>
  <c r="A780" i="63"/>
  <c r="C780" i="63"/>
  <c r="D780" i="63"/>
  <c r="E780" i="63"/>
  <c r="F780" i="63"/>
  <c r="G780" i="63"/>
  <c r="H780" i="63"/>
  <c r="I780" i="63"/>
  <c r="A781" i="63"/>
  <c r="C781" i="63"/>
  <c r="D781" i="63"/>
  <c r="E781" i="63"/>
  <c r="F781" i="63"/>
  <c r="G781" i="63"/>
  <c r="H781" i="63"/>
  <c r="I781" i="63"/>
  <c r="A782" i="63"/>
  <c r="C782" i="63"/>
  <c r="D782" i="63"/>
  <c r="E782" i="63"/>
  <c r="F782" i="63"/>
  <c r="G782" i="63"/>
  <c r="H782" i="63"/>
  <c r="I782" i="63"/>
  <c r="A783" i="63"/>
  <c r="C783" i="63"/>
  <c r="D783" i="63"/>
  <c r="E783" i="63"/>
  <c r="F783" i="63"/>
  <c r="G783" i="63"/>
  <c r="H783" i="63"/>
  <c r="I783" i="63"/>
  <c r="A784" i="63"/>
  <c r="C784" i="63"/>
  <c r="D784" i="63"/>
  <c r="E784" i="63"/>
  <c r="F784" i="63"/>
  <c r="G784" i="63"/>
  <c r="H784" i="63"/>
  <c r="I784" i="63"/>
  <c r="A785" i="63"/>
  <c r="C785" i="63"/>
  <c r="D785" i="63"/>
  <c r="E785" i="63"/>
  <c r="F785" i="63"/>
  <c r="G785" i="63"/>
  <c r="H785" i="63"/>
  <c r="I785" i="63"/>
  <c r="A786" i="63"/>
  <c r="C786" i="63"/>
  <c r="D786" i="63"/>
  <c r="E786" i="63"/>
  <c r="F786" i="63"/>
  <c r="G786" i="63"/>
  <c r="H786" i="63"/>
  <c r="I786" i="63"/>
  <c r="A787" i="63"/>
  <c r="C787" i="63"/>
  <c r="D787" i="63"/>
  <c r="E787" i="63"/>
  <c r="F787" i="63"/>
  <c r="G787" i="63"/>
  <c r="H787" i="63"/>
  <c r="I787" i="63"/>
  <c r="A788" i="63"/>
  <c r="C788" i="63"/>
  <c r="D788" i="63"/>
  <c r="E788" i="63"/>
  <c r="F788" i="63"/>
  <c r="G788" i="63"/>
  <c r="H788" i="63"/>
  <c r="I788" i="63"/>
  <c r="A789" i="63"/>
  <c r="C789" i="63"/>
  <c r="D789" i="63"/>
  <c r="E789" i="63"/>
  <c r="F789" i="63"/>
  <c r="G789" i="63"/>
  <c r="H789" i="63"/>
  <c r="I789" i="63"/>
  <c r="A790" i="63"/>
  <c r="C790" i="63"/>
  <c r="D790" i="63"/>
  <c r="E790" i="63"/>
  <c r="F790" i="63"/>
  <c r="G790" i="63"/>
  <c r="H790" i="63"/>
  <c r="I790" i="63"/>
  <c r="A791" i="63"/>
  <c r="C791" i="63"/>
  <c r="D791" i="63"/>
  <c r="E791" i="63"/>
  <c r="F791" i="63"/>
  <c r="G791" i="63"/>
  <c r="H791" i="63"/>
  <c r="I791" i="63"/>
  <c r="A792" i="63"/>
  <c r="C792" i="63"/>
  <c r="D792" i="63"/>
  <c r="E792" i="63"/>
  <c r="F792" i="63"/>
  <c r="G792" i="63"/>
  <c r="H792" i="63"/>
  <c r="I792" i="63"/>
  <c r="A793" i="63"/>
  <c r="C793" i="63"/>
  <c r="D793" i="63"/>
  <c r="E793" i="63"/>
  <c r="F793" i="63"/>
  <c r="G793" i="63"/>
  <c r="H793" i="63"/>
  <c r="I793" i="63"/>
  <c r="A794" i="63"/>
  <c r="C794" i="63"/>
  <c r="D794" i="63"/>
  <c r="E794" i="63"/>
  <c r="F794" i="63"/>
  <c r="G794" i="63"/>
  <c r="H794" i="63"/>
  <c r="I794" i="63"/>
  <c r="A795" i="63"/>
  <c r="C795" i="63"/>
  <c r="D795" i="63"/>
  <c r="E795" i="63"/>
  <c r="F795" i="63"/>
  <c r="G795" i="63"/>
  <c r="H795" i="63"/>
  <c r="I795" i="63"/>
  <c r="A796" i="63"/>
  <c r="C796" i="63"/>
  <c r="D796" i="63"/>
  <c r="E796" i="63"/>
  <c r="F796" i="63"/>
  <c r="G796" i="63"/>
  <c r="H796" i="63"/>
  <c r="I796" i="63"/>
  <c r="A797" i="63"/>
  <c r="C797" i="63"/>
  <c r="D797" i="63"/>
  <c r="E797" i="63"/>
  <c r="F797" i="63"/>
  <c r="G797" i="63"/>
  <c r="H797" i="63"/>
  <c r="I797" i="63"/>
  <c r="A798" i="63"/>
  <c r="C798" i="63"/>
  <c r="D798" i="63"/>
  <c r="E798" i="63"/>
  <c r="F798" i="63"/>
  <c r="G798" i="63"/>
  <c r="H798" i="63"/>
  <c r="I798" i="63"/>
  <c r="A799" i="63"/>
  <c r="C799" i="63"/>
  <c r="D799" i="63"/>
  <c r="E799" i="63"/>
  <c r="F799" i="63"/>
  <c r="G799" i="63"/>
  <c r="H799" i="63"/>
  <c r="I799" i="63"/>
  <c r="A800" i="63"/>
  <c r="C800" i="63"/>
  <c r="D800" i="63"/>
  <c r="E800" i="63"/>
  <c r="F800" i="63"/>
  <c r="G800" i="63"/>
  <c r="H800" i="63"/>
  <c r="I800" i="63"/>
  <c r="A801" i="63"/>
  <c r="C801" i="63"/>
  <c r="D801" i="63"/>
  <c r="E801" i="63"/>
  <c r="F801" i="63"/>
  <c r="G801" i="63"/>
  <c r="H801" i="63"/>
  <c r="I801" i="63"/>
  <c r="A802" i="63"/>
  <c r="C802" i="63"/>
  <c r="D802" i="63"/>
  <c r="E802" i="63"/>
  <c r="F802" i="63"/>
  <c r="G802" i="63"/>
  <c r="H802" i="63"/>
  <c r="I802" i="63"/>
  <c r="A803" i="63"/>
  <c r="C803" i="63"/>
  <c r="D803" i="63"/>
  <c r="E803" i="63"/>
  <c r="F803" i="63"/>
  <c r="G803" i="63"/>
  <c r="H803" i="63"/>
  <c r="I803" i="63"/>
  <c r="A804" i="63"/>
  <c r="C804" i="63"/>
  <c r="D804" i="63"/>
  <c r="E804" i="63"/>
  <c r="F804" i="63"/>
  <c r="G804" i="63"/>
  <c r="H804" i="63"/>
  <c r="I804" i="63"/>
  <c r="A805" i="63"/>
  <c r="C805" i="63"/>
  <c r="D805" i="63"/>
  <c r="E805" i="63"/>
  <c r="F805" i="63"/>
  <c r="G805" i="63"/>
  <c r="H805" i="63"/>
  <c r="I805" i="63"/>
  <c r="A806" i="63"/>
  <c r="C806" i="63"/>
  <c r="D806" i="63"/>
  <c r="E806" i="63"/>
  <c r="F806" i="63"/>
  <c r="G806" i="63"/>
  <c r="H806" i="63"/>
  <c r="I806" i="63"/>
  <c r="A807" i="63"/>
  <c r="C807" i="63"/>
  <c r="D807" i="63"/>
  <c r="E807" i="63"/>
  <c r="F807" i="63"/>
  <c r="G807" i="63"/>
  <c r="H807" i="63"/>
  <c r="I807" i="63"/>
  <c r="A808" i="63"/>
  <c r="C808" i="63"/>
  <c r="D808" i="63"/>
  <c r="E808" i="63"/>
  <c r="F808" i="63"/>
  <c r="G808" i="63"/>
  <c r="H808" i="63"/>
  <c r="I808" i="63"/>
  <c r="A809" i="63"/>
  <c r="C809" i="63"/>
  <c r="D809" i="63"/>
  <c r="E809" i="63"/>
  <c r="F809" i="63"/>
  <c r="G809" i="63"/>
  <c r="H809" i="63"/>
  <c r="I809" i="63"/>
  <c r="A810" i="63"/>
  <c r="C810" i="63"/>
  <c r="D810" i="63"/>
  <c r="E810" i="63"/>
  <c r="F810" i="63"/>
  <c r="G810" i="63"/>
  <c r="H810" i="63"/>
  <c r="I810" i="63"/>
  <c r="A811" i="63"/>
  <c r="C811" i="63"/>
  <c r="D811" i="63"/>
  <c r="E811" i="63"/>
  <c r="F811" i="63"/>
  <c r="G811" i="63"/>
  <c r="H811" i="63"/>
  <c r="I811" i="63"/>
  <c r="A812" i="63"/>
  <c r="C812" i="63"/>
  <c r="D812" i="63"/>
  <c r="E812" i="63"/>
  <c r="F812" i="63"/>
  <c r="G812" i="63"/>
  <c r="H812" i="63"/>
  <c r="I812" i="63"/>
  <c r="A813" i="63"/>
  <c r="C813" i="63"/>
  <c r="D813" i="63"/>
  <c r="E813" i="63"/>
  <c r="F813" i="63"/>
  <c r="G813" i="63"/>
  <c r="H813" i="63"/>
  <c r="I813" i="63"/>
  <c r="A814" i="63"/>
  <c r="C814" i="63"/>
  <c r="D814" i="63"/>
  <c r="E814" i="63"/>
  <c r="F814" i="63"/>
  <c r="G814" i="63"/>
  <c r="H814" i="63"/>
  <c r="I814" i="63"/>
  <c r="A815" i="63"/>
  <c r="C815" i="63"/>
  <c r="D815" i="63"/>
  <c r="E815" i="63"/>
  <c r="F815" i="63"/>
  <c r="G815" i="63"/>
  <c r="H815" i="63"/>
  <c r="I815" i="63"/>
  <c r="A816" i="63"/>
  <c r="C816" i="63"/>
  <c r="D816" i="63"/>
  <c r="E816" i="63"/>
  <c r="F816" i="63"/>
  <c r="G816" i="63"/>
  <c r="H816" i="63"/>
  <c r="I816" i="63"/>
  <c r="A817" i="63"/>
  <c r="C817" i="63"/>
  <c r="D817" i="63"/>
  <c r="E817" i="63"/>
  <c r="F817" i="63"/>
  <c r="G817" i="63"/>
  <c r="H817" i="63"/>
  <c r="I817" i="63"/>
  <c r="A818" i="63"/>
  <c r="C818" i="63"/>
  <c r="D818" i="63"/>
  <c r="E818" i="63"/>
  <c r="F818" i="63"/>
  <c r="G818" i="63"/>
  <c r="H818" i="63"/>
  <c r="I818" i="63"/>
  <c r="A819" i="63"/>
  <c r="C819" i="63"/>
  <c r="D819" i="63"/>
  <c r="E819" i="63"/>
  <c r="F819" i="63"/>
  <c r="G819" i="63"/>
  <c r="H819" i="63"/>
  <c r="I819" i="63"/>
  <c r="A820" i="63"/>
  <c r="C820" i="63"/>
  <c r="D820" i="63"/>
  <c r="E820" i="63"/>
  <c r="F820" i="63"/>
  <c r="G820" i="63"/>
  <c r="H820" i="63"/>
  <c r="I820" i="63"/>
  <c r="A821" i="63"/>
  <c r="C821" i="63"/>
  <c r="D821" i="63"/>
  <c r="E821" i="63"/>
  <c r="F821" i="63"/>
  <c r="G821" i="63"/>
  <c r="H821" i="63"/>
  <c r="I821" i="63"/>
  <c r="A822" i="63"/>
  <c r="C822" i="63"/>
  <c r="D822" i="63"/>
  <c r="E822" i="63"/>
  <c r="F822" i="63"/>
  <c r="G822" i="63"/>
  <c r="H822" i="63"/>
  <c r="I822" i="63"/>
  <c r="A823" i="63"/>
  <c r="C823" i="63"/>
  <c r="D823" i="63"/>
  <c r="E823" i="63"/>
  <c r="F823" i="63"/>
  <c r="G823" i="63"/>
  <c r="H823" i="63"/>
  <c r="I823" i="63"/>
  <c r="A824" i="63"/>
  <c r="C824" i="63"/>
  <c r="D824" i="63"/>
  <c r="E824" i="63"/>
  <c r="F824" i="63"/>
  <c r="G824" i="63"/>
  <c r="H824" i="63"/>
  <c r="I824" i="63"/>
  <c r="A825" i="63"/>
  <c r="C825" i="63"/>
  <c r="D825" i="63"/>
  <c r="E825" i="63"/>
  <c r="F825" i="63"/>
  <c r="G825" i="63"/>
  <c r="H825" i="63"/>
  <c r="I825" i="63"/>
  <c r="A826" i="63"/>
  <c r="C826" i="63"/>
  <c r="D826" i="63"/>
  <c r="E826" i="63"/>
  <c r="F826" i="63"/>
  <c r="G826" i="63"/>
  <c r="H826" i="63"/>
  <c r="I826" i="63"/>
  <c r="A827" i="63"/>
  <c r="C827" i="63"/>
  <c r="D827" i="63"/>
  <c r="E827" i="63"/>
  <c r="F827" i="63"/>
  <c r="G827" i="63"/>
  <c r="H827" i="63"/>
  <c r="I827" i="63"/>
  <c r="A828" i="63"/>
  <c r="C828" i="63"/>
  <c r="D828" i="63"/>
  <c r="E828" i="63"/>
  <c r="F828" i="63"/>
  <c r="G828" i="63"/>
  <c r="H828" i="63"/>
  <c r="I828" i="63"/>
  <c r="A829" i="63"/>
  <c r="C829" i="63"/>
  <c r="D829" i="63"/>
  <c r="E829" i="63"/>
  <c r="F829" i="63"/>
  <c r="G829" i="63"/>
  <c r="H829" i="63"/>
  <c r="I829" i="63"/>
  <c r="A830" i="63"/>
  <c r="C830" i="63"/>
  <c r="D830" i="63"/>
  <c r="E830" i="63"/>
  <c r="F830" i="63"/>
  <c r="G830" i="63"/>
  <c r="H830" i="63"/>
  <c r="I830" i="63"/>
  <c r="A831" i="63"/>
  <c r="C831" i="63"/>
  <c r="D831" i="63"/>
  <c r="E831" i="63"/>
  <c r="F831" i="63"/>
  <c r="G831" i="63"/>
  <c r="H831" i="63"/>
  <c r="I831" i="63"/>
  <c r="A832" i="63"/>
  <c r="C832" i="63"/>
  <c r="D832" i="63"/>
  <c r="E832" i="63"/>
  <c r="F832" i="63"/>
  <c r="G832" i="63"/>
  <c r="H832" i="63"/>
  <c r="I832" i="63"/>
  <c r="A833" i="63"/>
  <c r="C833" i="63"/>
  <c r="D833" i="63"/>
  <c r="E833" i="63"/>
  <c r="F833" i="63"/>
  <c r="G833" i="63"/>
  <c r="H833" i="63"/>
  <c r="I833" i="63"/>
  <c r="A834" i="63"/>
  <c r="C834" i="63"/>
  <c r="D834" i="63"/>
  <c r="E834" i="63"/>
  <c r="F834" i="63"/>
  <c r="G834" i="63"/>
  <c r="H834" i="63"/>
  <c r="I834" i="63"/>
  <c r="A835" i="63"/>
  <c r="C835" i="63"/>
  <c r="D835" i="63"/>
  <c r="E835" i="63"/>
  <c r="F835" i="63"/>
  <c r="G835" i="63"/>
  <c r="H835" i="63"/>
  <c r="I835" i="63"/>
  <c r="A836" i="63"/>
  <c r="C836" i="63"/>
  <c r="D836" i="63"/>
  <c r="E836" i="63"/>
  <c r="F836" i="63"/>
  <c r="G836" i="63"/>
  <c r="H836" i="63"/>
  <c r="I836" i="63"/>
  <c r="A837" i="63"/>
  <c r="C837" i="63"/>
  <c r="D837" i="63"/>
  <c r="E837" i="63"/>
  <c r="F837" i="63"/>
  <c r="G837" i="63"/>
  <c r="H837" i="63"/>
  <c r="I837" i="63"/>
  <c r="A838" i="63"/>
  <c r="C838" i="63"/>
  <c r="D838" i="63"/>
  <c r="E838" i="63"/>
  <c r="F838" i="63"/>
  <c r="G838" i="63"/>
  <c r="H838" i="63"/>
  <c r="I838" i="63"/>
  <c r="A839" i="63"/>
  <c r="C839" i="63"/>
  <c r="D839" i="63"/>
  <c r="E839" i="63"/>
  <c r="F839" i="63"/>
  <c r="G839" i="63"/>
  <c r="H839" i="63"/>
  <c r="I839" i="63"/>
  <c r="A840" i="63"/>
  <c r="C840" i="63"/>
  <c r="D840" i="63"/>
  <c r="E840" i="63"/>
  <c r="F840" i="63"/>
  <c r="G840" i="63"/>
  <c r="H840" i="63"/>
  <c r="I840" i="63"/>
  <c r="A841" i="63"/>
  <c r="C841" i="63"/>
  <c r="D841" i="63"/>
  <c r="E841" i="63"/>
  <c r="F841" i="63"/>
  <c r="G841" i="63"/>
  <c r="H841" i="63"/>
  <c r="I841" i="63"/>
  <c r="A842" i="63"/>
  <c r="C842" i="63"/>
  <c r="D842" i="63"/>
  <c r="E842" i="63"/>
  <c r="F842" i="63"/>
  <c r="G842" i="63"/>
  <c r="H842" i="63"/>
  <c r="I842" i="63"/>
  <c r="A843" i="63"/>
  <c r="C843" i="63"/>
  <c r="D843" i="63"/>
  <c r="E843" i="63"/>
  <c r="F843" i="63"/>
  <c r="G843" i="63"/>
  <c r="H843" i="63"/>
  <c r="I843" i="63"/>
  <c r="A844" i="63"/>
  <c r="C844" i="63"/>
  <c r="D844" i="63"/>
  <c r="E844" i="63"/>
  <c r="F844" i="63"/>
  <c r="G844" i="63"/>
  <c r="H844" i="63"/>
  <c r="I844" i="63"/>
  <c r="A845" i="63"/>
  <c r="C845" i="63"/>
  <c r="D845" i="63"/>
  <c r="E845" i="63"/>
  <c r="F845" i="63"/>
  <c r="G845" i="63"/>
  <c r="H845" i="63"/>
  <c r="I845" i="63"/>
  <c r="A846" i="63"/>
  <c r="C846" i="63"/>
  <c r="D846" i="63"/>
  <c r="E846" i="63"/>
  <c r="F846" i="63"/>
  <c r="G846" i="63"/>
  <c r="H846" i="63"/>
  <c r="I846" i="63"/>
  <c r="A847" i="63"/>
  <c r="C847" i="63"/>
  <c r="D847" i="63"/>
  <c r="E847" i="63"/>
  <c r="F847" i="63"/>
  <c r="G847" i="63"/>
  <c r="H847" i="63"/>
  <c r="I847" i="63"/>
  <c r="A848" i="63"/>
  <c r="C848" i="63"/>
  <c r="D848" i="63"/>
  <c r="E848" i="63"/>
  <c r="F848" i="63"/>
  <c r="G848" i="63"/>
  <c r="H848" i="63"/>
  <c r="I848" i="63"/>
  <c r="A849" i="63"/>
  <c r="C849" i="63"/>
  <c r="D849" i="63"/>
  <c r="E849" i="63"/>
  <c r="F849" i="63"/>
  <c r="G849" i="63"/>
  <c r="H849" i="63"/>
  <c r="I849" i="63"/>
  <c r="A850" i="63"/>
  <c r="C850" i="63"/>
  <c r="D850" i="63"/>
  <c r="E850" i="63"/>
  <c r="F850" i="63"/>
  <c r="G850" i="63"/>
  <c r="H850" i="63"/>
  <c r="I850" i="63"/>
  <c r="A851" i="63"/>
  <c r="C851" i="63"/>
  <c r="D851" i="63"/>
  <c r="E851" i="63"/>
  <c r="F851" i="63"/>
  <c r="G851" i="63"/>
  <c r="H851" i="63"/>
  <c r="I851" i="63"/>
  <c r="A852" i="63"/>
  <c r="C852" i="63"/>
  <c r="D852" i="63"/>
  <c r="E852" i="63"/>
  <c r="F852" i="63"/>
  <c r="G852" i="63"/>
  <c r="H852" i="63"/>
  <c r="I852" i="63"/>
  <c r="A853" i="63"/>
  <c r="C853" i="63"/>
  <c r="D853" i="63"/>
  <c r="E853" i="63"/>
  <c r="F853" i="63"/>
  <c r="G853" i="63"/>
  <c r="H853" i="63"/>
  <c r="I853" i="63"/>
  <c r="A854" i="63"/>
  <c r="C854" i="63"/>
  <c r="D854" i="63"/>
  <c r="E854" i="63"/>
  <c r="F854" i="63"/>
  <c r="G854" i="63"/>
  <c r="H854" i="63"/>
  <c r="I854" i="63"/>
  <c r="A855" i="63"/>
  <c r="C855" i="63"/>
  <c r="D855" i="63"/>
  <c r="E855" i="63"/>
  <c r="F855" i="63"/>
  <c r="G855" i="63"/>
  <c r="H855" i="63"/>
  <c r="I855" i="63"/>
  <c r="A856" i="63"/>
  <c r="C856" i="63"/>
  <c r="D856" i="63"/>
  <c r="E856" i="63"/>
  <c r="F856" i="63"/>
  <c r="G856" i="63"/>
  <c r="H856" i="63"/>
  <c r="I856" i="63"/>
  <c r="A857" i="63"/>
  <c r="C857" i="63"/>
  <c r="D857" i="63"/>
  <c r="E857" i="63"/>
  <c r="F857" i="63"/>
  <c r="G857" i="63"/>
  <c r="H857" i="63"/>
  <c r="I857" i="63"/>
  <c r="A858" i="63"/>
  <c r="C858" i="63"/>
  <c r="D858" i="63"/>
  <c r="E858" i="63"/>
  <c r="F858" i="63"/>
  <c r="G858" i="63"/>
  <c r="H858" i="63"/>
  <c r="I858" i="63"/>
  <c r="A859" i="63"/>
  <c r="C859" i="63"/>
  <c r="D859" i="63"/>
  <c r="E859" i="63"/>
  <c r="F859" i="63"/>
  <c r="G859" i="63"/>
  <c r="H859" i="63"/>
  <c r="I859" i="63"/>
  <c r="A860" i="63"/>
  <c r="C860" i="63"/>
  <c r="D860" i="63"/>
  <c r="E860" i="63"/>
  <c r="F860" i="63"/>
  <c r="G860" i="63"/>
  <c r="H860" i="63"/>
  <c r="I860" i="63"/>
  <c r="A861" i="63"/>
  <c r="C861" i="63"/>
  <c r="D861" i="63"/>
  <c r="E861" i="63"/>
  <c r="F861" i="63"/>
  <c r="G861" i="63"/>
  <c r="H861" i="63"/>
  <c r="I861" i="63"/>
  <c r="A862" i="63"/>
  <c r="C862" i="63"/>
  <c r="D862" i="63"/>
  <c r="E862" i="63"/>
  <c r="F862" i="63"/>
  <c r="G862" i="63"/>
  <c r="H862" i="63"/>
  <c r="I862" i="63"/>
  <c r="A863" i="63"/>
  <c r="C863" i="63"/>
  <c r="D863" i="63"/>
  <c r="E863" i="63"/>
  <c r="F863" i="63"/>
  <c r="G863" i="63"/>
  <c r="H863" i="63"/>
  <c r="I863" i="63"/>
  <c r="A864" i="63"/>
  <c r="C864" i="63"/>
  <c r="D864" i="63"/>
  <c r="E864" i="63"/>
  <c r="F864" i="63"/>
  <c r="G864" i="63"/>
  <c r="H864" i="63"/>
  <c r="I864" i="63"/>
  <c r="A865" i="63"/>
  <c r="C865" i="63"/>
  <c r="D865" i="63"/>
  <c r="E865" i="63"/>
  <c r="F865" i="63"/>
  <c r="G865" i="63"/>
  <c r="H865" i="63"/>
  <c r="I865" i="63"/>
  <c r="A866" i="63"/>
  <c r="C866" i="63"/>
  <c r="D866" i="63"/>
  <c r="E866" i="63"/>
  <c r="F866" i="63"/>
  <c r="G866" i="63"/>
  <c r="H866" i="63"/>
  <c r="I866" i="63"/>
  <c r="A867" i="63"/>
  <c r="C867" i="63"/>
  <c r="D867" i="63"/>
  <c r="E867" i="63"/>
  <c r="F867" i="63"/>
  <c r="G867" i="63"/>
  <c r="H867" i="63"/>
  <c r="I867" i="63"/>
  <c r="A868" i="63"/>
  <c r="C868" i="63"/>
  <c r="D868" i="63"/>
  <c r="E868" i="63"/>
  <c r="F868" i="63"/>
  <c r="G868" i="63"/>
  <c r="H868" i="63"/>
  <c r="I868" i="63"/>
  <c r="A869" i="63"/>
  <c r="C869" i="63"/>
  <c r="D869" i="63"/>
  <c r="E869" i="63"/>
  <c r="F869" i="63"/>
  <c r="G869" i="63"/>
  <c r="H869" i="63"/>
  <c r="I869" i="63"/>
  <c r="A870" i="63"/>
  <c r="C870" i="63"/>
  <c r="D870" i="63"/>
  <c r="E870" i="63"/>
  <c r="F870" i="63"/>
  <c r="G870" i="63"/>
  <c r="H870" i="63"/>
  <c r="I870" i="63"/>
  <c r="A871" i="63"/>
  <c r="C871" i="63"/>
  <c r="D871" i="63"/>
  <c r="E871" i="63"/>
  <c r="F871" i="63"/>
  <c r="G871" i="63"/>
  <c r="H871" i="63"/>
  <c r="I871" i="63"/>
  <c r="A872" i="63"/>
  <c r="C872" i="63"/>
  <c r="D872" i="63"/>
  <c r="E872" i="63"/>
  <c r="F872" i="63"/>
  <c r="G872" i="63"/>
  <c r="H872" i="63"/>
  <c r="I872" i="63"/>
  <c r="A873" i="63"/>
  <c r="C873" i="63"/>
  <c r="D873" i="63"/>
  <c r="E873" i="63"/>
  <c r="F873" i="63"/>
  <c r="G873" i="63"/>
  <c r="H873" i="63"/>
  <c r="I873" i="63"/>
  <c r="A874" i="63"/>
  <c r="C874" i="63"/>
  <c r="D874" i="63"/>
  <c r="E874" i="63"/>
  <c r="F874" i="63"/>
  <c r="G874" i="63"/>
  <c r="H874" i="63"/>
  <c r="I874" i="63"/>
  <c r="A875" i="63"/>
  <c r="C875" i="63"/>
  <c r="D875" i="63"/>
  <c r="E875" i="63"/>
  <c r="F875" i="63"/>
  <c r="G875" i="63"/>
  <c r="H875" i="63"/>
  <c r="I875" i="63"/>
  <c r="A876" i="63"/>
  <c r="C876" i="63"/>
  <c r="D876" i="63"/>
  <c r="E876" i="63"/>
  <c r="F876" i="63"/>
  <c r="G876" i="63"/>
  <c r="H876" i="63"/>
  <c r="I876" i="63"/>
  <c r="A877" i="63"/>
  <c r="C877" i="63"/>
  <c r="D877" i="63"/>
  <c r="E877" i="63"/>
  <c r="F877" i="63"/>
  <c r="G877" i="63"/>
  <c r="H877" i="63"/>
  <c r="I877" i="63"/>
  <c r="A878" i="63"/>
  <c r="C878" i="63"/>
  <c r="D878" i="63"/>
  <c r="E878" i="63"/>
  <c r="F878" i="63"/>
  <c r="G878" i="63"/>
  <c r="H878" i="63"/>
  <c r="I878" i="63"/>
  <c r="A879" i="63"/>
  <c r="C879" i="63"/>
  <c r="D879" i="63"/>
  <c r="E879" i="63"/>
  <c r="F879" i="63"/>
  <c r="G879" i="63"/>
  <c r="H879" i="63"/>
  <c r="I879" i="63"/>
  <c r="A880" i="63"/>
  <c r="C880" i="63"/>
  <c r="D880" i="63"/>
  <c r="E880" i="63"/>
  <c r="F880" i="63"/>
  <c r="G880" i="63"/>
  <c r="H880" i="63"/>
  <c r="I880" i="63"/>
  <c r="A881" i="63"/>
  <c r="C881" i="63"/>
  <c r="D881" i="63"/>
  <c r="E881" i="63"/>
  <c r="F881" i="63"/>
  <c r="G881" i="63"/>
  <c r="H881" i="63"/>
  <c r="I881" i="63"/>
  <c r="A882" i="63"/>
  <c r="C882" i="63"/>
  <c r="D882" i="63"/>
  <c r="E882" i="63"/>
  <c r="F882" i="63"/>
  <c r="G882" i="63"/>
  <c r="H882" i="63"/>
  <c r="I882" i="63"/>
  <c r="A883" i="63"/>
  <c r="C883" i="63"/>
  <c r="D883" i="63"/>
  <c r="E883" i="63"/>
  <c r="F883" i="63"/>
  <c r="G883" i="63"/>
  <c r="H883" i="63"/>
  <c r="I883" i="63"/>
  <c r="A884" i="63"/>
  <c r="C884" i="63"/>
  <c r="D884" i="63"/>
  <c r="E884" i="63"/>
  <c r="F884" i="63"/>
  <c r="G884" i="63"/>
  <c r="H884" i="63"/>
  <c r="I884" i="63"/>
  <c r="A885" i="63"/>
  <c r="C885" i="63"/>
  <c r="D885" i="63"/>
  <c r="E885" i="63"/>
  <c r="F885" i="63"/>
  <c r="G885" i="63"/>
  <c r="H885" i="63"/>
  <c r="I885" i="63"/>
  <c r="A886" i="63"/>
  <c r="C886" i="63"/>
  <c r="D886" i="63"/>
  <c r="E886" i="63"/>
  <c r="F886" i="63"/>
  <c r="G886" i="63"/>
  <c r="H886" i="63"/>
  <c r="I886" i="63"/>
  <c r="A887" i="63"/>
  <c r="C887" i="63"/>
  <c r="D887" i="63"/>
  <c r="E887" i="63"/>
  <c r="F887" i="63"/>
  <c r="G887" i="63"/>
  <c r="H887" i="63"/>
  <c r="I887" i="63"/>
  <c r="A888" i="63"/>
  <c r="C888" i="63"/>
  <c r="D888" i="63"/>
  <c r="E888" i="63"/>
  <c r="F888" i="63"/>
  <c r="G888" i="63"/>
  <c r="H888" i="63"/>
  <c r="I888" i="63"/>
  <c r="A889" i="63"/>
  <c r="C889" i="63"/>
  <c r="D889" i="63"/>
  <c r="E889" i="63"/>
  <c r="F889" i="63"/>
  <c r="G889" i="63"/>
  <c r="H889" i="63"/>
  <c r="I889" i="63"/>
  <c r="A890" i="63"/>
  <c r="C890" i="63"/>
  <c r="D890" i="63"/>
  <c r="E890" i="63"/>
  <c r="F890" i="63"/>
  <c r="G890" i="63"/>
  <c r="H890" i="63"/>
  <c r="I890" i="63"/>
  <c r="A891" i="63"/>
  <c r="C891" i="63"/>
  <c r="D891" i="63"/>
  <c r="E891" i="63"/>
  <c r="F891" i="63"/>
  <c r="G891" i="63"/>
  <c r="H891" i="63"/>
  <c r="I891" i="63"/>
  <c r="A892" i="63"/>
  <c r="C892" i="63"/>
  <c r="D892" i="63"/>
  <c r="E892" i="63"/>
  <c r="F892" i="63"/>
  <c r="G892" i="63"/>
  <c r="H892" i="63"/>
  <c r="I892" i="63"/>
  <c r="A893" i="63"/>
  <c r="C893" i="63"/>
  <c r="D893" i="63"/>
  <c r="E893" i="63"/>
  <c r="F893" i="63"/>
  <c r="G893" i="63"/>
  <c r="H893" i="63"/>
  <c r="I893" i="63"/>
  <c r="A894" i="63"/>
  <c r="C894" i="63"/>
  <c r="D894" i="63"/>
  <c r="E894" i="63"/>
  <c r="F894" i="63"/>
  <c r="G894" i="63"/>
  <c r="H894" i="63"/>
  <c r="I894" i="63"/>
  <c r="A895" i="63"/>
  <c r="C895" i="63"/>
  <c r="D895" i="63"/>
  <c r="E895" i="63"/>
  <c r="F895" i="63"/>
  <c r="G895" i="63"/>
  <c r="H895" i="63"/>
  <c r="I895" i="63"/>
  <c r="A896" i="63"/>
  <c r="C896" i="63"/>
  <c r="D896" i="63"/>
  <c r="E896" i="63"/>
  <c r="F896" i="63"/>
  <c r="G896" i="63"/>
  <c r="H896" i="63"/>
  <c r="I896" i="63"/>
  <c r="A897" i="63"/>
  <c r="C897" i="63"/>
  <c r="D897" i="63"/>
  <c r="E897" i="63"/>
  <c r="F897" i="63"/>
  <c r="G897" i="63"/>
  <c r="H897" i="63"/>
  <c r="I897" i="63"/>
  <c r="A898" i="63"/>
  <c r="C898" i="63"/>
  <c r="D898" i="63"/>
  <c r="E898" i="63"/>
  <c r="F898" i="63"/>
  <c r="G898" i="63"/>
  <c r="H898" i="63"/>
  <c r="I898" i="63"/>
  <c r="A899" i="63"/>
  <c r="C899" i="63"/>
  <c r="D899" i="63"/>
  <c r="E899" i="63"/>
  <c r="F899" i="63"/>
  <c r="G899" i="63"/>
  <c r="H899" i="63"/>
  <c r="I899" i="63"/>
  <c r="A900" i="63"/>
  <c r="C900" i="63"/>
  <c r="D900" i="63"/>
  <c r="E900" i="63"/>
  <c r="F900" i="63"/>
  <c r="G900" i="63"/>
  <c r="H900" i="63"/>
  <c r="I900" i="63"/>
  <c r="A901" i="63"/>
  <c r="C901" i="63"/>
  <c r="D901" i="63"/>
  <c r="E901" i="63"/>
  <c r="F901" i="63"/>
  <c r="G901" i="63"/>
  <c r="H901" i="63"/>
  <c r="I901" i="63"/>
  <c r="A902" i="63"/>
  <c r="C902" i="63"/>
  <c r="D902" i="63"/>
  <c r="E902" i="63"/>
  <c r="F902" i="63"/>
  <c r="G902" i="63"/>
  <c r="H902" i="63"/>
  <c r="I902" i="63"/>
  <c r="A903" i="63"/>
  <c r="C903" i="63"/>
  <c r="D903" i="63"/>
  <c r="E903" i="63"/>
  <c r="F903" i="63"/>
  <c r="G903" i="63"/>
  <c r="H903" i="63"/>
  <c r="I903" i="63"/>
  <c r="A904" i="63"/>
  <c r="C904" i="63"/>
  <c r="D904" i="63"/>
  <c r="E904" i="63"/>
  <c r="F904" i="63"/>
  <c r="G904" i="63"/>
  <c r="H904" i="63"/>
  <c r="I904" i="63"/>
  <c r="A905" i="63"/>
  <c r="C905" i="63"/>
  <c r="D905" i="63"/>
  <c r="E905" i="63"/>
  <c r="F905" i="63"/>
  <c r="G905" i="63"/>
  <c r="H905" i="63"/>
  <c r="I905" i="63"/>
  <c r="A906" i="63"/>
  <c r="C906" i="63"/>
  <c r="D906" i="63"/>
  <c r="E906" i="63"/>
  <c r="F906" i="63"/>
  <c r="G906" i="63"/>
  <c r="H906" i="63"/>
  <c r="I906" i="63"/>
  <c r="A907" i="63"/>
  <c r="C907" i="63"/>
  <c r="D907" i="63"/>
  <c r="E907" i="63"/>
  <c r="F907" i="63"/>
  <c r="G907" i="63"/>
  <c r="H907" i="63"/>
  <c r="I907" i="63"/>
  <c r="A908" i="63"/>
  <c r="C908" i="63"/>
  <c r="D908" i="63"/>
  <c r="E908" i="63"/>
  <c r="F908" i="63"/>
  <c r="G908" i="63"/>
  <c r="H908" i="63"/>
  <c r="I908" i="63"/>
  <c r="A909" i="63"/>
  <c r="C909" i="63"/>
  <c r="D909" i="63"/>
  <c r="E909" i="63"/>
  <c r="F909" i="63"/>
  <c r="G909" i="63"/>
  <c r="H909" i="63"/>
  <c r="I909" i="63"/>
  <c r="A910" i="63"/>
  <c r="C910" i="63"/>
  <c r="D910" i="63"/>
  <c r="E910" i="63"/>
  <c r="F910" i="63"/>
  <c r="G910" i="63"/>
  <c r="H910" i="63"/>
  <c r="I910" i="63"/>
  <c r="A911" i="63"/>
  <c r="C911" i="63"/>
  <c r="D911" i="63"/>
  <c r="E911" i="63"/>
  <c r="F911" i="63"/>
  <c r="G911" i="63"/>
  <c r="H911" i="63"/>
  <c r="I911" i="63"/>
  <c r="A912" i="63"/>
  <c r="C912" i="63"/>
  <c r="D912" i="63"/>
  <c r="E912" i="63"/>
  <c r="F912" i="63"/>
  <c r="G912" i="63"/>
  <c r="H912" i="63"/>
  <c r="I912" i="63"/>
  <c r="A913" i="63"/>
  <c r="C913" i="63"/>
  <c r="D913" i="63"/>
  <c r="E913" i="63"/>
  <c r="F913" i="63"/>
  <c r="G913" i="63"/>
  <c r="H913" i="63"/>
  <c r="I913" i="63"/>
  <c r="A914" i="63"/>
  <c r="C914" i="63"/>
  <c r="D914" i="63"/>
  <c r="E914" i="63"/>
  <c r="F914" i="63"/>
  <c r="G914" i="63"/>
  <c r="H914" i="63"/>
  <c r="I914" i="63"/>
  <c r="A915" i="63"/>
  <c r="C915" i="63"/>
  <c r="D915" i="63"/>
  <c r="E915" i="63"/>
  <c r="F915" i="63"/>
  <c r="G915" i="63"/>
  <c r="H915" i="63"/>
  <c r="I915" i="63"/>
  <c r="A916" i="63"/>
  <c r="C916" i="63"/>
  <c r="D916" i="63"/>
  <c r="E916" i="63"/>
  <c r="F916" i="63"/>
  <c r="G916" i="63"/>
  <c r="H916" i="63"/>
  <c r="I916" i="63"/>
  <c r="A917" i="63"/>
  <c r="C917" i="63"/>
  <c r="D917" i="63"/>
  <c r="E917" i="63"/>
  <c r="F917" i="63"/>
  <c r="G917" i="63"/>
  <c r="H917" i="63"/>
  <c r="I917" i="63"/>
  <c r="A918" i="63"/>
  <c r="C918" i="63"/>
  <c r="D918" i="63"/>
  <c r="E918" i="63"/>
  <c r="F918" i="63"/>
  <c r="G918" i="63"/>
  <c r="H918" i="63"/>
  <c r="I918" i="63"/>
  <c r="A919" i="63"/>
  <c r="C919" i="63"/>
  <c r="D919" i="63"/>
  <c r="E919" i="63"/>
  <c r="F919" i="63"/>
  <c r="G919" i="63"/>
  <c r="H919" i="63"/>
  <c r="I919" i="63"/>
  <c r="A920" i="63"/>
  <c r="C920" i="63"/>
  <c r="D920" i="63"/>
  <c r="E920" i="63"/>
  <c r="F920" i="63"/>
  <c r="G920" i="63"/>
  <c r="H920" i="63"/>
  <c r="I920" i="63"/>
  <c r="A921" i="63"/>
  <c r="C921" i="63"/>
  <c r="D921" i="63"/>
  <c r="E921" i="63"/>
  <c r="F921" i="63"/>
  <c r="G921" i="63"/>
  <c r="H921" i="63"/>
  <c r="I921" i="63"/>
  <c r="A922" i="63"/>
  <c r="C922" i="63"/>
  <c r="D922" i="63"/>
  <c r="E922" i="63"/>
  <c r="F922" i="63"/>
  <c r="G922" i="63"/>
  <c r="H922" i="63"/>
  <c r="I922" i="63"/>
  <c r="A923" i="63"/>
  <c r="C923" i="63"/>
  <c r="D923" i="63"/>
  <c r="E923" i="63"/>
  <c r="F923" i="63"/>
  <c r="G923" i="63"/>
  <c r="H923" i="63"/>
  <c r="I923" i="63"/>
  <c r="A924" i="63"/>
  <c r="C924" i="63"/>
  <c r="D924" i="63"/>
  <c r="E924" i="63"/>
  <c r="F924" i="63"/>
  <c r="G924" i="63"/>
  <c r="H924" i="63"/>
  <c r="I924" i="63"/>
  <c r="A925" i="63"/>
  <c r="C925" i="63"/>
  <c r="D925" i="63"/>
  <c r="E925" i="63"/>
  <c r="F925" i="63"/>
  <c r="G925" i="63"/>
  <c r="H925" i="63"/>
  <c r="I925" i="63"/>
  <c r="A926" i="63"/>
  <c r="C926" i="63"/>
  <c r="D926" i="63"/>
  <c r="E926" i="63"/>
  <c r="F926" i="63"/>
  <c r="G926" i="63"/>
  <c r="H926" i="63"/>
  <c r="I926" i="63"/>
  <c r="A927" i="63"/>
  <c r="C927" i="63"/>
  <c r="D927" i="63"/>
  <c r="E927" i="63"/>
  <c r="F927" i="63"/>
  <c r="G927" i="63"/>
  <c r="H927" i="63"/>
  <c r="I927" i="63"/>
  <c r="A928" i="63"/>
  <c r="C928" i="63"/>
  <c r="D928" i="63"/>
  <c r="E928" i="63"/>
  <c r="F928" i="63"/>
  <c r="G928" i="63"/>
  <c r="H928" i="63"/>
  <c r="I928" i="63"/>
  <c r="A929" i="63"/>
  <c r="C929" i="63"/>
  <c r="D929" i="63"/>
  <c r="E929" i="63"/>
  <c r="F929" i="63"/>
  <c r="G929" i="63"/>
  <c r="H929" i="63"/>
  <c r="I929" i="63"/>
  <c r="A930" i="63"/>
  <c r="C930" i="63"/>
  <c r="D930" i="63"/>
  <c r="E930" i="63"/>
  <c r="F930" i="63"/>
  <c r="G930" i="63"/>
  <c r="H930" i="63"/>
  <c r="I930" i="63"/>
  <c r="A931" i="63"/>
  <c r="C931" i="63"/>
  <c r="D931" i="63"/>
  <c r="E931" i="63"/>
  <c r="F931" i="63"/>
  <c r="G931" i="63"/>
  <c r="H931" i="63"/>
  <c r="I931" i="63"/>
  <c r="A932" i="63"/>
  <c r="C932" i="63"/>
  <c r="D932" i="63"/>
  <c r="E932" i="63"/>
  <c r="F932" i="63"/>
  <c r="G932" i="63"/>
  <c r="H932" i="63"/>
  <c r="I932" i="63"/>
  <c r="A933" i="63"/>
  <c r="C933" i="63"/>
  <c r="D933" i="63"/>
  <c r="E933" i="63"/>
  <c r="F933" i="63"/>
  <c r="G933" i="63"/>
  <c r="H933" i="63"/>
  <c r="I933" i="63"/>
  <c r="A934" i="63"/>
  <c r="C934" i="63"/>
  <c r="D934" i="63"/>
  <c r="E934" i="63"/>
  <c r="F934" i="63"/>
  <c r="G934" i="63"/>
  <c r="H934" i="63"/>
  <c r="I934" i="63"/>
  <c r="A935" i="63"/>
  <c r="C935" i="63"/>
  <c r="D935" i="63"/>
  <c r="E935" i="63"/>
  <c r="F935" i="63"/>
  <c r="G935" i="63"/>
  <c r="H935" i="63"/>
  <c r="I935" i="63"/>
  <c r="A936" i="63"/>
  <c r="C936" i="63"/>
  <c r="D936" i="63"/>
  <c r="E936" i="63"/>
  <c r="F936" i="63"/>
  <c r="G936" i="63"/>
  <c r="H936" i="63"/>
  <c r="I936" i="63"/>
  <c r="A937" i="63"/>
  <c r="C937" i="63"/>
  <c r="D937" i="63"/>
  <c r="E937" i="63"/>
  <c r="F937" i="63"/>
  <c r="G937" i="63"/>
  <c r="H937" i="63"/>
  <c r="I937" i="63"/>
  <c r="A938" i="63"/>
  <c r="C938" i="63"/>
  <c r="D938" i="63"/>
  <c r="E938" i="63"/>
  <c r="F938" i="63"/>
  <c r="G938" i="63"/>
  <c r="H938" i="63"/>
  <c r="I938" i="63"/>
  <c r="A939" i="63"/>
  <c r="C939" i="63"/>
  <c r="D939" i="63"/>
  <c r="E939" i="63"/>
  <c r="F939" i="63"/>
  <c r="G939" i="63"/>
  <c r="H939" i="63"/>
  <c r="I939" i="63"/>
  <c r="A940" i="63"/>
  <c r="C940" i="63"/>
  <c r="D940" i="63"/>
  <c r="E940" i="63"/>
  <c r="F940" i="63"/>
  <c r="G940" i="63"/>
  <c r="H940" i="63"/>
  <c r="I940" i="63"/>
  <c r="A941" i="63"/>
  <c r="C941" i="63"/>
  <c r="D941" i="63"/>
  <c r="E941" i="63"/>
  <c r="F941" i="63"/>
  <c r="G941" i="63"/>
  <c r="H941" i="63"/>
  <c r="I941" i="63"/>
  <c r="A942" i="63"/>
  <c r="C942" i="63"/>
  <c r="D942" i="63"/>
  <c r="E942" i="63"/>
  <c r="F942" i="63"/>
  <c r="G942" i="63"/>
  <c r="H942" i="63"/>
  <c r="I942" i="63"/>
  <c r="A943" i="63"/>
  <c r="C943" i="63"/>
  <c r="D943" i="63"/>
  <c r="E943" i="63"/>
  <c r="F943" i="63"/>
  <c r="G943" i="63"/>
  <c r="H943" i="63"/>
  <c r="I943" i="63"/>
  <c r="A944" i="63"/>
  <c r="C944" i="63"/>
  <c r="D944" i="63"/>
  <c r="E944" i="63"/>
  <c r="F944" i="63"/>
  <c r="G944" i="63"/>
  <c r="H944" i="63"/>
  <c r="I944" i="63"/>
  <c r="A945" i="63"/>
  <c r="C945" i="63"/>
  <c r="D945" i="63"/>
  <c r="E945" i="63"/>
  <c r="F945" i="63"/>
  <c r="G945" i="63"/>
  <c r="H945" i="63"/>
  <c r="I945" i="63"/>
  <c r="A946" i="63"/>
  <c r="C946" i="63"/>
  <c r="D946" i="63"/>
  <c r="E946" i="63"/>
  <c r="F946" i="63"/>
  <c r="G946" i="63"/>
  <c r="H946" i="63"/>
  <c r="I946" i="63"/>
  <c r="A947" i="63"/>
  <c r="C947" i="63"/>
  <c r="D947" i="63"/>
  <c r="E947" i="63"/>
  <c r="F947" i="63"/>
  <c r="G947" i="63"/>
  <c r="H947" i="63"/>
  <c r="I947" i="63"/>
  <c r="A948" i="63"/>
  <c r="C948" i="63"/>
  <c r="D948" i="63"/>
  <c r="E948" i="63"/>
  <c r="F948" i="63"/>
  <c r="G948" i="63"/>
  <c r="H948" i="63"/>
  <c r="I948" i="63"/>
  <c r="A949" i="63"/>
  <c r="C949" i="63"/>
  <c r="D949" i="63"/>
  <c r="E949" i="63"/>
  <c r="F949" i="63"/>
  <c r="G949" i="63"/>
  <c r="H949" i="63"/>
  <c r="I949" i="63"/>
  <c r="A950" i="63"/>
  <c r="C950" i="63"/>
  <c r="D950" i="63"/>
  <c r="E950" i="63"/>
  <c r="F950" i="63"/>
  <c r="G950" i="63"/>
  <c r="H950" i="63"/>
  <c r="I950" i="63"/>
  <c r="A951" i="63"/>
  <c r="C951" i="63"/>
  <c r="D951" i="63"/>
  <c r="E951" i="63"/>
  <c r="F951" i="63"/>
  <c r="G951" i="63"/>
  <c r="H951" i="63"/>
  <c r="I951" i="63"/>
  <c r="A952" i="63"/>
  <c r="C952" i="63"/>
  <c r="D952" i="63"/>
  <c r="E952" i="63"/>
  <c r="F952" i="63"/>
  <c r="G952" i="63"/>
  <c r="H952" i="63"/>
  <c r="I952" i="63"/>
  <c r="A953" i="63"/>
  <c r="C953" i="63"/>
  <c r="D953" i="63"/>
  <c r="E953" i="63"/>
  <c r="F953" i="63"/>
  <c r="G953" i="63"/>
  <c r="H953" i="63"/>
  <c r="I953" i="63"/>
  <c r="A954" i="63"/>
  <c r="C954" i="63"/>
  <c r="D954" i="63"/>
  <c r="E954" i="63"/>
  <c r="F954" i="63"/>
  <c r="G954" i="63"/>
  <c r="H954" i="63"/>
  <c r="I954" i="63"/>
  <c r="A955" i="63"/>
  <c r="C955" i="63"/>
  <c r="D955" i="63"/>
  <c r="E955" i="63"/>
  <c r="F955" i="63"/>
  <c r="G955" i="63"/>
  <c r="H955" i="63"/>
  <c r="I955" i="63"/>
  <c r="A956" i="63"/>
  <c r="C956" i="63"/>
  <c r="D956" i="63"/>
  <c r="E956" i="63"/>
  <c r="F956" i="63"/>
  <c r="G956" i="63"/>
  <c r="H956" i="63"/>
  <c r="I956" i="63"/>
  <c r="A957" i="63"/>
  <c r="C957" i="63"/>
  <c r="D957" i="63"/>
  <c r="E957" i="63"/>
  <c r="F957" i="63"/>
  <c r="G957" i="63"/>
  <c r="H957" i="63"/>
  <c r="I957" i="63"/>
  <c r="A958" i="63"/>
  <c r="C958" i="63"/>
  <c r="D958" i="63"/>
  <c r="E958" i="63"/>
  <c r="F958" i="63"/>
  <c r="G958" i="63"/>
  <c r="H958" i="63"/>
  <c r="I958" i="63"/>
  <c r="A959" i="63"/>
  <c r="C959" i="63"/>
  <c r="D959" i="63"/>
  <c r="E959" i="63"/>
  <c r="F959" i="63"/>
  <c r="G959" i="63"/>
  <c r="H959" i="63"/>
  <c r="I959" i="63"/>
  <c r="A960" i="63"/>
  <c r="C960" i="63"/>
  <c r="D960" i="63"/>
  <c r="E960" i="63"/>
  <c r="F960" i="63"/>
  <c r="G960" i="63"/>
  <c r="H960" i="63"/>
  <c r="I960" i="63"/>
  <c r="A961" i="63"/>
  <c r="C961" i="63"/>
  <c r="D961" i="63"/>
  <c r="E961" i="63"/>
  <c r="F961" i="63"/>
  <c r="G961" i="63"/>
  <c r="H961" i="63"/>
  <c r="I961" i="63"/>
  <c r="A962" i="63"/>
  <c r="C962" i="63"/>
  <c r="D962" i="63"/>
  <c r="E962" i="63"/>
  <c r="F962" i="63"/>
  <c r="G962" i="63"/>
  <c r="H962" i="63"/>
  <c r="I962" i="63"/>
  <c r="A963" i="63"/>
  <c r="C963" i="63"/>
  <c r="D963" i="63"/>
  <c r="E963" i="63"/>
  <c r="F963" i="63"/>
  <c r="G963" i="63"/>
  <c r="H963" i="63"/>
  <c r="I963" i="63"/>
  <c r="A964" i="63"/>
  <c r="C964" i="63"/>
  <c r="D964" i="63"/>
  <c r="E964" i="63"/>
  <c r="F964" i="63"/>
  <c r="G964" i="63"/>
  <c r="H964" i="63"/>
  <c r="I964" i="63"/>
  <c r="A965" i="63"/>
  <c r="C965" i="63"/>
  <c r="D965" i="63"/>
  <c r="E965" i="63"/>
  <c r="F965" i="63"/>
  <c r="G965" i="63"/>
  <c r="H965" i="63"/>
  <c r="I965" i="63"/>
  <c r="A966" i="63"/>
  <c r="C966" i="63"/>
  <c r="D966" i="63"/>
  <c r="E966" i="63"/>
  <c r="F966" i="63"/>
  <c r="G966" i="63"/>
  <c r="H966" i="63"/>
  <c r="I966" i="63"/>
  <c r="A967" i="63"/>
  <c r="C967" i="63"/>
  <c r="D967" i="63"/>
  <c r="E967" i="63"/>
  <c r="F967" i="63"/>
  <c r="G967" i="63"/>
  <c r="H967" i="63"/>
  <c r="I967" i="63"/>
  <c r="A968" i="63"/>
  <c r="C968" i="63"/>
  <c r="D968" i="63"/>
  <c r="E968" i="63"/>
  <c r="F968" i="63"/>
  <c r="G968" i="63"/>
  <c r="H968" i="63"/>
  <c r="I968" i="63"/>
  <c r="A969" i="63"/>
  <c r="C969" i="63"/>
  <c r="D969" i="63"/>
  <c r="E969" i="63"/>
  <c r="F969" i="63"/>
  <c r="G969" i="63"/>
  <c r="H969" i="63"/>
  <c r="I969" i="63"/>
  <c r="A970" i="63"/>
  <c r="C970" i="63"/>
  <c r="D970" i="63"/>
  <c r="E970" i="63"/>
  <c r="F970" i="63"/>
  <c r="G970" i="63"/>
  <c r="H970" i="63"/>
  <c r="I970" i="63"/>
  <c r="A971" i="63"/>
  <c r="C971" i="63"/>
  <c r="D971" i="63"/>
  <c r="E971" i="63"/>
  <c r="F971" i="63"/>
  <c r="G971" i="63"/>
  <c r="H971" i="63"/>
  <c r="I971" i="63"/>
  <c r="A972" i="63"/>
  <c r="C972" i="63"/>
  <c r="D972" i="63"/>
  <c r="E972" i="63"/>
  <c r="F972" i="63"/>
  <c r="G972" i="63"/>
  <c r="H972" i="63"/>
  <c r="I972" i="63"/>
  <c r="A973" i="63"/>
  <c r="C973" i="63"/>
  <c r="D973" i="63"/>
  <c r="E973" i="63"/>
  <c r="F973" i="63"/>
  <c r="G973" i="63"/>
  <c r="H973" i="63"/>
  <c r="I973" i="63"/>
  <c r="A974" i="63"/>
  <c r="C974" i="63"/>
  <c r="D974" i="63"/>
  <c r="E974" i="63"/>
  <c r="F974" i="63"/>
  <c r="G974" i="63"/>
  <c r="H974" i="63"/>
  <c r="I974" i="63"/>
  <c r="A975" i="63"/>
  <c r="C975" i="63"/>
  <c r="D975" i="63"/>
  <c r="E975" i="63"/>
  <c r="F975" i="63"/>
  <c r="G975" i="63"/>
  <c r="H975" i="63"/>
  <c r="I975" i="63"/>
  <c r="A976" i="63"/>
  <c r="C976" i="63"/>
  <c r="D976" i="63"/>
  <c r="E976" i="63"/>
  <c r="F976" i="63"/>
  <c r="G976" i="63"/>
  <c r="H976" i="63"/>
  <c r="I976" i="63"/>
  <c r="A977" i="63"/>
  <c r="C977" i="63"/>
  <c r="D977" i="63"/>
  <c r="E977" i="63"/>
  <c r="F977" i="63"/>
  <c r="G977" i="63"/>
  <c r="H977" i="63"/>
  <c r="I977" i="63"/>
  <c r="A978" i="63"/>
  <c r="C978" i="63"/>
  <c r="D978" i="63"/>
  <c r="E978" i="63"/>
  <c r="F978" i="63"/>
  <c r="G978" i="63"/>
  <c r="H978" i="63"/>
  <c r="I978" i="63"/>
  <c r="A979" i="63"/>
  <c r="C979" i="63"/>
  <c r="D979" i="63"/>
  <c r="E979" i="63"/>
  <c r="F979" i="63"/>
  <c r="G979" i="63"/>
  <c r="H979" i="63"/>
  <c r="I979" i="63"/>
  <c r="A980" i="63"/>
  <c r="C980" i="63"/>
  <c r="D980" i="63"/>
  <c r="E980" i="63"/>
  <c r="F980" i="63"/>
  <c r="G980" i="63"/>
  <c r="H980" i="63"/>
  <c r="I980" i="63"/>
  <c r="A981" i="63"/>
  <c r="C981" i="63"/>
  <c r="D981" i="63"/>
  <c r="E981" i="63"/>
  <c r="F981" i="63"/>
  <c r="G981" i="63"/>
  <c r="H981" i="63"/>
  <c r="I981" i="63"/>
  <c r="A982" i="63"/>
  <c r="C982" i="63"/>
  <c r="D982" i="63"/>
  <c r="E982" i="63"/>
  <c r="F982" i="63"/>
  <c r="G982" i="63"/>
  <c r="H982" i="63"/>
  <c r="I982" i="63"/>
  <c r="A983" i="63"/>
  <c r="C983" i="63"/>
  <c r="D983" i="63"/>
  <c r="E983" i="63"/>
  <c r="F983" i="63"/>
  <c r="G983" i="63"/>
  <c r="H983" i="63"/>
  <c r="I983" i="63"/>
  <c r="A984" i="63"/>
  <c r="C984" i="63"/>
  <c r="D984" i="63"/>
  <c r="E984" i="63"/>
  <c r="F984" i="63"/>
  <c r="G984" i="63"/>
  <c r="H984" i="63"/>
  <c r="I984" i="63"/>
  <c r="A985" i="63"/>
  <c r="C985" i="63"/>
  <c r="D985" i="63"/>
  <c r="E985" i="63"/>
  <c r="F985" i="63"/>
  <c r="G985" i="63"/>
  <c r="H985" i="63"/>
  <c r="I985" i="63"/>
  <c r="A986" i="63"/>
  <c r="C986" i="63"/>
  <c r="D986" i="63"/>
  <c r="E986" i="63"/>
  <c r="F986" i="63"/>
  <c r="G986" i="63"/>
  <c r="H986" i="63"/>
  <c r="I986" i="63"/>
  <c r="A987" i="63"/>
  <c r="C987" i="63"/>
  <c r="D987" i="63"/>
  <c r="E987" i="63"/>
  <c r="F987" i="63"/>
  <c r="G987" i="63"/>
  <c r="H987" i="63"/>
  <c r="I987" i="63"/>
  <c r="A988" i="63"/>
  <c r="C988" i="63"/>
  <c r="D988" i="63"/>
  <c r="E988" i="63"/>
  <c r="F988" i="63"/>
  <c r="G988" i="63"/>
  <c r="H988" i="63"/>
  <c r="I988" i="63"/>
  <c r="A989" i="63"/>
  <c r="C989" i="63"/>
  <c r="D989" i="63"/>
  <c r="E989" i="63"/>
  <c r="F989" i="63"/>
  <c r="G989" i="63"/>
  <c r="H989" i="63"/>
  <c r="I989" i="63"/>
  <c r="A990" i="63"/>
  <c r="C990" i="63"/>
  <c r="D990" i="63"/>
  <c r="E990" i="63"/>
  <c r="F990" i="63"/>
  <c r="G990" i="63"/>
  <c r="H990" i="63"/>
  <c r="I990" i="63"/>
  <c r="A991" i="63"/>
  <c r="C991" i="63"/>
  <c r="D991" i="63"/>
  <c r="E991" i="63"/>
  <c r="F991" i="63"/>
  <c r="G991" i="63"/>
  <c r="H991" i="63"/>
  <c r="I991" i="63"/>
  <c r="A992" i="63"/>
  <c r="C992" i="63"/>
  <c r="D992" i="63"/>
  <c r="E992" i="63"/>
  <c r="F992" i="63"/>
  <c r="G992" i="63"/>
  <c r="H992" i="63"/>
  <c r="I992" i="63"/>
  <c r="A993" i="63"/>
  <c r="C993" i="63"/>
  <c r="D993" i="63"/>
  <c r="E993" i="63"/>
  <c r="F993" i="63"/>
  <c r="G993" i="63"/>
  <c r="H993" i="63"/>
  <c r="I993" i="63"/>
  <c r="A994" i="63"/>
  <c r="C994" i="63"/>
  <c r="D994" i="63"/>
  <c r="E994" i="63"/>
  <c r="F994" i="63"/>
  <c r="G994" i="63"/>
  <c r="H994" i="63"/>
  <c r="I994" i="63"/>
  <c r="A995" i="63"/>
  <c r="C995" i="63"/>
  <c r="D995" i="63"/>
  <c r="E995" i="63"/>
  <c r="F995" i="63"/>
  <c r="G995" i="63"/>
  <c r="H995" i="63"/>
  <c r="I995" i="63"/>
  <c r="A996" i="63"/>
  <c r="C996" i="63"/>
  <c r="D996" i="63"/>
  <c r="E996" i="63"/>
  <c r="F996" i="63"/>
  <c r="G996" i="63"/>
  <c r="H996" i="63"/>
  <c r="I996" i="63"/>
  <c r="A997" i="63"/>
  <c r="C997" i="63"/>
  <c r="D997" i="63"/>
  <c r="E997" i="63"/>
  <c r="F997" i="63"/>
  <c r="G997" i="63"/>
  <c r="H997" i="63"/>
  <c r="I997" i="63"/>
  <c r="A998" i="63"/>
  <c r="C998" i="63"/>
  <c r="D998" i="63"/>
  <c r="E998" i="63"/>
  <c r="F998" i="63"/>
  <c r="G998" i="63"/>
  <c r="H998" i="63"/>
  <c r="I998" i="63"/>
  <c r="A999" i="63"/>
  <c r="C999" i="63"/>
  <c r="D999" i="63"/>
  <c r="E999" i="63"/>
  <c r="F999" i="63"/>
  <c r="G999" i="63"/>
  <c r="H999" i="63"/>
  <c r="I999" i="63"/>
  <c r="A1000" i="63"/>
  <c r="C1000" i="63"/>
  <c r="D1000" i="63"/>
  <c r="E1000" i="63"/>
  <c r="F1000" i="63"/>
  <c r="G1000" i="63"/>
  <c r="H1000" i="63"/>
  <c r="I1000" i="63"/>
  <c r="A1001" i="63"/>
  <c r="C1001" i="63"/>
  <c r="D1001" i="63"/>
  <c r="E1001" i="63"/>
  <c r="F1001" i="63"/>
  <c r="G1001" i="63"/>
  <c r="H1001" i="63"/>
  <c r="I1001" i="63"/>
  <c r="A1002" i="63"/>
  <c r="C1002" i="63"/>
  <c r="D1002" i="63"/>
  <c r="E1002" i="63"/>
  <c r="F1002" i="63"/>
  <c r="G1002" i="63"/>
  <c r="H1002" i="63"/>
  <c r="I1002" i="63"/>
  <c r="A1003" i="63"/>
  <c r="C1003" i="63"/>
  <c r="D1003" i="63"/>
  <c r="E1003" i="63"/>
  <c r="F1003" i="63"/>
  <c r="G1003" i="63"/>
  <c r="H1003" i="63"/>
  <c r="I1003" i="63"/>
  <c r="A1004" i="63"/>
  <c r="C1004" i="63"/>
  <c r="D1004" i="63"/>
  <c r="E1004" i="63"/>
  <c r="F1004" i="63"/>
  <c r="G1004" i="63"/>
  <c r="H1004" i="63"/>
  <c r="I1004" i="63"/>
  <c r="A1005" i="63"/>
  <c r="C1005" i="63"/>
  <c r="D1005" i="63"/>
  <c r="E1005" i="63"/>
  <c r="F1005" i="63"/>
  <c r="G1005" i="63"/>
  <c r="H1005" i="63"/>
  <c r="I1005" i="63"/>
  <c r="A1006" i="63"/>
  <c r="C1006" i="63"/>
  <c r="D1006" i="63"/>
  <c r="E1006" i="63"/>
  <c r="F1006" i="63"/>
  <c r="G1006" i="63"/>
  <c r="H1006" i="63"/>
  <c r="I1006" i="63"/>
  <c r="A1007" i="63"/>
  <c r="C1007" i="63"/>
  <c r="D1007" i="63"/>
  <c r="E1007" i="63"/>
  <c r="F1007" i="63"/>
  <c r="G1007" i="63"/>
  <c r="H1007" i="63"/>
  <c r="I1007" i="63"/>
  <c r="A1008" i="63"/>
  <c r="C1008" i="63"/>
  <c r="D1008" i="63"/>
  <c r="E1008" i="63"/>
  <c r="F1008" i="63"/>
  <c r="G1008" i="63"/>
  <c r="H1008" i="63"/>
  <c r="I1008" i="63"/>
  <c r="A1009" i="63"/>
  <c r="C1009" i="63"/>
  <c r="D1009" i="63"/>
  <c r="E1009" i="63"/>
  <c r="F1009" i="63"/>
  <c r="G1009" i="63"/>
  <c r="H1009" i="63"/>
  <c r="I1009" i="63"/>
  <c r="A1010" i="63"/>
  <c r="C1010" i="63"/>
  <c r="D1010" i="63"/>
  <c r="E1010" i="63"/>
  <c r="F1010" i="63"/>
  <c r="G1010" i="63"/>
  <c r="H1010" i="63"/>
  <c r="I1010" i="63"/>
  <c r="A1011" i="63"/>
  <c r="C1011" i="63"/>
  <c r="D1011" i="63"/>
  <c r="E1011" i="63"/>
  <c r="F1011" i="63"/>
  <c r="G1011" i="63"/>
  <c r="H1011" i="63"/>
  <c r="I1011" i="63"/>
  <c r="A1012" i="63"/>
  <c r="C1012" i="63"/>
  <c r="D1012" i="63"/>
  <c r="E1012" i="63"/>
  <c r="F1012" i="63"/>
  <c r="G1012" i="63"/>
  <c r="H1012" i="63"/>
  <c r="I1012" i="63"/>
  <c r="A1013" i="63"/>
  <c r="C1013" i="63"/>
  <c r="D1013" i="63"/>
  <c r="E1013" i="63"/>
  <c r="F1013" i="63"/>
  <c r="G1013" i="63"/>
  <c r="H1013" i="63"/>
  <c r="I1013" i="63"/>
  <c r="A1014" i="63"/>
  <c r="C1014" i="63"/>
  <c r="D1014" i="63"/>
  <c r="E1014" i="63"/>
  <c r="F1014" i="63"/>
  <c r="G1014" i="63"/>
  <c r="H1014" i="63"/>
  <c r="I1014" i="63"/>
  <c r="A1015" i="63"/>
  <c r="C1015" i="63"/>
  <c r="D1015" i="63"/>
  <c r="E1015" i="63"/>
  <c r="F1015" i="63"/>
  <c r="G1015" i="63"/>
  <c r="H1015" i="63"/>
  <c r="I1015" i="63"/>
  <c r="A1016" i="63"/>
  <c r="C1016" i="63"/>
  <c r="D1016" i="63"/>
  <c r="E1016" i="63"/>
  <c r="F1016" i="63"/>
  <c r="G1016" i="63"/>
  <c r="H1016" i="63"/>
  <c r="I1016" i="63"/>
  <c r="A1017" i="63"/>
  <c r="C1017" i="63"/>
  <c r="D1017" i="63"/>
  <c r="E1017" i="63"/>
  <c r="F1017" i="63"/>
  <c r="G1017" i="63"/>
  <c r="H1017" i="63"/>
  <c r="I1017" i="63"/>
  <c r="A1018" i="63"/>
  <c r="C1018" i="63"/>
  <c r="D1018" i="63"/>
  <c r="E1018" i="63"/>
  <c r="F1018" i="63"/>
  <c r="G1018" i="63"/>
  <c r="H1018" i="63"/>
  <c r="I1018" i="63"/>
  <c r="A1019" i="63"/>
  <c r="C1019" i="63"/>
  <c r="D1019" i="63"/>
  <c r="E1019" i="63"/>
  <c r="F1019" i="63"/>
  <c r="G1019" i="63"/>
  <c r="H1019" i="63"/>
  <c r="I1019" i="63"/>
  <c r="A1020" i="63"/>
  <c r="C1020" i="63"/>
  <c r="D1020" i="63"/>
  <c r="E1020" i="63"/>
  <c r="F1020" i="63"/>
  <c r="G1020" i="63"/>
  <c r="H1020" i="63"/>
  <c r="I1020" i="63"/>
  <c r="A1021" i="63"/>
  <c r="C1021" i="63"/>
  <c r="D1021" i="63"/>
  <c r="E1021" i="63"/>
  <c r="F1021" i="63"/>
  <c r="G1021" i="63"/>
  <c r="H1021" i="63"/>
  <c r="I1021" i="63"/>
  <c r="A1022" i="63"/>
  <c r="C1022" i="63"/>
  <c r="D1022" i="63"/>
  <c r="E1022" i="63"/>
  <c r="F1022" i="63"/>
  <c r="G1022" i="63"/>
  <c r="H1022" i="63"/>
  <c r="I1022" i="63"/>
  <c r="A1023" i="63"/>
  <c r="C1023" i="63"/>
  <c r="D1023" i="63"/>
  <c r="E1023" i="63"/>
  <c r="F1023" i="63"/>
  <c r="G1023" i="63"/>
  <c r="H1023" i="63"/>
  <c r="I1023" i="63"/>
  <c r="A1024" i="63"/>
  <c r="C1024" i="63"/>
  <c r="D1024" i="63"/>
  <c r="E1024" i="63"/>
  <c r="F1024" i="63"/>
  <c r="G1024" i="63"/>
  <c r="H1024" i="63"/>
  <c r="I1024" i="63"/>
  <c r="A1025" i="63"/>
  <c r="C1025" i="63"/>
  <c r="D1025" i="63"/>
  <c r="E1025" i="63"/>
  <c r="F1025" i="63"/>
  <c r="G1025" i="63"/>
  <c r="H1025" i="63"/>
  <c r="I1025" i="63"/>
  <c r="A1026" i="63"/>
  <c r="C1026" i="63"/>
  <c r="D1026" i="63"/>
  <c r="E1026" i="63"/>
  <c r="F1026" i="63"/>
  <c r="G1026" i="63"/>
  <c r="H1026" i="63"/>
  <c r="I1026" i="63"/>
  <c r="A1027" i="63"/>
  <c r="C1027" i="63"/>
  <c r="D1027" i="63"/>
  <c r="E1027" i="63"/>
  <c r="F1027" i="63"/>
  <c r="G1027" i="63"/>
  <c r="H1027" i="63"/>
  <c r="I1027" i="63"/>
  <c r="A1028" i="63"/>
  <c r="C1028" i="63"/>
  <c r="D1028" i="63"/>
  <c r="E1028" i="63"/>
  <c r="F1028" i="63"/>
  <c r="G1028" i="63"/>
  <c r="H1028" i="63"/>
  <c r="I1028" i="63"/>
  <c r="A1029" i="63"/>
  <c r="C1029" i="63"/>
  <c r="D1029" i="63"/>
  <c r="E1029" i="63"/>
  <c r="F1029" i="63"/>
  <c r="G1029" i="63"/>
  <c r="H1029" i="63"/>
  <c r="I1029" i="63"/>
  <c r="A1030" i="63"/>
  <c r="C1030" i="63"/>
  <c r="D1030" i="63"/>
  <c r="E1030" i="63"/>
  <c r="F1030" i="63"/>
  <c r="G1030" i="63"/>
  <c r="H1030" i="63"/>
  <c r="I1030" i="63"/>
  <c r="A1031" i="63"/>
  <c r="C1031" i="63"/>
  <c r="D1031" i="63"/>
  <c r="E1031" i="63"/>
  <c r="F1031" i="63"/>
  <c r="G1031" i="63"/>
  <c r="H1031" i="63"/>
  <c r="I1031" i="63"/>
  <c r="A1032" i="63"/>
  <c r="C1032" i="63"/>
  <c r="D1032" i="63"/>
  <c r="E1032" i="63"/>
  <c r="F1032" i="63"/>
  <c r="G1032" i="63"/>
  <c r="H1032" i="63"/>
  <c r="I1032" i="63"/>
  <c r="A1033" i="63"/>
  <c r="C1033" i="63"/>
  <c r="D1033" i="63"/>
  <c r="E1033" i="63"/>
  <c r="F1033" i="63"/>
  <c r="G1033" i="63"/>
  <c r="H1033" i="63"/>
  <c r="I1033" i="63"/>
  <c r="A1034" i="63"/>
  <c r="C1034" i="63"/>
  <c r="D1034" i="63"/>
  <c r="E1034" i="63"/>
  <c r="F1034" i="63"/>
  <c r="G1034" i="63"/>
  <c r="H1034" i="63"/>
  <c r="I1034" i="63"/>
  <c r="A1035" i="63"/>
  <c r="C1035" i="63"/>
  <c r="D1035" i="63"/>
  <c r="E1035" i="63"/>
  <c r="F1035" i="63"/>
  <c r="G1035" i="63"/>
  <c r="H1035" i="63"/>
  <c r="I1035" i="63"/>
  <c r="A1036" i="63"/>
  <c r="C1036" i="63"/>
  <c r="D1036" i="63"/>
  <c r="E1036" i="63"/>
  <c r="F1036" i="63"/>
  <c r="G1036" i="63"/>
  <c r="H1036" i="63"/>
  <c r="I1036" i="63"/>
  <c r="A1037" i="63"/>
  <c r="C1037" i="63"/>
  <c r="D1037" i="63"/>
  <c r="E1037" i="63"/>
  <c r="F1037" i="63"/>
  <c r="G1037" i="63"/>
  <c r="H1037" i="63"/>
  <c r="I1037" i="63"/>
  <c r="A1038" i="63"/>
  <c r="C1038" i="63"/>
  <c r="D1038" i="63"/>
  <c r="E1038" i="63"/>
  <c r="F1038" i="63"/>
  <c r="G1038" i="63"/>
  <c r="H1038" i="63"/>
  <c r="I1038" i="63"/>
  <c r="A1039" i="63"/>
  <c r="C1039" i="63"/>
  <c r="D1039" i="63"/>
  <c r="E1039" i="63"/>
  <c r="F1039" i="63"/>
  <c r="G1039" i="63"/>
  <c r="H1039" i="63"/>
  <c r="I1039" i="63"/>
  <c r="A1040" i="63"/>
  <c r="C1040" i="63"/>
  <c r="D1040" i="63"/>
  <c r="E1040" i="63"/>
  <c r="F1040" i="63"/>
  <c r="G1040" i="63"/>
  <c r="H1040" i="63"/>
  <c r="I1040" i="63"/>
  <c r="A1041" i="63"/>
  <c r="C1041" i="63"/>
  <c r="D1041" i="63"/>
  <c r="E1041" i="63"/>
  <c r="F1041" i="63"/>
  <c r="G1041" i="63"/>
  <c r="H1041" i="63"/>
  <c r="I1041" i="63"/>
  <c r="A1042" i="63"/>
  <c r="C1042" i="63"/>
  <c r="D1042" i="63"/>
  <c r="E1042" i="63"/>
  <c r="F1042" i="63"/>
  <c r="G1042" i="63"/>
  <c r="H1042" i="63"/>
  <c r="I1042" i="63"/>
  <c r="A1043" i="63"/>
  <c r="C1043" i="63"/>
  <c r="D1043" i="63"/>
  <c r="E1043" i="63"/>
  <c r="F1043" i="63"/>
  <c r="G1043" i="63"/>
  <c r="H1043" i="63"/>
  <c r="I1043" i="63"/>
  <c r="A1044" i="63"/>
  <c r="C1044" i="63"/>
  <c r="D1044" i="63"/>
  <c r="E1044" i="63"/>
  <c r="F1044" i="63"/>
  <c r="G1044" i="63"/>
  <c r="H1044" i="63"/>
  <c r="I1044" i="63"/>
  <c r="A1045" i="63"/>
  <c r="C1045" i="63"/>
  <c r="D1045" i="63"/>
  <c r="E1045" i="63"/>
  <c r="F1045" i="63"/>
  <c r="G1045" i="63"/>
  <c r="H1045" i="63"/>
  <c r="I1045" i="63"/>
  <c r="A1046" i="63"/>
  <c r="C1046" i="63"/>
  <c r="D1046" i="63"/>
  <c r="E1046" i="63"/>
  <c r="F1046" i="63"/>
  <c r="G1046" i="63"/>
  <c r="H1046" i="63"/>
  <c r="I1046" i="63"/>
  <c r="A1047" i="63"/>
  <c r="C1047" i="63"/>
  <c r="D1047" i="63"/>
  <c r="E1047" i="63"/>
  <c r="F1047" i="63"/>
  <c r="G1047" i="63"/>
  <c r="H1047" i="63"/>
  <c r="I1047" i="63"/>
  <c r="A1048" i="63"/>
  <c r="C1048" i="63"/>
  <c r="D1048" i="63"/>
  <c r="E1048" i="63"/>
  <c r="F1048" i="63"/>
  <c r="G1048" i="63"/>
  <c r="H1048" i="63"/>
  <c r="I1048" i="63"/>
  <c r="A1049" i="63"/>
  <c r="C1049" i="63"/>
  <c r="D1049" i="63"/>
  <c r="E1049" i="63"/>
  <c r="F1049" i="63"/>
  <c r="G1049" i="63"/>
  <c r="H1049" i="63"/>
  <c r="I1049" i="63"/>
  <c r="A1050" i="63"/>
  <c r="C1050" i="63"/>
  <c r="D1050" i="63"/>
  <c r="E1050" i="63"/>
  <c r="F1050" i="63"/>
  <c r="G1050" i="63"/>
  <c r="H1050" i="63"/>
  <c r="I1050" i="63"/>
  <c r="A1051" i="63"/>
  <c r="C1051" i="63"/>
  <c r="D1051" i="63"/>
  <c r="E1051" i="63"/>
  <c r="F1051" i="63"/>
  <c r="G1051" i="63"/>
  <c r="H1051" i="63"/>
  <c r="I1051" i="63"/>
  <c r="A1052" i="63"/>
  <c r="C1052" i="63"/>
  <c r="D1052" i="63"/>
  <c r="E1052" i="63"/>
  <c r="F1052" i="63"/>
  <c r="G1052" i="63"/>
  <c r="H1052" i="63"/>
  <c r="I1052" i="63"/>
  <c r="A1053" i="63"/>
  <c r="C1053" i="63"/>
  <c r="D1053" i="63"/>
  <c r="E1053" i="63"/>
  <c r="F1053" i="63"/>
  <c r="G1053" i="63"/>
  <c r="H1053" i="63"/>
  <c r="I1053" i="63"/>
  <c r="A1054" i="63"/>
  <c r="C1054" i="63"/>
  <c r="D1054" i="63"/>
  <c r="E1054" i="63"/>
  <c r="F1054" i="63"/>
  <c r="G1054" i="63"/>
  <c r="H1054" i="63"/>
  <c r="I1054" i="63"/>
  <c r="A1055" i="63"/>
  <c r="C1055" i="63"/>
  <c r="D1055" i="63"/>
  <c r="E1055" i="63"/>
  <c r="F1055" i="63"/>
  <c r="G1055" i="63"/>
  <c r="H1055" i="63"/>
  <c r="I1055" i="63"/>
  <c r="A1056" i="63"/>
  <c r="C1056" i="63"/>
  <c r="D1056" i="63"/>
  <c r="E1056" i="63"/>
  <c r="F1056" i="63"/>
  <c r="G1056" i="63"/>
  <c r="H1056" i="63"/>
  <c r="I1056" i="63"/>
  <c r="A1057" i="63"/>
  <c r="C1057" i="63"/>
  <c r="D1057" i="63"/>
  <c r="E1057" i="63"/>
  <c r="F1057" i="63"/>
  <c r="G1057" i="63"/>
  <c r="H1057" i="63"/>
  <c r="I1057" i="63"/>
  <c r="A1058" i="63"/>
  <c r="C1058" i="63"/>
  <c r="D1058" i="63"/>
  <c r="E1058" i="63"/>
  <c r="F1058" i="63"/>
  <c r="G1058" i="63"/>
  <c r="H1058" i="63"/>
  <c r="I1058" i="63"/>
  <c r="A1059" i="63"/>
  <c r="C1059" i="63"/>
  <c r="D1059" i="63"/>
  <c r="E1059" i="63"/>
  <c r="F1059" i="63"/>
  <c r="G1059" i="63"/>
  <c r="H1059" i="63"/>
  <c r="I1059" i="63"/>
  <c r="A1060" i="63"/>
  <c r="C1060" i="63"/>
  <c r="D1060" i="63"/>
  <c r="E1060" i="63"/>
  <c r="F1060" i="63"/>
  <c r="G1060" i="63"/>
  <c r="H1060" i="63"/>
  <c r="I1060" i="63"/>
  <c r="A1061" i="63"/>
  <c r="C1061" i="63"/>
  <c r="D1061" i="63"/>
  <c r="E1061" i="63"/>
  <c r="F1061" i="63"/>
  <c r="G1061" i="63"/>
  <c r="H1061" i="63"/>
  <c r="I1061" i="63"/>
  <c r="A1062" i="63"/>
  <c r="C1062" i="63"/>
  <c r="D1062" i="63"/>
  <c r="E1062" i="63"/>
  <c r="F1062" i="63"/>
  <c r="G1062" i="63"/>
  <c r="H1062" i="63"/>
  <c r="I1062" i="63"/>
  <c r="A1063" i="63"/>
  <c r="C1063" i="63"/>
  <c r="D1063" i="63"/>
  <c r="E1063" i="63"/>
  <c r="F1063" i="63"/>
  <c r="G1063" i="63"/>
  <c r="H1063" i="63"/>
  <c r="I1063" i="63"/>
  <c r="A1064" i="63"/>
  <c r="C1064" i="63"/>
  <c r="D1064" i="63"/>
  <c r="E1064" i="63"/>
  <c r="F1064" i="63"/>
  <c r="G1064" i="63"/>
  <c r="H1064" i="63"/>
  <c r="I1064" i="63"/>
  <c r="A1065" i="63"/>
  <c r="C1065" i="63"/>
  <c r="D1065" i="63"/>
  <c r="E1065" i="63"/>
  <c r="F1065" i="63"/>
  <c r="G1065" i="63"/>
  <c r="H1065" i="63"/>
  <c r="I1065" i="63"/>
  <c r="A1066" i="63"/>
  <c r="C1066" i="63"/>
  <c r="D1066" i="63"/>
  <c r="E1066" i="63"/>
  <c r="F1066" i="63"/>
  <c r="G1066" i="63"/>
  <c r="H1066" i="63"/>
  <c r="I1066" i="63"/>
  <c r="A1067" i="63"/>
  <c r="C1067" i="63"/>
  <c r="D1067" i="63"/>
  <c r="E1067" i="63"/>
  <c r="F1067" i="63"/>
  <c r="G1067" i="63"/>
  <c r="H1067" i="63"/>
  <c r="I1067" i="63"/>
  <c r="A1068" i="63"/>
  <c r="C1068" i="63"/>
  <c r="D1068" i="63"/>
  <c r="E1068" i="63"/>
  <c r="F1068" i="63"/>
  <c r="G1068" i="63"/>
  <c r="H1068" i="63"/>
  <c r="I1068" i="63"/>
  <c r="A1069" i="63"/>
  <c r="C1069" i="63"/>
  <c r="D1069" i="63"/>
  <c r="E1069" i="63"/>
  <c r="F1069" i="63"/>
  <c r="G1069" i="63"/>
  <c r="H1069" i="63"/>
  <c r="I1069" i="63"/>
  <c r="A1070" i="63"/>
  <c r="C1070" i="63"/>
  <c r="D1070" i="63"/>
  <c r="E1070" i="63"/>
  <c r="F1070" i="63"/>
  <c r="G1070" i="63"/>
  <c r="H1070" i="63"/>
  <c r="I1070" i="63"/>
  <c r="A1071" i="63"/>
  <c r="C1071" i="63"/>
  <c r="D1071" i="63"/>
  <c r="E1071" i="63"/>
  <c r="F1071" i="63"/>
  <c r="G1071" i="63"/>
  <c r="H1071" i="63"/>
  <c r="I1071" i="63"/>
  <c r="A1072" i="63"/>
  <c r="C1072" i="63"/>
  <c r="D1072" i="63"/>
  <c r="E1072" i="63"/>
  <c r="F1072" i="63"/>
  <c r="G1072" i="63"/>
  <c r="H1072" i="63"/>
  <c r="I1072" i="63"/>
  <c r="A1073" i="63"/>
  <c r="C1073" i="63"/>
  <c r="D1073" i="63"/>
  <c r="E1073" i="63"/>
  <c r="F1073" i="63"/>
  <c r="G1073" i="63"/>
  <c r="H1073" i="63"/>
  <c r="I1073" i="63"/>
  <c r="A1074" i="63"/>
  <c r="C1074" i="63"/>
  <c r="D1074" i="63"/>
  <c r="E1074" i="63"/>
  <c r="F1074" i="63"/>
  <c r="G1074" i="63"/>
  <c r="H1074" i="63"/>
  <c r="I1074" i="63"/>
  <c r="A1075" i="63"/>
  <c r="C1075" i="63"/>
  <c r="D1075" i="63"/>
  <c r="E1075" i="63"/>
  <c r="F1075" i="63"/>
  <c r="G1075" i="63"/>
  <c r="H1075" i="63"/>
  <c r="I1075" i="63"/>
  <c r="A1076" i="63"/>
  <c r="C1076" i="63"/>
  <c r="D1076" i="63"/>
  <c r="E1076" i="63"/>
  <c r="F1076" i="63"/>
  <c r="G1076" i="63"/>
  <c r="H1076" i="63"/>
  <c r="I1076" i="63"/>
  <c r="A1077" i="63"/>
  <c r="C1077" i="63"/>
  <c r="D1077" i="63"/>
  <c r="E1077" i="63"/>
  <c r="F1077" i="63"/>
  <c r="G1077" i="63"/>
  <c r="H1077" i="63"/>
  <c r="I1077" i="63"/>
  <c r="A1078" i="63"/>
  <c r="C1078" i="63"/>
  <c r="D1078" i="63"/>
  <c r="E1078" i="63"/>
  <c r="F1078" i="63"/>
  <c r="G1078" i="63"/>
  <c r="H1078" i="63"/>
  <c r="I1078" i="63"/>
  <c r="A1079" i="63"/>
  <c r="C1079" i="63"/>
  <c r="D1079" i="63"/>
  <c r="E1079" i="63"/>
  <c r="F1079" i="63"/>
  <c r="G1079" i="63"/>
  <c r="H1079" i="63"/>
  <c r="I1079" i="63"/>
  <c r="A1080" i="63"/>
  <c r="C1080" i="63"/>
  <c r="D1080" i="63"/>
  <c r="E1080" i="63"/>
  <c r="F1080" i="63"/>
  <c r="G1080" i="63"/>
  <c r="H1080" i="63"/>
  <c r="I1080" i="63"/>
  <c r="A1081" i="63"/>
  <c r="C1081" i="63"/>
  <c r="D1081" i="63"/>
  <c r="E1081" i="63"/>
  <c r="F1081" i="63"/>
  <c r="G1081" i="63"/>
  <c r="H1081" i="63"/>
  <c r="I1081" i="63"/>
  <c r="A1082" i="63"/>
  <c r="C1082" i="63"/>
  <c r="D1082" i="63"/>
  <c r="E1082" i="63"/>
  <c r="F1082" i="63"/>
  <c r="G1082" i="63"/>
  <c r="H1082" i="63"/>
  <c r="I1082" i="63"/>
  <c r="A1083" i="63"/>
  <c r="C1083" i="63"/>
  <c r="D1083" i="63"/>
  <c r="E1083" i="63"/>
  <c r="F1083" i="63"/>
  <c r="G1083" i="63"/>
  <c r="H1083" i="63"/>
  <c r="I1083" i="63"/>
  <c r="A1084" i="63"/>
  <c r="C1084" i="63"/>
  <c r="D1084" i="63"/>
  <c r="E1084" i="63"/>
  <c r="F1084" i="63"/>
  <c r="G1084" i="63"/>
  <c r="H1084" i="63"/>
  <c r="I1084" i="63"/>
  <c r="A1085" i="63"/>
  <c r="C1085" i="63"/>
  <c r="D1085" i="63"/>
  <c r="E1085" i="63"/>
  <c r="F1085" i="63"/>
  <c r="G1085" i="63"/>
  <c r="H1085" i="63"/>
  <c r="I1085" i="63"/>
  <c r="A1086" i="63"/>
  <c r="C1086" i="63"/>
  <c r="D1086" i="63"/>
  <c r="E1086" i="63"/>
  <c r="F1086" i="63"/>
  <c r="G1086" i="63"/>
  <c r="H1086" i="63"/>
  <c r="I1086" i="63"/>
  <c r="A1087" i="63"/>
  <c r="C1087" i="63"/>
  <c r="D1087" i="63"/>
  <c r="E1087" i="63"/>
  <c r="F1087" i="63"/>
  <c r="G1087" i="63"/>
  <c r="H1087" i="63"/>
  <c r="I1087" i="63"/>
  <c r="A1088" i="63"/>
  <c r="C1088" i="63"/>
  <c r="D1088" i="63"/>
  <c r="E1088" i="63"/>
  <c r="F1088" i="63"/>
  <c r="G1088" i="63"/>
  <c r="H1088" i="63"/>
  <c r="I1088" i="63"/>
  <c r="A1089" i="63"/>
  <c r="C1089" i="63"/>
  <c r="D1089" i="63"/>
  <c r="E1089" i="63"/>
  <c r="F1089" i="63"/>
  <c r="G1089" i="63"/>
  <c r="H1089" i="63"/>
  <c r="I1089" i="63"/>
  <c r="A1090" i="63"/>
  <c r="C1090" i="63"/>
  <c r="D1090" i="63"/>
  <c r="E1090" i="63"/>
  <c r="F1090" i="63"/>
  <c r="G1090" i="63"/>
  <c r="H1090" i="63"/>
  <c r="I1090" i="63"/>
  <c r="A1091" i="63"/>
  <c r="C1091" i="63"/>
  <c r="D1091" i="63"/>
  <c r="E1091" i="63"/>
  <c r="F1091" i="63"/>
  <c r="G1091" i="63"/>
  <c r="H1091" i="63"/>
  <c r="I1091" i="63"/>
  <c r="A1092" i="63"/>
  <c r="C1092" i="63"/>
  <c r="D1092" i="63"/>
  <c r="E1092" i="63"/>
  <c r="F1092" i="63"/>
  <c r="G1092" i="63"/>
  <c r="H1092" i="63"/>
  <c r="I1092" i="63"/>
  <c r="A1093" i="63"/>
  <c r="C1093" i="63"/>
  <c r="D1093" i="63"/>
  <c r="E1093" i="63"/>
  <c r="F1093" i="63"/>
  <c r="G1093" i="63"/>
  <c r="H1093" i="63"/>
  <c r="I1093" i="63"/>
  <c r="A1094" i="63"/>
  <c r="C1094" i="63"/>
  <c r="D1094" i="63"/>
  <c r="E1094" i="63"/>
  <c r="F1094" i="63"/>
  <c r="G1094" i="63"/>
  <c r="H1094" i="63"/>
  <c r="I1094" i="63"/>
  <c r="A1095" i="63"/>
  <c r="C1095" i="63"/>
  <c r="D1095" i="63"/>
  <c r="E1095" i="63"/>
  <c r="F1095" i="63"/>
  <c r="G1095" i="63"/>
  <c r="H1095" i="63"/>
  <c r="I1095" i="63"/>
  <c r="A1096" i="63"/>
  <c r="C1096" i="63"/>
  <c r="D1096" i="63"/>
  <c r="E1096" i="63"/>
  <c r="F1096" i="63"/>
  <c r="G1096" i="63"/>
  <c r="H1096" i="63"/>
  <c r="I1096" i="63"/>
  <c r="A1097" i="63"/>
  <c r="C1097" i="63"/>
  <c r="D1097" i="63"/>
  <c r="E1097" i="63"/>
  <c r="F1097" i="63"/>
  <c r="G1097" i="63"/>
  <c r="H1097" i="63"/>
  <c r="I1097" i="63"/>
  <c r="A1098" i="63"/>
  <c r="C1098" i="63"/>
  <c r="D1098" i="63"/>
  <c r="E1098" i="63"/>
  <c r="F1098" i="63"/>
  <c r="G1098" i="63"/>
  <c r="H1098" i="63"/>
  <c r="I1098" i="63"/>
  <c r="A1099" i="63"/>
  <c r="C1099" i="63"/>
  <c r="D1099" i="63"/>
  <c r="E1099" i="63"/>
  <c r="F1099" i="63"/>
  <c r="G1099" i="63"/>
  <c r="H1099" i="63"/>
  <c r="I1099" i="63"/>
  <c r="A1100" i="63"/>
  <c r="D1100" i="63"/>
  <c r="E1100" i="63"/>
  <c r="F1100" i="63"/>
  <c r="G1100" i="63"/>
  <c r="H1100" i="63"/>
  <c r="I1100" i="63"/>
  <c r="G16" i="52"/>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B89589DB-0145-4371-85A5-75B85BD6C650}" keepAlive="1" name="Query - Customer" description="Connection to the 'Customer' query in the workbook." type="5" refreshedVersion="7" background="1" saveData="1">
    <dbPr connection="Provider=Microsoft.Mashup.OleDb.1;Data Source=$Workbook$;Location=Customer;Extended Properties=&quot;&quot;" command="SELECT * FROM [Customer]"/>
  </connection>
  <connection id="2" xr16:uid="{2D77C5A4-A64C-42CE-A232-29FACA9E345C}" keepAlive="1" name="Query - Date records" description="Connection to the 'Date records' query in the workbook." type="5" refreshedVersion="0" background="1">
    <dbPr connection="Provider=Microsoft.Mashup.OleDb.1;Data Source=$Workbook$;Location=&quot;Date records&quot;;Extended Properties=&quot;&quot;" command="SELECT * FROM [Date records]"/>
  </connection>
</connections>
</file>

<file path=xl/sharedStrings.xml><?xml version="1.0" encoding="utf-8"?>
<sst xmlns="http://schemas.openxmlformats.org/spreadsheetml/2006/main" count="2408" uniqueCount="960">
  <si>
    <t>Source Files</t>
  </si>
  <si>
    <t>File name</t>
  </si>
  <si>
    <t>Source system</t>
  </si>
  <si>
    <t>Desription</t>
  </si>
  <si>
    <t>File format</t>
  </si>
  <si>
    <t>Index</t>
  </si>
  <si>
    <t>Source ID</t>
  </si>
  <si>
    <t>Description</t>
  </si>
  <si>
    <t>Example1</t>
  </si>
  <si>
    <t>Example2</t>
  </si>
  <si>
    <t>Business ID</t>
  </si>
  <si>
    <t>Y</t>
  </si>
  <si>
    <t>Stage1 is an ETL staging database that will store imported source data as extracted from the sources systems.</t>
  </si>
  <si>
    <t>All data for this database is currently imported as part of a batch process</t>
  </si>
  <si>
    <t>Data Tables</t>
  </si>
  <si>
    <t>Column</t>
  </si>
  <si>
    <t>DB Type</t>
  </si>
  <si>
    <t>Example 1</t>
  </si>
  <si>
    <t>Field Name</t>
  </si>
  <si>
    <t>IBPT_ID</t>
  </si>
  <si>
    <t>int</t>
  </si>
  <si>
    <t>Name</t>
  </si>
  <si>
    <t>Source type</t>
  </si>
  <si>
    <t>Abbreviation</t>
  </si>
  <si>
    <t>Process Metadata Tables</t>
  </si>
  <si>
    <t>Import_Batch</t>
  </si>
  <si>
    <t>IB</t>
  </si>
  <si>
    <t>Import_Batch_Process</t>
  </si>
  <si>
    <t>One record for each subset of related source system files</t>
  </si>
  <si>
    <t>IBP</t>
  </si>
  <si>
    <t>Import_Batch_Process_Task</t>
  </si>
  <si>
    <t>One record for each source system file imported</t>
  </si>
  <si>
    <t>IBPT</t>
  </si>
  <si>
    <t>One record created each time the batch data set is imported</t>
  </si>
  <si>
    <t>S1_Import</t>
  </si>
  <si>
    <t>Flat file</t>
  </si>
  <si>
    <t>nvarchar(50)</t>
  </si>
  <si>
    <t>tinyint</t>
  </si>
  <si>
    <t>Dimension Type:</t>
  </si>
  <si>
    <t>Business Process</t>
  </si>
  <si>
    <t>Fact tables</t>
  </si>
  <si>
    <t>Fact table type</t>
  </si>
  <si>
    <t>Granularity</t>
  </si>
  <si>
    <t>Date</t>
  </si>
  <si>
    <t>X</t>
  </si>
  <si>
    <t>Description:</t>
  </si>
  <si>
    <t>Date dimension. One record for each calendar day. Static dimension (no updates from a source system)</t>
  </si>
  <si>
    <t>Key?</t>
  </si>
  <si>
    <t>FK to</t>
  </si>
  <si>
    <t>SCD Type</t>
  </si>
  <si>
    <t>No Value member</t>
  </si>
  <si>
    <t>Unknown member</t>
  </si>
  <si>
    <t>Comments</t>
  </si>
  <si>
    <t>Date_Key</t>
  </si>
  <si>
    <t>Surrogate primary key</t>
  </si>
  <si>
    <t>PK</t>
  </si>
  <si>
    <t>N/A</t>
  </si>
  <si>
    <t>date</t>
  </si>
  <si>
    <t>Business Key, a day represented by a date value</t>
  </si>
  <si>
    <t>Create Index</t>
  </si>
  <si>
    <t>Date_Description</t>
  </si>
  <si>
    <t>nvarchar(20)</t>
  </si>
  <si>
    <t>Full date description in English</t>
  </si>
  <si>
    <t>*No Date</t>
  </si>
  <si>
    <t>*Unknown date</t>
  </si>
  <si>
    <t>18 March 2018</t>
  </si>
  <si>
    <t>nvarchar(10)</t>
  </si>
  <si>
    <t>smallint</t>
  </si>
  <si>
    <t>Month_Of_Year</t>
  </si>
  <si>
    <t>The calendar month of the year as a number, where January equals 1</t>
  </si>
  <si>
    <t>Month</t>
  </si>
  <si>
    <t>Calendar month name in English</t>
  </si>
  <si>
    <t>January</t>
  </si>
  <si>
    <t>March</t>
  </si>
  <si>
    <t>Year</t>
  </si>
  <si>
    <t>Calendar year as a number</t>
  </si>
  <si>
    <t>Year_Month</t>
  </si>
  <si>
    <t>nchar(7)</t>
  </si>
  <si>
    <t>Calendar year as a number concatenated with the calendar month as a number (including leading zeros) represented as a character string</t>
  </si>
  <si>
    <t>9999-01</t>
  </si>
  <si>
    <t>1900-01</t>
  </si>
  <si>
    <t>2018-03</t>
  </si>
  <si>
    <t>Bus Matrix</t>
  </si>
  <si>
    <t>Dimensions</t>
  </si>
  <si>
    <t>Running, Failed, Completed</t>
  </si>
  <si>
    <t>IB_Status</t>
  </si>
  <si>
    <t>End date and time for the process</t>
  </si>
  <si>
    <t>datetime</t>
  </si>
  <si>
    <t>IB_End</t>
  </si>
  <si>
    <t>Start date and time for the process</t>
  </si>
  <si>
    <t>IB_Start</t>
  </si>
  <si>
    <t>IB_Month</t>
  </si>
  <si>
    <t>IB_Year</t>
  </si>
  <si>
    <t>description of the SSIS package</t>
  </si>
  <si>
    <t>IB_Description</t>
  </si>
  <si>
    <t>auto generated ID for the import batch</t>
  </si>
  <si>
    <t>IB_ID</t>
  </si>
  <si>
    <t>Allow null?</t>
  </si>
  <si>
    <t>FK</t>
  </si>
  <si>
    <t>IBP_ID</t>
  </si>
  <si>
    <t>auto generated ID for the import batch process</t>
  </si>
  <si>
    <t>Foreign key to Import_Batch</t>
  </si>
  <si>
    <t>IBP_Description</t>
  </si>
  <si>
    <t>IBP_Start</t>
  </si>
  <si>
    <t>IBP_End</t>
  </si>
  <si>
    <t>IBP_Status</t>
  </si>
  <si>
    <t>Foreign key to Import_Batch_Process</t>
  </si>
  <si>
    <t>IBPT_Description</t>
  </si>
  <si>
    <t>description of the data flow</t>
  </si>
  <si>
    <t>IBPT_Start</t>
  </si>
  <si>
    <t>IBPT_End</t>
  </si>
  <si>
    <t>IBPT_Status</t>
  </si>
  <si>
    <t>IBPT_Records_In</t>
  </si>
  <si>
    <t>number of records for input to the task</t>
  </si>
  <si>
    <t>IBPT_Records_Failed</t>
  </si>
  <si>
    <t>number of records with errors that could not be loaded</t>
  </si>
  <si>
    <t>IBPT_Records_Out</t>
  </si>
  <si>
    <t>number of records successfully loaded</t>
  </si>
  <si>
    <t>SCD 2</t>
  </si>
  <si>
    <t>Date Records</t>
  </si>
  <si>
    <t>Base Dimension Name:</t>
  </si>
  <si>
    <t>Material</t>
  </si>
  <si>
    <t>Fact table</t>
  </si>
  <si>
    <t>Material Item ID</t>
  </si>
  <si>
    <t>Transaction</t>
  </si>
  <si>
    <t>Material Management</t>
  </si>
  <si>
    <t>Stock Take Fact</t>
  </si>
  <si>
    <t>Name:</t>
  </si>
  <si>
    <t>dimension</t>
  </si>
  <si>
    <t>Material_Item_ID</t>
  </si>
  <si>
    <t>Business Key, source system inventory item id</t>
  </si>
  <si>
    <t>BK</t>
  </si>
  <si>
    <t>Fixed</t>
  </si>
  <si>
    <t>Material_Item_Name</t>
  </si>
  <si>
    <t>*Unknown</t>
  </si>
  <si>
    <t>Material_Category_Item_Type</t>
  </si>
  <si>
    <t>The material category and type of item combined</t>
  </si>
  <si>
    <t>Sheet</t>
  </si>
  <si>
    <t>float</t>
  </si>
  <si>
    <t>Effective_Date</t>
  </si>
  <si>
    <t>Record effective date</t>
  </si>
  <si>
    <t>Housekeeping column</t>
  </si>
  <si>
    <t>Expiration_Date</t>
  </si>
  <si>
    <t>Record expiration date</t>
  </si>
  <si>
    <t>IsCurrent</t>
  </si>
  <si>
    <t>bit</t>
  </si>
  <si>
    <t>latest version, 1 if true, 0 if false</t>
  </si>
  <si>
    <t>Import Batch Process Task ID</t>
  </si>
  <si>
    <t>Import_Action</t>
  </si>
  <si>
    <t>Latest Import Batch action (Insert, Update, Expire)</t>
  </si>
  <si>
    <t>Insert</t>
  </si>
  <si>
    <t>NULL allowed?</t>
  </si>
  <si>
    <t>Stock_Take_Date_Key</t>
  </si>
  <si>
    <t>The day the stock was counted</t>
  </si>
  <si>
    <t>PK1/2</t>
  </si>
  <si>
    <t>No</t>
  </si>
  <si>
    <t>The material item that was counted</t>
  </si>
  <si>
    <t>PK2/2</t>
  </si>
  <si>
    <t>X
Stock Take Date</t>
  </si>
  <si>
    <t>Naming Conventions</t>
  </si>
  <si>
    <t>Instrument Makers stock stake worksheets (Excel)</t>
  </si>
  <si>
    <t>csv file; Encoding: Western (Windows 1252)</t>
  </si>
  <si>
    <t>Material Item descriptive information together with stock take event information. Can have more than one row for each item in the same year.</t>
  </si>
  <si>
    <t>Item ID</t>
  </si>
  <si>
    <t>Item Category</t>
  </si>
  <si>
    <t>Item Detail 1</t>
  </si>
  <si>
    <t>Item Detail 2</t>
  </si>
  <si>
    <t>Item Size</t>
  </si>
  <si>
    <t>Size Unit of Measure</t>
  </si>
  <si>
    <t>Size Note</t>
  </si>
  <si>
    <t>Comment</t>
  </si>
  <si>
    <t>Standard Length (mm)</t>
  </si>
  <si>
    <t>Standard Width or Diameter (mm)</t>
  </si>
  <si>
    <t>Standard Height (mm)</t>
  </si>
  <si>
    <t>Standard Interior Diameter (mm)</t>
  </si>
  <si>
    <t>Standard Thinkness / Wall (mm)</t>
  </si>
  <si>
    <t>Item Length Measured (m)</t>
  </si>
  <si>
    <t>Item Width Measured (m)</t>
  </si>
  <si>
    <t>Full Units Counted</t>
  </si>
  <si>
    <t>Quantity Unit of Measure</t>
  </si>
  <si>
    <t>Quantity Scapped</t>
  </si>
  <si>
    <t>Unit price incl VAT</t>
  </si>
  <si>
    <t>VAT</t>
  </si>
  <si>
    <t>Source Quantity on hand value excl VAT rounded</t>
  </si>
  <si>
    <t>The year for which the stock take was done. It is usually done at the end of the year, to determine how much of each item is on hand</t>
  </si>
  <si>
    <t>The unique source system ID for the stock item.</t>
  </si>
  <si>
    <t>The material the item is made of. Some of these materials are grouped together into material categories. These categories or groups will be specified to the designer.</t>
  </si>
  <si>
    <t>Specifies the type of item.</t>
  </si>
  <si>
    <t>Some items have detail that describes more about the item. This is the first such detail descriptions.</t>
  </si>
  <si>
    <t>Some items have even more detail that describes the item. This is in addition to the first detail description.</t>
  </si>
  <si>
    <t>Describes the dimensions of the item, in 1, 2, or 3 measurements, or it can be a code given to the standard size of the item.</t>
  </si>
  <si>
    <t>The unit of measure for the size measurements. Not all items sizes are described in a unit of measure.</t>
  </si>
  <si>
    <t>Sometimes, there is a note that further describes the size of the item.</t>
  </si>
  <si>
    <t>Any type of text comment the IM wish to add to the item.</t>
  </si>
  <si>
    <t>Some items, like sheets, have a standard length measurement</t>
  </si>
  <si>
    <t>Some items, like sheets have a standard width, and items like rods have a standard diameter.</t>
  </si>
  <si>
    <t>Some items, like and angle iron, have a standard height measurement.</t>
  </si>
  <si>
    <t>Some items, like tubing, have a standard interior diameter.</t>
  </si>
  <si>
    <t>Some items, like sheets, have a standard thickness, and items like tubing have a standard wall thickness.</t>
  </si>
  <si>
    <t>The length on hand, measured in m. Not all items and measured when counted. See Quantity Unit of Measure.</t>
  </si>
  <si>
    <t>The width on hand, measured in m. Not all items and measured when counted. See Quantity Unit of Measure.</t>
  </si>
  <si>
    <t>Some items that have standard sizes, like sheets, are counted here as well if the full unit is on hand. Other items, like some glass items, are not measured at all, and are counted here with a measure of unit "each".</t>
  </si>
  <si>
    <t>The unit of measure for the quantity on hand.</t>
  </si>
  <si>
    <t>The quantity of the item that was scrapped and for which the value will be 0</t>
  </si>
  <si>
    <t>Unit price for the item, per unit of measure, determined at the time of stock take. This value includes VAT</t>
  </si>
  <si>
    <t>The VAT amount applicable at the stock take date. Expressed as a fraction, for example 0.14 or 0.15.</t>
  </si>
  <si>
    <t>This is the value the IM determined with their own calculations. It excludes VAT and is rounded to the nearest sent. The quantity on hand value needs to be calculated from the other metrics. This is just for comparison reasons, and were not always calculated correctly by the IM.</t>
  </si>
  <si>
    <t>Expected Type, length/size, range</t>
  </si>
  <si>
    <t>text, 8</t>
  </si>
  <si>
    <t>text, 20</t>
  </si>
  <si>
    <t>text, 50</t>
  </si>
  <si>
    <t>integer, &gt; 0</t>
  </si>
  <si>
    <t>integer &gt; 1900</t>
  </si>
  <si>
    <t>decimal, max 2 decimals, &gt; 0</t>
  </si>
  <si>
    <t>decimal, max 3 decimals, &gt; 0</t>
  </si>
  <si>
    <t>text, 5,  [mm]</t>
  </si>
  <si>
    <t>text, 5,  [m,m²,each]</t>
  </si>
  <si>
    <t>Are there missing values? Are nulls allowed</t>
  </si>
  <si>
    <t>Other comments</t>
  </si>
  <si>
    <t>No, No</t>
  </si>
  <si>
    <t>Yes, missing values are valid nulls</t>
  </si>
  <si>
    <t>Yes, missing values means no price available</t>
  </si>
  <si>
    <t>TFL00009</t>
  </si>
  <si>
    <t>Teflon</t>
  </si>
  <si>
    <t>16</t>
  </si>
  <si>
    <t>mm</t>
  </si>
  <si>
    <t>m²</t>
  </si>
  <si>
    <t>GLS00123</t>
  </si>
  <si>
    <t>Glass</t>
  </si>
  <si>
    <t>Valve</t>
  </si>
  <si>
    <t>Straight</t>
  </si>
  <si>
    <t>Produran</t>
  </si>
  <si>
    <t>0-4</t>
  </si>
  <si>
    <t>Passage</t>
  </si>
  <si>
    <t>each</t>
  </si>
  <si>
    <t>Each unique raw material item is an entity in this dimension. SCD Type 2.</t>
  </si>
  <si>
    <t>Material_Item_Key</t>
  </si>
  <si>
    <t>Material_Group</t>
  </si>
  <si>
    <t>Type of material group - highest level of the material type hierarchy</t>
  </si>
  <si>
    <t>Material_Type</t>
  </si>
  <si>
    <t>Type of material - groups into Material Group</t>
  </si>
  <si>
    <t>Material_Item_Category</t>
  </si>
  <si>
    <t>The item category describes the type of item and not the material it is made of</t>
  </si>
  <si>
    <t>Material_Item_Detail_1</t>
  </si>
  <si>
    <t>Primary detail description of the item</t>
  </si>
  <si>
    <t>Secondary detail description of the item</t>
  </si>
  <si>
    <t>The dimensions of the item, in 1, 2, or 3 measurements, or a code given to the standard size of the item</t>
  </si>
  <si>
    <t>Material_Item_Size</t>
  </si>
  <si>
    <t>Material_Item_Size_Unit_Of_Measure</t>
  </si>
  <si>
    <t>nvarchar(5)</t>
  </si>
  <si>
    <t>Unit of measure for the size measurements, such mm. Not all items sizes are described in a unit of measure</t>
  </si>
  <si>
    <t>Material_Item_Size_Note</t>
  </si>
  <si>
    <t>Further describes the size of the item (if needed)</t>
  </si>
  <si>
    <t>Annual stock take event information, including all material item details</t>
  </si>
  <si>
    <t>NULL value replacement</t>
  </si>
  <si>
    <t>Example 2</t>
  </si>
  <si>
    <t>Notes</t>
  </si>
  <si>
    <t>Metadata: Import Batch Process Task ID</t>
  </si>
  <si>
    <t>FK key to Import Batch Process Task</t>
  </si>
  <si>
    <t>Folder:</t>
  </si>
  <si>
    <t>Stage1 database</t>
  </si>
  <si>
    <t>DB name:</t>
  </si>
  <si>
    <t>Stage1</t>
  </si>
  <si>
    <t>Table name:</t>
  </si>
  <si>
    <t>S1_&lt;business_process_abreviation&gt;_&lt;table_name&gt;</t>
  </si>
  <si>
    <t>Business process</t>
  </si>
  <si>
    <t>SF_&lt;business_process_abreviation&gt;_&lt;source file name&gt;</t>
  </si>
  <si>
    <t>MM</t>
  </si>
  <si>
    <t>Source File</t>
  </si>
  <si>
    <t>SF_MM_Stock_Take</t>
  </si>
  <si>
    <t>S1_MM_Stock_Take</t>
  </si>
  <si>
    <t>ST_Year</t>
  </si>
  <si>
    <t>ST</t>
  </si>
  <si>
    <t>IM Manual excel files</t>
  </si>
  <si>
    <t>ST_Item_ID</t>
  </si>
  <si>
    <t>ST_Material</t>
  </si>
  <si>
    <t>ST_Item_Category</t>
  </si>
  <si>
    <t>ST_Item_Detail_1</t>
  </si>
  <si>
    <t>ST_Item_Detail_2</t>
  </si>
  <si>
    <t>ST_Item_Size</t>
  </si>
  <si>
    <t>ST_Item_Length_Measured_m</t>
  </si>
  <si>
    <t>ST_Item_Width_Measured_m</t>
  </si>
  <si>
    <t>ST_VAT</t>
  </si>
  <si>
    <t>The year for which the stock take was done</t>
  </si>
  <si>
    <t>Unique source system ID for stock item</t>
  </si>
  <si>
    <t>The material the item is made of</t>
  </si>
  <si>
    <t>Unit of measure for size measurements</t>
  </si>
  <si>
    <t>Error if null</t>
  </si>
  <si>
    <t>*None</t>
  </si>
  <si>
    <t>(keep null facts)</t>
  </si>
  <si>
    <t>Stock Take bubble chart</t>
  </si>
  <si>
    <t>Specifies the type of item</t>
  </si>
  <si>
    <t>First item detail description</t>
  </si>
  <si>
    <t>Second item detail description</t>
  </si>
  <si>
    <t>Describes the item size or dimensions</t>
  </si>
  <si>
    <t>ST_Item_Size_Unit_of_Measure</t>
  </si>
  <si>
    <t>ST_Item_Size_Note</t>
  </si>
  <si>
    <t>Note about the item size</t>
  </si>
  <si>
    <t>ST_Item_Comment</t>
  </si>
  <si>
    <t>Any comment about the item</t>
  </si>
  <si>
    <t>numeric(10,2)</t>
  </si>
  <si>
    <t>Standard item length in mm</t>
  </si>
  <si>
    <t>ST_Item_Standard_Length_mm</t>
  </si>
  <si>
    <t>Standard item width or diameter in mm</t>
  </si>
  <si>
    <t>ST_Item_Standard_Height_mm</t>
  </si>
  <si>
    <t>Standard item height in mm</t>
  </si>
  <si>
    <t>ST_Item_Standard_Interior_Diameter_mm</t>
  </si>
  <si>
    <t>Standard item interior diameter in mm</t>
  </si>
  <si>
    <t>ST_Item_Standard_Thinkness_or_Wall_mm</t>
  </si>
  <si>
    <t>Standard item thinkness or wall in mm</t>
  </si>
  <si>
    <t>numeric(10,3)</t>
  </si>
  <si>
    <t>The length of the item that was measured in meter</t>
  </si>
  <si>
    <t>May have to convert to mm later</t>
  </si>
  <si>
    <t>The width of the item that was measured in meter</t>
  </si>
  <si>
    <t>ST_Item_Full_Units_Counted</t>
  </si>
  <si>
    <t>Full number of units counted</t>
  </si>
  <si>
    <t>ST_Item_Quantity_Unit_of_Measure</t>
  </si>
  <si>
    <t>The unit of measure for expressing the quantity of the item</t>
  </si>
  <si>
    <t>Quantity of the item that was scrapped after counting</t>
  </si>
  <si>
    <t>ST_Item_Unit_Price_incl_VAT</t>
  </si>
  <si>
    <t>Unit price per unit quantity unit of measure, including VAT</t>
  </si>
  <si>
    <t>Value added tax applicable on the date of stock take</t>
  </si>
  <si>
    <t>ST_Item_Source_Quantity_on_Hand_Value_excl_VAT</t>
  </si>
  <si>
    <t>IM determined value of the quantity on hand, excluding VAT.</t>
  </si>
  <si>
    <t>0.14 before 2019, and 0.15 from 2019</t>
  </si>
  <si>
    <t>NULL</t>
  </si>
  <si>
    <t>MST00070</t>
  </si>
  <si>
    <t>Mild steel</t>
  </si>
  <si>
    <t>Galvinised</t>
  </si>
  <si>
    <t>GLS00122</t>
  </si>
  <si>
    <t>90°</t>
  </si>
  <si>
    <t>Material_Item_Detail_2</t>
  </si>
  <si>
    <t>Full description of the material item</t>
  </si>
  <si>
    <t>Concatenate Material_Type, Item_Category, Detail_1, Detail_2, Item_Size, Item unit of measure, size note</t>
  </si>
  <si>
    <t>nvarchar(150)</t>
  </si>
  <si>
    <t>Concatenate Material_Type, Item_Category</t>
  </si>
  <si>
    <t>Material_Item_Standard_Length_mm</t>
  </si>
  <si>
    <t>Material_Item_Standard_Width_or_Diameter_mm</t>
  </si>
  <si>
    <t>Material_Item_Standard_Height_mm</t>
  </si>
  <si>
    <t>ST_Item_Standard_Width_or_Diameter_mm</t>
  </si>
  <si>
    <t>ST_Item_Quantity_Scrapped</t>
  </si>
  <si>
    <t>Material_Item_Standard_Interior_Diameter_mm</t>
  </si>
  <si>
    <t>Material_Item_Standard_Thinkness_or_Wall_mm</t>
  </si>
  <si>
    <t>Material_Item_Quantity_Unit_of_Measure</t>
  </si>
  <si>
    <t>Usually annual, but we keep it as a date here for flexibility if the period should change</t>
  </si>
  <si>
    <t>Yes</t>
  </si>
  <si>
    <t>If null, then no length was measured</t>
  </si>
  <si>
    <t>If null, then no width was measured</t>
  </si>
  <si>
    <t>If null, then no full units were counted</t>
  </si>
  <si>
    <t>If null, then nothing was scrapped</t>
  </si>
  <si>
    <t>If null, then no unit price was available or captured</t>
  </si>
  <si>
    <t>VAT_Percentage</t>
  </si>
  <si>
    <t>If no value is specified, it is 0.14 before 2018 and 0.15 from 2019 onwards</t>
  </si>
  <si>
    <t>If no value was specified in the source, this will be 0</t>
  </si>
  <si>
    <t>Material_Quantity_Counted</t>
  </si>
  <si>
    <t>Derived fact - the quantity that was counted expressed in the material item quantity unit of measure</t>
  </si>
  <si>
    <t>If unit of measure is m, then length that was measured,
Else, If unit of measure is each, then full units counted,
Else, If unit of measure is square meter, then (length measured x width measured + (full units counted x ((standard length/1000) * (standard width/1000)))),
Else 0</t>
  </si>
  <si>
    <t>Material_Quantity_on_Hand</t>
  </si>
  <si>
    <t>Derived fact - the quantity on hand, measured in the material item quantity unit of measure</t>
  </si>
  <si>
    <t>Material_Length_Measured_m</t>
  </si>
  <si>
    <t>Material_Width_Measured_m</t>
  </si>
  <si>
    <t>Material_Full_Units_Counted</t>
  </si>
  <si>
    <t>Material_Quantity_Scrapped</t>
  </si>
  <si>
    <t>Material_Unit_Price_incl_VAT</t>
  </si>
  <si>
    <t>Material_Source_Quantity_on_Hand_Value_excl_VAT</t>
  </si>
  <si>
    <t>Material_Quantity_Counted - Material_Quantity_Scrapped</t>
  </si>
  <si>
    <t>Material_Unit_Price_excl_VAT</t>
  </si>
  <si>
    <t>Derived fact - unit price excluding VAT</t>
  </si>
  <si>
    <t>Material_Value_on_Hand_excl_VAT</t>
  </si>
  <si>
    <t>Derived fact - the value of the material on hand, excluding VAT</t>
  </si>
  <si>
    <t>Material_Quantity_on_Hand x Material_Unit_Price_excl_VAT</t>
  </si>
  <si>
    <t>Material_Value_Scrapped_excl_VAT</t>
  </si>
  <si>
    <t>Derived fact - the value of the material that was scrapped</t>
  </si>
  <si>
    <t>Material_Quantity_Scrapped x Material_Unit_Price_excl_VAT</t>
  </si>
  <si>
    <t>Non-additive facts to be calculated in cube/ on demand</t>
  </si>
  <si>
    <t>Material_Percentage_Scrapped</t>
  </si>
  <si>
    <t>Derived, non-additive fact - the percentage of the material that was scrapped</t>
  </si>
  <si>
    <t>SUM(Material_Quantity_Scrapped) / SUM(Material_Quantity_Counted)</t>
  </si>
  <si>
    <t>A static lookup table with the material type and material group</t>
  </si>
  <si>
    <t>Aluminium</t>
  </si>
  <si>
    <t>Brass</t>
  </si>
  <si>
    <t>Copper</t>
  </si>
  <si>
    <t>Ertalon</t>
  </si>
  <si>
    <t>Ertalyte</t>
  </si>
  <si>
    <t>Vescolene</t>
  </si>
  <si>
    <t>Vesconite</t>
  </si>
  <si>
    <t>Vesconylon</t>
  </si>
  <si>
    <t>Perspex</t>
  </si>
  <si>
    <t>Polycarbonate</t>
  </si>
  <si>
    <t>Polyethylene</t>
  </si>
  <si>
    <t>Nylatron</t>
  </si>
  <si>
    <t>Polypropylene</t>
  </si>
  <si>
    <t>PVC</t>
  </si>
  <si>
    <t>Stainless steel</t>
  </si>
  <si>
    <t>Tufnol</t>
  </si>
  <si>
    <t>Ertalon/Vescolene</t>
  </si>
  <si>
    <t>Tufnol/Teflon</t>
  </si>
  <si>
    <t>Material_Current_Group</t>
  </si>
  <si>
    <t>Material_Item_Current_Name</t>
  </si>
  <si>
    <t>Stock_Take_Indicators</t>
  </si>
  <si>
    <t>Junk</t>
  </si>
  <si>
    <t>Indicators combination</t>
  </si>
  <si>
    <t>MST00022</t>
  </si>
  <si>
    <t>Mild steel Bar Flat - 30 x 5 mm</t>
  </si>
  <si>
    <t>Mild steel Bar</t>
  </si>
  <si>
    <t>Bar</t>
  </si>
  <si>
    <t>Flat</t>
  </si>
  <si>
    <t>30 x 5</t>
  </si>
  <si>
    <t>m</t>
  </si>
  <si>
    <t>A junk dimension that includes various indicators for the stock take events</t>
  </si>
  <si>
    <t>Stock_Take_Indicators_Key</t>
  </si>
  <si>
    <t>Business Key, year of stock take</t>
  </si>
  <si>
    <t>Stock_Take_Comment</t>
  </si>
  <si>
    <t>Note</t>
  </si>
  <si>
    <t>A unique record ID created in ETL process</t>
  </si>
  <si>
    <t>ST_Transaction_ID</t>
  </si>
  <si>
    <t>Many transactions for the same year and material item ID can exist - there is no source transaction ID, so a supernatural transaction number is created in the Stage 1 ETL process</t>
  </si>
  <si>
    <t>Stock_Take_Transaction_ID</t>
  </si>
  <si>
    <t>Business Key</t>
  </si>
  <si>
    <t>Supernatural Business Key</t>
  </si>
  <si>
    <t>source system inventory item id</t>
  </si>
  <si>
    <t>Comment entered for the stock take event</t>
  </si>
  <si>
    <t>Length_Measured_Indicator</t>
  </si>
  <si>
    <t>Indicates of there was a length measure or not. 'Length measured' or 'No length measured'</t>
  </si>
  <si>
    <t>Length of the item measured in m</t>
  </si>
  <si>
    <t>Width of the item measured in m</t>
  </si>
  <si>
    <t>Derived in ETL process. If Length measured is null then'No length measured' else 'Length measured'.</t>
  </si>
  <si>
    <t>Width_Measured_Indicator</t>
  </si>
  <si>
    <t>Indicates of there was a width measure or not. 'Width measured' or 'No width measured'</t>
  </si>
  <si>
    <t>Derived in ETL process. If width measured is null then'No width measured' else 'Width measured'.</t>
  </si>
  <si>
    <t>Indicates of there was any full units counted or not. 'Full units counted' or 'No full units counted'</t>
  </si>
  <si>
    <t>Derived in ETL process. If Full_Units_Counted is null then'No full units counted' else 'Full units counted'.</t>
  </si>
  <si>
    <t>Material_Scrapped_Indicator</t>
  </si>
  <si>
    <t>Indicates of there was any material scrapped. 'Material scrapped' or 'No material scrapped'</t>
  </si>
  <si>
    <t>Derived in ETL process. If Quantity_Scrapped is null then'No material scrapped' else 'Material Scrapped'.</t>
  </si>
  <si>
    <t>Unit_Price_Available_Indicator</t>
  </si>
  <si>
    <t>Indicates of there was a unit price available. 'Unit price available' or 'No unit price available'</t>
  </si>
  <si>
    <t>Derived in ETL process. If Unit_Price_incl_VAT is null then'No unit price available' else 'Unit price available'.</t>
  </si>
  <si>
    <t>Text string for VAT amount, for example "14%" or "15%"</t>
  </si>
  <si>
    <t>Derived in the ETL process</t>
  </si>
  <si>
    <t>Full_Units_Counted_Indicator</t>
  </si>
  <si>
    <t>The year the stock take took place</t>
  </si>
  <si>
    <t>BK1/7</t>
  </si>
  <si>
    <t>BK2/7</t>
  </si>
  <si>
    <t>BK3/7</t>
  </si>
  <si>
    <t>BK4/7</t>
  </si>
  <si>
    <t>BK5/7</t>
  </si>
  <si>
    <t>BK6/7</t>
  </si>
  <si>
    <t>BK7/7</t>
  </si>
  <si>
    <t>Various indicators for the stock take event</t>
  </si>
  <si>
    <t>Supernatural key for the event occurance</t>
  </si>
  <si>
    <t>Stock_Take_Indictors</t>
  </si>
  <si>
    <t>VAT_Decimal</t>
  </si>
  <si>
    <t>If null, then no unit price was available or captured,
Calculated as ( Material_Unit_Price_incl_VAT / (100 + VAT_Decimal x 100) ) x 100</t>
  </si>
  <si>
    <t>One row for each Stock Take event - transaction id will be unique</t>
  </si>
  <si>
    <t>Unit price, per quantity unit of measure, including VAT - non-additive</t>
  </si>
  <si>
    <t>SF_MM_Stock_Take.csv</t>
  </si>
  <si>
    <t>\SourceFiles\YYYYM(M)</t>
  </si>
  <si>
    <t>Views name:</t>
  </si>
  <si>
    <t>The only transformations that will occur during this first import step, is to replace some missing or NULL values with default values.</t>
  </si>
  <si>
    <t>Each batch represents a set of data for a specific Year and Month</t>
  </si>
  <si>
    <t>Source</t>
  </si>
  <si>
    <t>Batch year</t>
  </si>
  <si>
    <t>Batch month</t>
  </si>
  <si>
    <t>NULL Allowed?</t>
  </si>
  <si>
    <t>Process Metadata Tables and Views</t>
  </si>
  <si>
    <t>V_IB_Latest</t>
  </si>
  <si>
    <t>SELECT        IB_Year, IB_Month, MAX(IB_ID) AS Latest_IB_ID, EOMONTH(DATEFROMPARTS(IB_Year, IB_Month, 1)) AS Last_Day_Of_Month
FROM            dbo.Import_Batch
GROUP BY IB_Year, IB_Month, EOMONTH(DATEFROMPARTS(IB_Year, IB_Month, 1))</t>
  </si>
  <si>
    <t>Process Metadata Views</t>
  </si>
  <si>
    <t>Lists the latest IB_ID for each IB_Year and IB_Month</t>
  </si>
  <si>
    <t>Source tables</t>
  </si>
  <si>
    <t>S1_V_&lt;business_process_abreviation&gt;_&lt;element name&gt;</t>
  </si>
  <si>
    <t>S1_V_MM_Material</t>
  </si>
  <si>
    <t>S1_V_MM_Stock_Take</t>
  </si>
  <si>
    <t>(data tables only)</t>
  </si>
  <si>
    <t>Stage2</t>
  </si>
  <si>
    <t>Stage2 database</t>
  </si>
  <si>
    <t xml:space="preserve">Stage2 is an ETL staging database that stores dimension and fact table data in preparation for loading. </t>
  </si>
  <si>
    <t>When loading data into Stage2, duplicates are removed, referential integrity is checked, and lookup tables are used to conform data</t>
  </si>
  <si>
    <t>Additional standard descriptions and or hierarchies/groupings are stored in this databases and imported information are linked to them</t>
  </si>
  <si>
    <t>S1_Import_MM
...</t>
  </si>
  <si>
    <t>S1_Import_MM_Stock_Take
...</t>
  </si>
  <si>
    <t>List of SSIS Package names</t>
  </si>
  <si>
    <t>S2_&lt;business_process_abreviation&gt;_&lt;table_name&gt;</t>
  </si>
  <si>
    <t>S2_V_&lt;business_process_abreviation&gt;_&lt;element name&gt;</t>
  </si>
  <si>
    <t>Data Views</t>
  </si>
  <si>
    <t>The material type as captured in the materials systems</t>
  </si>
  <si>
    <t>The custom material grouping</t>
  </si>
  <si>
    <t>Custom hierarchy - Static</t>
  </si>
  <si>
    <t>MG_Material_Type</t>
  </si>
  <si>
    <t>MG_Material_Group</t>
  </si>
  <si>
    <t>MG</t>
  </si>
  <si>
    <t>S2_MM_Material_Group_Lookup</t>
  </si>
  <si>
    <t>S2_MM_Material</t>
  </si>
  <si>
    <t>Null Allowed?</t>
  </si>
  <si>
    <t>Contains all descriptive attributes of materials</t>
  </si>
  <si>
    <t>Table</t>
  </si>
  <si>
    <t>MM_Material_Group.csv</t>
  </si>
  <si>
    <t>M</t>
  </si>
  <si>
    <t>M_Year</t>
  </si>
  <si>
    <t>M_Material_Item_ID</t>
  </si>
  <si>
    <t>M_Material_Group</t>
  </si>
  <si>
    <t>M_Material_Type</t>
  </si>
  <si>
    <t>M_Material_Item_Category</t>
  </si>
  <si>
    <t>M_Material_Item_Detail_1</t>
  </si>
  <si>
    <t>M_Material_Item_Detail_2</t>
  </si>
  <si>
    <t>M_Material_Item_Size</t>
  </si>
  <si>
    <t>M_Material_Item_Size_Unit_Of_Measure</t>
  </si>
  <si>
    <t>M_Material_Item_Size_Note</t>
  </si>
  <si>
    <t>M_Material_Item_Standard_Length_mm</t>
  </si>
  <si>
    <t>M_Material_Item_Standard_Width_or_Diameter_mm</t>
  </si>
  <si>
    <t>M_Material_Item_Standard_Height_mm</t>
  </si>
  <si>
    <t>M_Material_Item_Standard_Interior_Diameter_mm</t>
  </si>
  <si>
    <t>M_Material_Item_Standard_Thinkness_or_Wall_mm</t>
  </si>
  <si>
    <t>M_Material_Item_Quantity_Unit_of_Measure</t>
  </si>
  <si>
    <t>S2_MM_Stock_Take</t>
  </si>
  <si>
    <t>Contains all the measurement information for the stock take events</t>
  </si>
  <si>
    <t>ST_Material_Item_ID</t>
  </si>
  <si>
    <t>ST_Stock_Take_Comment</t>
  </si>
  <si>
    <t>ST_Length_Measured_m</t>
  </si>
  <si>
    <t>ST_Length_Measured_Indicator</t>
  </si>
  <si>
    <t>ST_Width_Measured_m</t>
  </si>
  <si>
    <t>ST_Width_Measured_Indicator</t>
  </si>
  <si>
    <t>ST_Full_Units_Counted</t>
  </si>
  <si>
    <t>ST_Full_Units_Counted_Indicator</t>
  </si>
  <si>
    <t>ST_Quantity_Scrapped</t>
  </si>
  <si>
    <t>ST_Material_Scrapped_Indicator</t>
  </si>
  <si>
    <t>ST_Unit_Price_incl_VAT</t>
  </si>
  <si>
    <t>ST_Unit_Price_Available_Indicator</t>
  </si>
  <si>
    <t>ST_VAT_Percentage</t>
  </si>
  <si>
    <t>ST_Source_Quantity_on_Hand_Value_excl_VAT</t>
  </si>
  <si>
    <t>S2_V_MM_Stock_Take_Indicators</t>
  </si>
  <si>
    <t xml:space="preserve">Selects all the stock take indicator fields </t>
  </si>
  <si>
    <t>Selects the material attributes (dimension data) and performs group by. Only th latest import batch's data is selected</t>
  </si>
  <si>
    <t>Selects the natural keys and measurements (fact data). Only th latest import batch's data is selected</t>
  </si>
  <si>
    <t>ALM00004</t>
  </si>
  <si>
    <t>Angle iron</t>
  </si>
  <si>
    <t>25 x 25 x 2.2</t>
  </si>
  <si>
    <t>PSP00011</t>
  </si>
  <si>
    <t>Tinted</t>
  </si>
  <si>
    <t>ST_VAT_Decimal</t>
  </si>
  <si>
    <t>ST2018102</t>
  </si>
  <si>
    <t>MST00053</t>
  </si>
  <si>
    <t>Length measured</t>
  </si>
  <si>
    <t>No width measured</t>
  </si>
  <si>
    <t>No full units counted</t>
  </si>
  <si>
    <t>No material scrapped</t>
  </si>
  <si>
    <t>Unit price available</t>
  </si>
  <si>
    <t>ST2018496</t>
  </si>
  <si>
    <t>GLS00052</t>
  </si>
  <si>
    <t>No Size units and measurement available</t>
  </si>
  <si>
    <t>No length measured</t>
  </si>
  <si>
    <t>Full units counted</t>
  </si>
  <si>
    <t>Stock Take Indicators</t>
  </si>
  <si>
    <t>AtomicDW</t>
  </si>
  <si>
    <t>AtomicDW is the relational data store for the all the dimension tables and fact tables</t>
  </si>
  <si>
    <t>It also includes views that may be required for OLAP cubes and other BI tools</t>
  </si>
  <si>
    <t>Each batch represents a set of data for a specific Year and month</t>
  </si>
  <si>
    <t>S2_Import</t>
  </si>
  <si>
    <t>S2_Import_MM
...</t>
  </si>
  <si>
    <t>S2_Import_MM_Material
S2_Import_MM_Stock_Take
...</t>
  </si>
  <si>
    <t>DW_Import</t>
  </si>
  <si>
    <t>DW_Import_MM
...</t>
  </si>
  <si>
    <t>Static Date dimension</t>
  </si>
  <si>
    <t>Custom created Date records</t>
  </si>
  <si>
    <t>Material dimension</t>
  </si>
  <si>
    <t>Example</t>
  </si>
  <si>
    <t>Stock Take Indicators junk dimension</t>
  </si>
  <si>
    <t>Stock_Take_Fact</t>
  </si>
  <si>
    <t>Transactopns fact table to capture stock take event measures</t>
  </si>
  <si>
    <t>No standard length and width available</t>
  </si>
  <si>
    <t>Width measured</t>
  </si>
  <si>
    <t>Latest Import Batch action (Insert)</t>
  </si>
  <si>
    <t>FK to Import_Batch_Process_Task</t>
  </si>
  <si>
    <t>V_Min_Year_Key_Per_Year</t>
  </si>
  <si>
    <t>Lists the smallest Year_Key for each Year in the Date Dimension</t>
  </si>
  <si>
    <t>Error Files</t>
  </si>
  <si>
    <t>\ErrorFiles\</t>
  </si>
  <si>
    <t>&lt;Package name&gt;_&lt;import batch&gt;_Errors.csv</t>
  </si>
  <si>
    <t>DB Backup files</t>
  </si>
  <si>
    <t>\DBBackup\</t>
  </si>
  <si>
    <t>(system generated)</t>
  </si>
  <si>
    <t>Dimension Table name:</t>
  </si>
  <si>
    <t>&lt;Dimension name&gt;</t>
  </si>
  <si>
    <t>Fact Table name:</t>
  </si>
  <si>
    <t>&lt;Fact table name&gt;_Fact</t>
  </si>
  <si>
    <t>V_&lt;View name&gt;</t>
  </si>
  <si>
    <t>SSIS Packages</t>
  </si>
  <si>
    <t>Material management:</t>
  </si>
  <si>
    <t>Overall batch import:</t>
  </si>
  <si>
    <t>Batch_Import</t>
  </si>
  <si>
    <t>Import into a database:</t>
  </si>
  <si>
    <t>&lt;database abbreviation&gt;_Import</t>
  </si>
  <si>
    <t>Abbreviation:</t>
  </si>
  <si>
    <t>S1</t>
  </si>
  <si>
    <t>S2</t>
  </si>
  <si>
    <t>DW</t>
  </si>
  <si>
    <t>Import a business process:</t>
  </si>
  <si>
    <t>&lt;database abbreviation&gt;_Import_&lt;business process abbreviation&gt;</t>
  </si>
  <si>
    <t>Import a target table:</t>
  </si>
  <si>
    <t>&lt;database abbreviation&gt;_Import_&lt;business process abbreviation&gt;_&lt;target table name&gt;</t>
  </si>
  <si>
    <t>Data warehouse</t>
  </si>
  <si>
    <t>(relational)</t>
  </si>
  <si>
    <t>Process metadata</t>
  </si>
  <si>
    <t>auto generated ID for the import batch process task</t>
  </si>
  <si>
    <t>Relates to one batch of data for a specific year and month</t>
  </si>
  <si>
    <t>Relates to importing data for a specific business process</t>
  </si>
  <si>
    <t>Relates to importing data for specific target table</t>
  </si>
  <si>
    <t>IBPT_Dim_Historical</t>
  </si>
  <si>
    <t>number of historical (type 2) records inserted - only in data warehouse</t>
  </si>
  <si>
    <t>IBPT_Dim_Changing</t>
  </si>
  <si>
    <t>number of changing (type 1) records updated - only in data warehouse</t>
  </si>
  <si>
    <t>IBPT_Dim_New</t>
  </si>
  <si>
    <t>IBPT_Dim_Unchanged</t>
  </si>
  <si>
    <t>number of new dimension records inserted - only in data warehouse</t>
  </si>
  <si>
    <t>number of unchanged dimension records - only in data warehouse</t>
  </si>
  <si>
    <t>DW_Import_MM_Material
DW_Import_MM_Stock_Take_Indicators
DW_Import_MM_Stock_Take_Fact
...</t>
  </si>
  <si>
    <t>IBPT_Dim_Fixed_Errors</t>
  </si>
  <si>
    <t>number of dimension records that have changes in fields specified as Fixed (not suppose to change) - only in data warehouse</t>
  </si>
  <si>
    <t>One row for each Stock Take event</t>
  </si>
  <si>
    <t>SF_PW_Customer</t>
  </si>
  <si>
    <t>S1_PW_Customer</t>
  </si>
  <si>
    <t>Project Work:</t>
  </si>
  <si>
    <t>PW</t>
  </si>
  <si>
    <t>Are there missing values?</t>
  </si>
  <si>
    <t>Nulls expected?</t>
  </si>
  <si>
    <t>Customer_ID</t>
  </si>
  <si>
    <t>Department_ID</t>
  </si>
  <si>
    <t>Customer_Name</t>
  </si>
  <si>
    <t>Contact_Person</t>
  </si>
  <si>
    <t>Address_Line_1</t>
  </si>
  <si>
    <t>Address_Line_2</t>
  </si>
  <si>
    <t>City_Town</t>
  </si>
  <si>
    <t>Postal_Code</t>
  </si>
  <si>
    <t>C00001-10-1</t>
  </si>
  <si>
    <t>C00001-10</t>
  </si>
  <si>
    <t>C00001-1-1</t>
  </si>
  <si>
    <t>C00001-1</t>
  </si>
  <si>
    <t>Rodney Medupe</t>
  </si>
  <si>
    <t>C00001-11</t>
  </si>
  <si>
    <t>Curativo</t>
  </si>
  <si>
    <t>Zander van Pletzen</t>
  </si>
  <si>
    <t>PO Box 19734</t>
  </si>
  <si>
    <t>Nelspruit</t>
  </si>
  <si>
    <t>Field name</t>
  </si>
  <si>
    <t>text,20</t>
  </si>
  <si>
    <t>text,100</t>
  </si>
  <si>
    <t>text,50</t>
  </si>
  <si>
    <t>text,4</t>
  </si>
  <si>
    <t>Internal (NWU) and External or Private customers</t>
  </si>
  <si>
    <t>C</t>
  </si>
  <si>
    <t>C_Customer_ID</t>
  </si>
  <si>
    <t>C_Department_ID</t>
  </si>
  <si>
    <t>C_Customer_Name</t>
  </si>
  <si>
    <t>C_Contact_Person</t>
  </si>
  <si>
    <t>C_Address_Line_1</t>
  </si>
  <si>
    <t>C_Address_Line_2</t>
  </si>
  <si>
    <t>C_City_Town</t>
  </si>
  <si>
    <t>C_Postal_Code</t>
  </si>
  <si>
    <t>nvarchar(100)</t>
  </si>
  <si>
    <t>nvarchar(4)</t>
  </si>
  <si>
    <t>-</t>
  </si>
  <si>
    <t>*Unknown Customer</t>
  </si>
  <si>
    <t>*Unknown Contact Person</t>
  </si>
  <si>
    <t>*Unknown Address Line 1</t>
  </si>
  <si>
    <t>*Unknown Address Line 2</t>
  </si>
  <si>
    <t>*Unknown City or Town</t>
  </si>
  <si>
    <t>****</t>
  </si>
  <si>
    <t>C-ED0001-EP</t>
  </si>
  <si>
    <t>*No Address Line 2</t>
  </si>
  <si>
    <t>Error if null: do not insert record, write out error</t>
  </si>
  <si>
    <t>If Address_Line_1 is null then *Unknown Address Line 2 else *No Address Line 2</t>
  </si>
  <si>
    <t>FK key to import Batch Process Task</t>
  </si>
  <si>
    <t>S1_PW_Customer_Department</t>
  </si>
  <si>
    <t>Department_Name</t>
  </si>
  <si>
    <t>Customer_Group_ID</t>
  </si>
  <si>
    <t>text,60</t>
  </si>
  <si>
    <t>text,10</t>
  </si>
  <si>
    <t>Department of Physics</t>
  </si>
  <si>
    <t>C00001</t>
  </si>
  <si>
    <t>C-E0001-EP</t>
  </si>
  <si>
    <t>External Department or Private Customer</t>
  </si>
  <si>
    <t>C-E0001</t>
  </si>
  <si>
    <t>D_Department_ID</t>
  </si>
  <si>
    <t>D_Department_Name</t>
  </si>
  <si>
    <t>D_Customer_Group_ID</t>
  </si>
  <si>
    <t>nvarchar(60)</t>
  </si>
  <si>
    <t>*Unknown Department Name</t>
  </si>
  <si>
    <t>S1_PW_Customer_Department_Group</t>
  </si>
  <si>
    <t>Customer_Group_Name</t>
  </si>
  <si>
    <t>Internal_Or_External</t>
  </si>
  <si>
    <t>Natuurwetenskappe</t>
  </si>
  <si>
    <t>Internal</t>
  </si>
  <si>
    <t>External and Private Customers</t>
  </si>
  <si>
    <t>External</t>
  </si>
  <si>
    <t>G_Customer_Group_ID</t>
  </si>
  <si>
    <t>G_Customer_Group_Name</t>
  </si>
  <si>
    <t>G_Internal_Or_External</t>
  </si>
  <si>
    <t>S1_PW_Employees</t>
  </si>
  <si>
    <t>S1_PW_Employee_Timesheet</t>
  </si>
  <si>
    <t>SF_PW_Customer_Department</t>
  </si>
  <si>
    <t>SF_PW_Customer_Department_Group</t>
  </si>
  <si>
    <t>SF_PW_Employees</t>
  </si>
  <si>
    <t>SF_PW_Employee_Timesheet</t>
  </si>
  <si>
    <t xml:space="preserve"> Are nulls allowed?</t>
  </si>
  <si>
    <t>Employee_ID</t>
  </si>
  <si>
    <t>E2</t>
  </si>
  <si>
    <t>E5</t>
  </si>
  <si>
    <t>Employee_Name</t>
  </si>
  <si>
    <t>Admin</t>
  </si>
  <si>
    <t>Trevor</t>
  </si>
  <si>
    <t>Employee_Surname</t>
  </si>
  <si>
    <t>Van Niekerk</t>
  </si>
  <si>
    <t>E_Year</t>
  </si>
  <si>
    <t>E_Week_of_Year</t>
  </si>
  <si>
    <t>E_Week_End_Date</t>
  </si>
  <si>
    <t>E_Project_ID</t>
  </si>
  <si>
    <t>text, 7</t>
  </si>
  <si>
    <t>P180107</t>
  </si>
  <si>
    <t>P180010</t>
  </si>
  <si>
    <t>E_Employee</t>
  </si>
  <si>
    <t>T. Taljaard</t>
  </si>
  <si>
    <t>A. John</t>
  </si>
  <si>
    <t>E_Hours</t>
  </si>
  <si>
    <t>decimal(4,4)</t>
  </si>
  <si>
    <t>NULL VALUE Replacement</t>
  </si>
  <si>
    <t>Error if null: do not insert, write our error</t>
  </si>
  <si>
    <t>nvarchar(7)</t>
  </si>
  <si>
    <t>*Unknown Project ID</t>
  </si>
  <si>
    <t>*Unknown Employee</t>
  </si>
  <si>
    <t>IPBT_ID</t>
  </si>
  <si>
    <t>Metadata:</t>
  </si>
  <si>
    <t>FK Key to Import Batch Process Task</t>
  </si>
  <si>
    <t>*Unknown Employee Name</t>
  </si>
  <si>
    <t>*Unknown Employee Surname</t>
  </si>
  <si>
    <t>If Employee_Name is null then *Unknown Employee Surname else *No Employee Surname</t>
  </si>
  <si>
    <t>index</t>
  </si>
  <si>
    <t>Expteced Type, Length/size, range</t>
  </si>
  <si>
    <t>Nulls Expected?</t>
  </si>
  <si>
    <t>Project_ID</t>
  </si>
  <si>
    <t>yes</t>
  </si>
  <si>
    <t>no</t>
  </si>
  <si>
    <t>P180001</t>
  </si>
  <si>
    <t>P180005</t>
  </si>
  <si>
    <t>Request_Date</t>
  </si>
  <si>
    <t>Project_Category</t>
  </si>
  <si>
    <t>Equipment</t>
  </si>
  <si>
    <t>Glass blowing</t>
  </si>
  <si>
    <t>Project_Description</t>
  </si>
  <si>
    <t>text, 200</t>
  </si>
  <si>
    <t>Status</t>
  </si>
  <si>
    <t>Labour_Costs</t>
  </si>
  <si>
    <t>decimal, max 4 decimals, &gt; 0</t>
  </si>
  <si>
    <t>Material_Costs</t>
  </si>
  <si>
    <t>Handling_Fee</t>
  </si>
  <si>
    <t>Service_Billing_Number</t>
  </si>
  <si>
    <t>C00001-5-1</t>
  </si>
  <si>
    <t>Vervaardig en installeer 3 x lugpype vir Open Top Chambers</t>
  </si>
  <si>
    <t>C00003-1-1</t>
  </si>
  <si>
    <t>Vervaardig 1 x rondebol-fles met aansluitings</t>
  </si>
  <si>
    <t>Null value replacement</t>
  </si>
  <si>
    <t>IP_Project_ID</t>
  </si>
  <si>
    <t>IP_Request_Date</t>
  </si>
  <si>
    <t>IP_Customer_ID</t>
  </si>
  <si>
    <t>IP_Project_Category</t>
  </si>
  <si>
    <t>*Unknown Project Category</t>
  </si>
  <si>
    <t>IP_Project_Description</t>
  </si>
  <si>
    <t>nvarchar(200)</t>
  </si>
  <si>
    <t>*Unknown Project Description</t>
  </si>
  <si>
    <t>IP_Status</t>
  </si>
  <si>
    <t>*Unknown Status</t>
  </si>
  <si>
    <t>IP_Labour_Costs</t>
  </si>
  <si>
    <t>decimal(38,4)</t>
  </si>
  <si>
    <t>IP_Material_Costs</t>
  </si>
  <si>
    <t>IP_Handling_Fee</t>
  </si>
  <si>
    <t>IP_Service_Billing_Number</t>
  </si>
  <si>
    <t>*Unknown Service Billing Number</t>
  </si>
  <si>
    <t>S1_PW_Internal_Projects</t>
  </si>
  <si>
    <t>SF_PW_Internal_Projects</t>
  </si>
  <si>
    <t>Customer.csv</t>
  </si>
  <si>
    <t>Employees.csv</t>
  </si>
  <si>
    <t>Customer_Department.csv</t>
  </si>
  <si>
    <t>Customer_Department_Group.csv</t>
  </si>
  <si>
    <t>Employee_Timesheet.csv</t>
  </si>
  <si>
    <t>Internal_Projects.csv</t>
  </si>
  <si>
    <t>Instrument Makers customer information worksheets (Excel)</t>
  </si>
  <si>
    <t>Instrument Makers employees information worksheets (Excel)</t>
  </si>
  <si>
    <t>Instrument Makers customer department information worksheets (Excel)</t>
  </si>
  <si>
    <t>Instrument Makers employee timesheet information worksheets (Excel)</t>
  </si>
  <si>
    <t>Instrument Makers customer department group information worksheets (Excel)</t>
  </si>
  <si>
    <t>Instrument Makers internal projects worksheets (Excel)</t>
  </si>
  <si>
    <t xml:space="preserve">Customer information. </t>
  </si>
  <si>
    <t>Customer department information</t>
  </si>
  <si>
    <t>Customer department group information</t>
  </si>
  <si>
    <t>Employees information</t>
  </si>
  <si>
    <t>Employee timesheet information</t>
  </si>
  <si>
    <t>Internal projects</t>
  </si>
  <si>
    <t>Department of internal and external or private customers</t>
  </si>
  <si>
    <t>D</t>
  </si>
  <si>
    <t>G</t>
  </si>
  <si>
    <t>E</t>
  </si>
  <si>
    <t>IP</t>
  </si>
  <si>
    <t>Department group of internal and external or private customers</t>
  </si>
  <si>
    <t xml:space="preserve">Employee information </t>
  </si>
  <si>
    <t>Employee timesheet</t>
  </si>
  <si>
    <t>Internal project information</t>
  </si>
  <si>
    <t>Employee</t>
  </si>
  <si>
    <t>Customer</t>
  </si>
  <si>
    <t>Static or Roleplaying</t>
  </si>
  <si>
    <t>Project</t>
  </si>
  <si>
    <t>SCD2</t>
  </si>
  <si>
    <t>Status Description</t>
  </si>
  <si>
    <t>Employee
TimeSheet</t>
  </si>
  <si>
    <t>Project
Management</t>
  </si>
  <si>
    <t>Employee_TimeSheet_Fact</t>
  </si>
  <si>
    <t>Periodic Snapshot</t>
  </si>
  <si>
    <t>One row for each project that have been worked on during that year</t>
  </si>
  <si>
    <t>X
Week_End_Date</t>
  </si>
  <si>
    <t>Employee TimeSheet Bubble Chart</t>
  </si>
  <si>
    <t>Project Management Bubble Chart</t>
  </si>
  <si>
    <t>Project_Status</t>
  </si>
  <si>
    <t>The day the report was generated</t>
  </si>
  <si>
    <t>The date a project was requested</t>
  </si>
  <si>
    <t>Project_Key</t>
  </si>
  <si>
    <t>One row for every year end</t>
  </si>
  <si>
    <t>Project_Labour_Cost</t>
  </si>
  <si>
    <t>The cost of the labour for a project</t>
  </si>
  <si>
    <t>Project_Material_Cost</t>
  </si>
  <si>
    <t>The cost of the material used in a project</t>
  </si>
  <si>
    <t>If null, then no material has been used yet</t>
  </si>
  <si>
    <t>If null, then there have been no labour costs yet</t>
  </si>
  <si>
    <t>Project_Handling_Fee</t>
  </si>
  <si>
    <t>The handling fee for a project</t>
  </si>
  <si>
    <t>If null, then there have been no handling fees yet</t>
  </si>
  <si>
    <t>Project_Total_Costs</t>
  </si>
  <si>
    <t>Total amount of Material Cost, Labour Cost, and Handling fees</t>
  </si>
  <si>
    <t>If null, then there have not been any costs yet</t>
  </si>
  <si>
    <t>Project_Status_Key</t>
  </si>
  <si>
    <t>Information of the customer who requested the project</t>
  </si>
  <si>
    <t>The status of a project</t>
  </si>
  <si>
    <t>Cancelled</t>
  </si>
  <si>
    <t>*No Project Category</t>
  </si>
  <si>
    <t>*No Project Description</t>
  </si>
  <si>
    <t>*No Project Status</t>
  </si>
  <si>
    <t>*Unknown Project Status</t>
  </si>
  <si>
    <t>Status of project</t>
  </si>
  <si>
    <t>Category of project</t>
  </si>
  <si>
    <t>Description of project</t>
  </si>
  <si>
    <t>Customer_Contact_Person</t>
  </si>
  <si>
    <t>Name of the customer</t>
  </si>
  <si>
    <t>The contact person of the customer</t>
  </si>
  <si>
    <t>C0004</t>
  </si>
  <si>
    <t>*No Customer Name</t>
  </si>
  <si>
    <t>*No Contact Person</t>
  </si>
  <si>
    <t>Hours_Worked</t>
  </si>
  <si>
    <t>Week_End_Date</t>
  </si>
  <si>
    <t>Thys Taljaard</t>
  </si>
  <si>
    <t>the full name of the employee</t>
  </si>
  <si>
    <t>Taljaard</t>
  </si>
  <si>
    <t>surname of the employee</t>
  </si>
  <si>
    <t>Thys</t>
  </si>
  <si>
    <t>name of the employee</t>
  </si>
  <si>
    <t>E1</t>
  </si>
  <si>
    <t>business key</t>
  </si>
  <si>
    <t>The employee for which a row is added</t>
  </si>
  <si>
    <t>The date of the week the employee worked on a project</t>
  </si>
  <si>
    <t>The project which an employee worked on</t>
  </si>
  <si>
    <t>The number of hours the employee worked on a project</t>
  </si>
  <si>
    <t>Surrogate Primary Key</t>
  </si>
  <si>
    <t xml:space="preserve">Employee </t>
  </si>
  <si>
    <t>Each unique employee working on a project is an entity in this dimension. SCD Type 2.</t>
  </si>
  <si>
    <t>Week_Of_Year</t>
  </si>
  <si>
    <t>The week in the year in which an employee worked on a project</t>
  </si>
  <si>
    <t>Customers</t>
  </si>
  <si>
    <t>Projects</t>
  </si>
  <si>
    <t>The project being requested</t>
  </si>
  <si>
    <t>Each unique project is an entity in this dimention. SCD Type 2</t>
  </si>
  <si>
    <t>Department_name</t>
  </si>
  <si>
    <t>Department_Group_Name</t>
  </si>
  <si>
    <t>Address Line 1 of the customer</t>
  </si>
  <si>
    <t>Address Line 2 of the customer</t>
  </si>
  <si>
    <t>City or town the customer is located in</t>
  </si>
  <si>
    <t>Postal code of the city or town</t>
  </si>
  <si>
    <t>The name of the department the customer belongs to</t>
  </si>
  <si>
    <t>*No Address Line 1</t>
  </si>
  <si>
    <t>*No City or Town</t>
  </si>
  <si>
    <t>*No Department Group Name</t>
  </si>
  <si>
    <t>*Unknown Department Group Name</t>
  </si>
  <si>
    <t xml:space="preserve">
Department of Physics</t>
  </si>
  <si>
    <t>Employee_Key</t>
  </si>
  <si>
    <t>Employee_Fullname</t>
  </si>
  <si>
    <t>Each unique customer is an entity in this dimention. SCD2</t>
  </si>
  <si>
    <t>Full date a weekend falls on</t>
  </si>
  <si>
    <t>Indicates whether a customer department is external or internal</t>
  </si>
  <si>
    <t>Annual_Project_Costs_Analysis</t>
  </si>
  <si>
    <t>Customer_Key</t>
  </si>
  <si>
    <t>Week_End_Date_Key</t>
  </si>
  <si>
    <t>ID of the department group the customer belongs to</t>
  </si>
  <si>
    <t>*No Group ID</t>
  </si>
  <si>
    <t>*Unknown Group ID</t>
  </si>
  <si>
    <t>Customer_Department_ID</t>
  </si>
  <si>
    <t>The name of the department the customer department belongs to</t>
  </si>
  <si>
    <t>*No Department ID</t>
  </si>
  <si>
    <t>*Unknown Department ID</t>
  </si>
  <si>
    <t>Employee_First_Name</t>
  </si>
  <si>
    <t>Project_Request_Date</t>
  </si>
  <si>
    <t>Date a project was requested</t>
  </si>
  <si>
    <t>External_Or_Internal</t>
  </si>
  <si>
    <t xml:space="preserve">Project status for every project. </t>
  </si>
  <si>
    <t>Customer_Department_Group_ID</t>
  </si>
  <si>
    <t>ID of the department the customer belongs to</t>
  </si>
  <si>
    <t>One row for each employee that worked during that week per project</t>
  </si>
  <si>
    <t>X
Report_Date_Key
Project_Request_Date_Key</t>
  </si>
  <si>
    <t>Report_Date_Key</t>
  </si>
  <si>
    <t>Project_Request_Date_Key</t>
  </si>
  <si>
    <t>One row for each employee timesheet event (when a timesheet is submitted) per project</t>
  </si>
  <si>
    <t>Service billing number of a project</t>
  </si>
  <si>
    <t>Uniquely identifies each record submitted per timesheet per project</t>
  </si>
  <si>
    <t>Annual_Project_Analysis_Cost_Key</t>
  </si>
  <si>
    <t>Employee_TimeSheet_Key</t>
  </si>
  <si>
    <t>Uniquely identifies each record for every year end</t>
  </si>
  <si>
    <t>Current_Project_Status</t>
  </si>
  <si>
    <t>Current_Customer_Name</t>
  </si>
  <si>
    <t>*No Current Customer Name</t>
  </si>
  <si>
    <t>*Unknown Current Customer Name</t>
  </si>
  <si>
    <t>*Unknown Customer Name</t>
  </si>
  <si>
    <t>Adam-Obenwienski</t>
  </si>
  <si>
    <t>Current name of the customer</t>
  </si>
  <si>
    <t>This will help with reporting to group together information over time for the same customer.</t>
  </si>
  <si>
    <t>NB! No housekeeping columns in a dimension without any SCD fields</t>
  </si>
  <si>
    <t>ID of Employee</t>
  </si>
  <si>
    <t>Name of the Employee</t>
  </si>
  <si>
    <t>Surname of the Employee</t>
  </si>
  <si>
    <t>Year a timesheet was submitted</t>
  </si>
  <si>
    <t>Week of the year as a numeric value a timesheet was submitted</t>
  </si>
  <si>
    <t>Date of the Week End</t>
  </si>
  <si>
    <t>ID of the project worked on</t>
  </si>
  <si>
    <t>Employee that worked on the project</t>
  </si>
  <si>
    <t>How many hours the employee worked on a project</t>
  </si>
  <si>
    <t>ID of the Project</t>
  </si>
  <si>
    <t>ID of the Customer</t>
  </si>
  <si>
    <t>ID of a customer requesting the project</t>
  </si>
  <si>
    <t>Category of the project</t>
  </si>
  <si>
    <t>A description of the project being requested</t>
  </si>
  <si>
    <t>Current status of the project</t>
  </si>
  <si>
    <t>Labour Costs attached to the project</t>
  </si>
  <si>
    <t>Material Costs attached to the project</t>
  </si>
  <si>
    <t>Handling fees attached to the project</t>
  </si>
  <si>
    <t>The service billing number of the project
being requested</t>
  </si>
  <si>
    <t>ID of the Customer Group</t>
  </si>
  <si>
    <t>Name of the Customer Group</t>
  </si>
  <si>
    <t>Is the Customer Group internal 
or external?</t>
  </si>
  <si>
    <t>ID of the Customer Department</t>
  </si>
  <si>
    <t>Name of the Customer Department</t>
  </si>
  <si>
    <t>ID of the Customer Group linked to
the Customer Department</t>
  </si>
  <si>
    <t>Name of the Customer</t>
  </si>
  <si>
    <t>ID of Department Customer is assigned to</t>
  </si>
  <si>
    <t>Name of the Contact Person</t>
  </si>
  <si>
    <t>City or Town where customer lives</t>
  </si>
  <si>
    <t>Postal Code of customer residence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</si>
</sst>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yyyy\-mm\-dd;@"/>
    <numFmt numFmtId="165" formatCode="[$-1C09]dd\ mmmm\ yyyy;@"/>
    <numFmt numFmtId="166" formatCode="dddd"/>
  </numFmts>
  <fonts count="25" x14ac:knownFonts="1">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u/>
      <sz val="11"/>
      <color theme="10"/>
      <name val="Calibri"/>
      <family val="2"/>
      <scheme val="minor"/>
    </font>
    <font>
      <sz val="11"/>
      <color rgb="FFFF0000"/>
      <name val="Calibri"/>
      <family val="2"/>
      <scheme val="minor"/>
    </font>
    <font>
      <sz val="11"/>
      <name val="Calibri"/>
      <family val="2"/>
      <scheme val="minor"/>
    </font>
    <font>
      <i/>
      <sz val="11"/>
      <color theme="1"/>
      <name val="Calibri"/>
      <family val="2"/>
      <scheme val="minor"/>
    </font>
    <font>
      <sz val="11"/>
      <color rgb="FF000000"/>
      <name val="Calibri"/>
      <family val="2"/>
    </font>
    <font>
      <sz val="10"/>
      <name val="Arial"/>
      <family val="2"/>
    </font>
    <font>
      <b/>
      <u/>
      <sz val="11"/>
      <color theme="10"/>
      <name val="Calibri"/>
      <family val="2"/>
      <scheme val="minor"/>
    </font>
    <font>
      <sz val="11"/>
      <color theme="2" tint="-0.499984740745262"/>
      <name val="Calibri"/>
      <family val="2"/>
      <scheme val="minor"/>
    </font>
    <font>
      <sz val="11"/>
      <color theme="2" tint="-0.749992370372631"/>
      <name val="Calibri"/>
      <family val="2"/>
      <scheme val="minor"/>
    </font>
    <font>
      <i/>
      <sz val="11"/>
      <color rgb="FF000000"/>
      <name val="Calibri"/>
      <family val="2"/>
    </font>
    <font>
      <i/>
      <sz val="11"/>
      <color rgb="FF002060"/>
      <name val="Calibri"/>
      <family val="2"/>
      <scheme val="minor"/>
    </font>
    <font>
      <i/>
      <sz val="11"/>
      <color rgb="FF002060"/>
      <name val="Calibri"/>
      <family val="2"/>
    </font>
    <font>
      <i/>
      <sz val="11"/>
      <color theme="9" tint="-0.499984740745262"/>
      <name val="Calibri"/>
      <family val="2"/>
      <scheme val="minor"/>
    </font>
    <font>
      <b/>
      <sz val="11"/>
      <color rgb="FFFF0000"/>
      <name val="Calibri"/>
      <family val="2"/>
      <scheme val="minor"/>
    </font>
    <font>
      <b/>
      <sz val="11"/>
      <color rgb="FF000000"/>
      <name val="Calibri"/>
      <family val="2"/>
    </font>
    <font>
      <sz val="8"/>
      <name val="Calibri"/>
      <family val="2"/>
      <scheme val="minor"/>
    </font>
    <font>
      <b/>
      <sz val="11"/>
      <name val="Calibri"/>
      <family val="2"/>
      <scheme val="minor"/>
    </font>
    <font>
      <b/>
      <sz val="11"/>
      <color rgb="FFFF0000"/>
      <name val="Calibri"/>
      <family val="2"/>
    </font>
    <font>
      <sz val="11"/>
      <color theme="1"/>
      <name val="Calibri"/>
      <family val="2"/>
    </font>
    <font>
      <b/>
      <sz val="11"/>
      <color theme="2" tint="-0.499984740745262"/>
      <name val="Calibri"/>
      <family val="2"/>
      <scheme val="minor"/>
    </font>
    <font>
      <sz val="11"/>
      <color theme="0" tint="-0.499984740745262"/>
      <name val="Calibri"/>
      <family val="2"/>
      <scheme val="minor"/>
    </font>
  </fonts>
  <fills count="10">
    <fill>
      <patternFill patternType="none"/>
    </fill>
    <fill>
      <patternFill patternType="gray125"/>
    </fill>
    <fill>
      <patternFill patternType="solid">
        <fgColor theme="4"/>
      </patternFill>
    </fill>
    <fill>
      <patternFill patternType="solid">
        <fgColor theme="8"/>
      </patternFill>
    </fill>
    <fill>
      <patternFill patternType="solid">
        <fgColor theme="8" tint="0.39997558519241921"/>
        <bgColor indexed="65"/>
      </patternFill>
    </fill>
    <fill>
      <patternFill patternType="solid">
        <fgColor theme="0" tint="-0.14999847407452621"/>
        <bgColor indexed="64"/>
      </patternFill>
    </fill>
    <fill>
      <patternFill patternType="solid">
        <fgColor rgb="FFFFFF00"/>
        <bgColor indexed="64"/>
      </patternFill>
    </fill>
    <fill>
      <patternFill patternType="solid">
        <fgColor theme="4" tint="0.59999389629810485"/>
        <bgColor indexed="64"/>
      </patternFill>
    </fill>
    <fill>
      <patternFill patternType="solid">
        <fgColor theme="9"/>
      </patternFill>
    </fill>
    <fill>
      <patternFill patternType="solid">
        <fgColor theme="4" tint="0.39997558519241921"/>
        <bgColor indexed="64"/>
      </patternFill>
    </fill>
  </fills>
  <borders count="13">
    <border>
      <left/>
      <right/>
      <top/>
      <bottom/>
      <diagonal/>
    </border>
    <border>
      <left/>
      <right/>
      <top/>
      <bottom style="thick">
        <color theme="4" tint="0.499984740745262"/>
      </bottom>
      <diagonal/>
    </border>
    <border>
      <left style="thin">
        <color theme="4" tint="0.499984740745262"/>
      </left>
      <right style="thin">
        <color theme="4" tint="0.499984740745262"/>
      </right>
      <top style="thin">
        <color theme="4" tint="0.499984740745262"/>
      </top>
      <bottom style="thin">
        <color theme="4" tint="0.499984740745262"/>
      </bottom>
      <diagonal/>
    </border>
    <border>
      <left/>
      <right/>
      <top style="thick">
        <color theme="4" tint="0.499984740745262"/>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right/>
      <top/>
      <bottom style="thin">
        <color indexed="64"/>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style="thin">
        <color theme="0" tint="-0.14996795556505021"/>
      </left>
      <right/>
      <top style="thin">
        <color theme="0" tint="-0.14996795556505021"/>
      </top>
      <bottom style="thin">
        <color theme="0" tint="-0.14996795556505021"/>
      </bottom>
      <diagonal/>
    </border>
    <border>
      <left/>
      <right style="thin">
        <color theme="0" tint="-0.14996795556505021"/>
      </right>
      <top style="thin">
        <color theme="0" tint="-0.14996795556505021"/>
      </top>
      <bottom style="thin">
        <color theme="0" tint="-0.14996795556505021"/>
      </bottom>
      <diagonal/>
    </border>
  </borders>
  <cellStyleXfs count="8">
    <xf numFmtId="0" fontId="0" fillId="0" borderId="0"/>
    <xf numFmtId="0" fontId="3" fillId="2" borderId="0" applyNumberFormat="0" applyBorder="0" applyAlignment="0" applyProtection="0"/>
    <xf numFmtId="0" fontId="3" fillId="3" borderId="0" applyNumberFormat="0" applyBorder="0" applyAlignment="0" applyProtection="0"/>
    <xf numFmtId="0" fontId="4" fillId="0" borderId="0" applyNumberFormat="0" applyFill="0" applyBorder="0" applyAlignment="0" applyProtection="0"/>
    <xf numFmtId="0" fontId="3" fillId="4" borderId="0" applyNumberFormat="0" applyBorder="0" applyAlignment="0" applyProtection="0"/>
    <xf numFmtId="0" fontId="8" fillId="0" borderId="0"/>
    <xf numFmtId="0" fontId="9" fillId="0" borderId="0"/>
    <xf numFmtId="0" fontId="3" fillId="8" borderId="0" applyNumberFormat="0" applyBorder="0" applyAlignment="0" applyProtection="0"/>
  </cellStyleXfs>
  <cellXfs count="211">
    <xf numFmtId="0" fontId="0" fillId="0" borderId="0" xfId="0"/>
    <xf numFmtId="0" fontId="4" fillId="0" borderId="0" xfId="3"/>
    <xf numFmtId="0" fontId="0" fillId="0" borderId="0" xfId="0" applyAlignment="1">
      <alignment wrapText="1"/>
    </xf>
    <xf numFmtId="0" fontId="0" fillId="0" borderId="0" xfId="0" applyAlignment="1">
      <alignment vertical="top"/>
    </xf>
    <xf numFmtId="0" fontId="0" fillId="0" borderId="0" xfId="0" applyAlignment="1">
      <alignment vertical="top" wrapText="1"/>
    </xf>
    <xf numFmtId="0" fontId="4" fillId="0" borderId="0" xfId="3" applyAlignment="1">
      <alignment vertical="top"/>
    </xf>
    <xf numFmtId="0" fontId="2" fillId="0" borderId="0" xfId="0" applyFont="1" applyAlignment="1">
      <alignment vertical="top"/>
    </xf>
    <xf numFmtId="0" fontId="2" fillId="0" borderId="0" xfId="0" applyFont="1" applyAlignment="1">
      <alignment vertical="top" wrapText="1"/>
    </xf>
    <xf numFmtId="0" fontId="2" fillId="0" borderId="0" xfId="0" applyFont="1"/>
    <xf numFmtId="49" fontId="0" fillId="0" borderId="0" xfId="0" applyNumberFormat="1"/>
    <xf numFmtId="0" fontId="1" fillId="2" borderId="0" xfId="1" applyFont="1" applyBorder="1" applyAlignment="1">
      <alignment horizontal="left" wrapText="1"/>
    </xf>
    <xf numFmtId="0" fontId="2" fillId="0" borderId="2" xfId="0" applyFont="1" applyBorder="1"/>
    <xf numFmtId="0" fontId="6" fillId="0" borderId="0" xfId="0" applyFont="1" applyFill="1" applyAlignment="1">
      <alignment horizontal="left"/>
    </xf>
    <xf numFmtId="165" fontId="0" fillId="0" borderId="0" xfId="0" applyNumberFormat="1" applyFont="1" applyFill="1" applyAlignment="1">
      <alignment horizontal="left"/>
    </xf>
    <xf numFmtId="166" fontId="0" fillId="0" borderId="0" xfId="0" applyNumberFormat="1" applyFont="1" applyFill="1" applyAlignment="1">
      <alignment horizontal="left"/>
    </xf>
    <xf numFmtId="0" fontId="0" fillId="0" borderId="0" xfId="0" applyFont="1" applyFill="1" applyAlignment="1">
      <alignment horizontal="left"/>
    </xf>
    <xf numFmtId="0" fontId="1" fillId="4" borderId="0" xfId="4" applyFont="1" applyBorder="1" applyAlignment="1">
      <alignment horizontal="left"/>
    </xf>
    <xf numFmtId="0" fontId="7" fillId="0" borderId="0" xfId="0" applyFont="1"/>
    <xf numFmtId="0" fontId="0" fillId="0" borderId="0" xfId="0" applyAlignment="1">
      <alignment horizontal="left"/>
    </xf>
    <xf numFmtId="0" fontId="0" fillId="0" borderId="0" xfId="0" applyAlignment="1">
      <alignment vertical="center" wrapText="1"/>
    </xf>
    <xf numFmtId="0" fontId="0" fillId="0" borderId="0" xfId="0" applyAlignment="1">
      <alignment horizontal="center" vertical="center" wrapText="1"/>
    </xf>
    <xf numFmtId="0" fontId="2" fillId="5" borderId="4" xfId="0" applyFont="1" applyFill="1" applyBorder="1" applyAlignment="1">
      <alignment horizontal="right" vertical="center" wrapText="1"/>
    </xf>
    <xf numFmtId="0" fontId="2" fillId="5" borderId="4" xfId="0" applyFont="1" applyFill="1" applyBorder="1" applyAlignment="1">
      <alignment vertical="center" wrapText="1"/>
    </xf>
    <xf numFmtId="0" fontId="2" fillId="5" borderId="4" xfId="0" applyFont="1" applyFill="1" applyBorder="1" applyAlignment="1">
      <alignment horizontal="center" vertical="center" wrapText="1"/>
    </xf>
    <xf numFmtId="0" fontId="0" fillId="0" borderId="0" xfId="0" applyAlignment="1">
      <alignment horizontal="left" vertical="top"/>
    </xf>
    <xf numFmtId="0" fontId="1" fillId="2" borderId="0" xfId="1" applyFont="1" applyBorder="1" applyAlignment="1">
      <alignment horizontal="left" vertical="top" wrapText="1"/>
    </xf>
    <xf numFmtId="0" fontId="0" fillId="0" borderId="0" xfId="0" applyNumberFormat="1" applyFont="1" applyFill="1" applyAlignment="1">
      <alignment horizontal="left" vertical="top"/>
    </xf>
    <xf numFmtId="0" fontId="5" fillId="0" borderId="0" xfId="0" applyFont="1" applyAlignment="1">
      <alignment vertical="top"/>
    </xf>
    <xf numFmtId="0" fontId="5" fillId="0" borderId="0" xfId="0" applyFont="1" applyAlignment="1">
      <alignment vertical="top" wrapText="1"/>
    </xf>
    <xf numFmtId="0" fontId="5" fillId="0" borderId="0" xfId="0" applyNumberFormat="1" applyFont="1" applyFill="1" applyAlignment="1">
      <alignment horizontal="left" vertical="top"/>
    </xf>
    <xf numFmtId="0" fontId="6" fillId="0" borderId="0" xfId="0" applyFont="1" applyFill="1" applyAlignment="1">
      <alignment horizontal="left" vertical="top"/>
    </xf>
    <xf numFmtId="0" fontId="11" fillId="0" borderId="0" xfId="0" applyFont="1"/>
    <xf numFmtId="0" fontId="11" fillId="0" borderId="0" xfId="0" applyFont="1" applyAlignment="1">
      <alignment wrapText="1"/>
    </xf>
    <xf numFmtId="0" fontId="11" fillId="0" borderId="0" xfId="0" applyFont="1" applyAlignment="1">
      <alignment horizontal="left"/>
    </xf>
    <xf numFmtId="14" fontId="11" fillId="0" borderId="0" xfId="0" applyNumberFormat="1" applyFont="1" applyAlignment="1">
      <alignment horizontal="left"/>
    </xf>
    <xf numFmtId="0" fontId="6" fillId="0" borderId="0" xfId="0" applyFont="1" applyAlignment="1">
      <alignment vertical="top"/>
    </xf>
    <xf numFmtId="0" fontId="6" fillId="0" borderId="0" xfId="0" applyFont="1" applyAlignment="1">
      <alignment vertical="top" wrapText="1"/>
    </xf>
    <xf numFmtId="0" fontId="6" fillId="0" borderId="0" xfId="0" applyNumberFormat="1" applyFont="1" applyFill="1" applyAlignment="1">
      <alignment horizontal="left" vertical="top"/>
    </xf>
    <xf numFmtId="0" fontId="0" fillId="0" borderId="0" xfId="0" applyAlignment="1">
      <alignment horizontal="left"/>
    </xf>
    <xf numFmtId="0" fontId="12" fillId="0" borderId="0" xfId="0" applyFont="1"/>
    <xf numFmtId="0" fontId="12" fillId="0" borderId="0" xfId="0" applyFont="1" applyAlignment="1">
      <alignment horizontal="left"/>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12" fillId="0" borderId="0" xfId="0" applyFont="1" applyAlignment="1">
      <alignment wrapText="1"/>
    </xf>
    <xf numFmtId="0" fontId="0" fillId="6" borderId="0" xfId="0" applyFill="1" applyAlignment="1">
      <alignment horizontal="left"/>
    </xf>
    <xf numFmtId="0" fontId="4" fillId="0" borderId="0" xfId="3" quotePrefix="1" applyBorder="1" applyAlignment="1">
      <alignment vertical="center"/>
    </xf>
    <xf numFmtId="0" fontId="0" fillId="0" borderId="0" xfId="0" applyAlignment="1">
      <alignment horizontal="left" wrapText="1"/>
    </xf>
    <xf numFmtId="0" fontId="6" fillId="6" borderId="0" xfId="0" applyFont="1" applyFill="1" applyAlignment="1">
      <alignment horizontal="left" vertical="top"/>
    </xf>
    <xf numFmtId="0" fontId="8" fillId="0" borderId="0" xfId="5" applyFont="1" applyAlignment="1">
      <alignment vertical="top" wrapText="1"/>
    </xf>
    <xf numFmtId="0" fontId="8" fillId="0" borderId="0" xfId="5" applyFont="1" applyAlignment="1">
      <alignment vertical="top"/>
    </xf>
    <xf numFmtId="0" fontId="7" fillId="0" borderId="0" xfId="0" applyFont="1" applyAlignment="1">
      <alignment vertical="top"/>
    </xf>
    <xf numFmtId="0" fontId="7" fillId="0" borderId="0" xfId="0" applyFont="1" applyAlignment="1">
      <alignment vertical="top" wrapText="1"/>
    </xf>
    <xf numFmtId="0" fontId="13" fillId="0" borderId="0" xfId="5" applyFont="1" applyAlignment="1">
      <alignment vertical="top"/>
    </xf>
    <xf numFmtId="0" fontId="7" fillId="0" borderId="0" xfId="0" applyFont="1" applyAlignment="1">
      <alignment horizontal="left" vertical="top"/>
    </xf>
    <xf numFmtId="0" fontId="13" fillId="0" borderId="0" xfId="5" applyFont="1" applyAlignment="1">
      <alignment vertical="top" wrapText="1"/>
    </xf>
    <xf numFmtId="0" fontId="14" fillId="0" borderId="0" xfId="0" applyFont="1" applyAlignment="1">
      <alignment vertical="top"/>
    </xf>
    <xf numFmtId="0" fontId="14" fillId="0" borderId="0" xfId="0" applyFont="1" applyAlignment="1">
      <alignment vertical="top" wrapText="1"/>
    </xf>
    <xf numFmtId="0" fontId="15" fillId="0" borderId="0" xfId="5" applyFont="1" applyAlignment="1">
      <alignment vertical="top" wrapText="1"/>
    </xf>
    <xf numFmtId="0" fontId="14" fillId="0" borderId="0" xfId="0" applyFont="1" applyAlignment="1">
      <alignment horizontal="left" vertical="top"/>
    </xf>
    <xf numFmtId="0" fontId="11" fillId="0" borderId="0" xfId="0" applyFont="1" applyAlignment="1">
      <alignment vertical="top"/>
    </xf>
    <xf numFmtId="0" fontId="11" fillId="0" borderId="0" xfId="0" applyFont="1" applyAlignment="1">
      <alignment vertical="top" wrapText="1"/>
    </xf>
    <xf numFmtId="0" fontId="11" fillId="0" borderId="0" xfId="0" applyFont="1" applyAlignment="1">
      <alignment horizontal="left" vertical="top"/>
    </xf>
    <xf numFmtId="0" fontId="16" fillId="0" borderId="0" xfId="0" applyFont="1" applyAlignment="1">
      <alignment vertical="top"/>
    </xf>
    <xf numFmtId="0" fontId="16" fillId="0" borderId="0" xfId="0" applyFont="1" applyAlignment="1">
      <alignment vertical="top" wrapText="1"/>
    </xf>
    <xf numFmtId="0" fontId="0" fillId="0" borderId="0" xfId="0" applyAlignment="1">
      <alignment horizontal="left" vertical="top"/>
    </xf>
    <xf numFmtId="0" fontId="0" fillId="0" borderId="0" xfId="0" applyAlignment="1">
      <alignment horizontal="left"/>
    </xf>
    <xf numFmtId="0" fontId="0" fillId="0" borderId="0" xfId="0" applyBorder="1"/>
    <xf numFmtId="0" fontId="0" fillId="0" borderId="0" xfId="0" applyFill="1" applyBorder="1"/>
    <xf numFmtId="0" fontId="6" fillId="7"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xf>
    <xf numFmtId="14" fontId="0" fillId="0" borderId="0" xfId="0" applyNumberFormat="1" applyAlignment="1">
      <alignment horizontal="left" vertical="top"/>
    </xf>
    <xf numFmtId="0" fontId="0" fillId="0" borderId="0" xfId="0" applyAlignment="1">
      <alignment horizontal="left"/>
    </xf>
    <xf numFmtId="0" fontId="0" fillId="0" borderId="0" xfId="0" applyAlignment="1">
      <alignment horizontal="left" vertical="top"/>
    </xf>
    <xf numFmtId="0" fontId="0" fillId="0" borderId="0" xfId="0" applyAlignment="1">
      <alignment horizontal="left"/>
    </xf>
    <xf numFmtId="0" fontId="0" fillId="0" borderId="0" xfId="0" applyFill="1" applyAlignment="1">
      <alignment horizontal="left"/>
    </xf>
    <xf numFmtId="0" fontId="2" fillId="0" borderId="0" xfId="0" applyFont="1" applyAlignment="1">
      <alignment horizontal="left"/>
    </xf>
    <xf numFmtId="0" fontId="17" fillId="0" borderId="0" xfId="0" applyFont="1"/>
    <xf numFmtId="0" fontId="17" fillId="0" borderId="0" xfId="0" applyFont="1" applyAlignment="1">
      <alignment horizontal="left"/>
    </xf>
    <xf numFmtId="0" fontId="17" fillId="0" borderId="0" xfId="0" applyFont="1" applyAlignment="1">
      <alignment wrapText="1"/>
    </xf>
    <xf numFmtId="0" fontId="0" fillId="0" borderId="0" xfId="0" applyAlignment="1"/>
    <xf numFmtId="0" fontId="4" fillId="6" borderId="0" xfId="3" applyFill="1" applyAlignment="1">
      <alignment wrapText="1"/>
    </xf>
    <xf numFmtId="0" fontId="4" fillId="0" borderId="0" xfId="3" applyAlignment="1">
      <alignment horizontal="left"/>
    </xf>
    <xf numFmtId="9" fontId="0" fillId="0" borderId="0" xfId="0" applyNumberFormat="1" applyAlignment="1">
      <alignment horizontal="left"/>
    </xf>
    <xf numFmtId="0" fontId="0" fillId="0" borderId="4" xfId="0" applyFill="1" applyBorder="1" applyAlignment="1">
      <alignment vertical="center" wrapText="1"/>
    </xf>
    <xf numFmtId="0" fontId="0" fillId="0" borderId="4" xfId="0" applyFill="1" applyBorder="1" applyAlignment="1">
      <alignment horizontal="center" vertical="center" wrapText="1"/>
    </xf>
    <xf numFmtId="0" fontId="10" fillId="0" borderId="4" xfId="3" applyFont="1" applyFill="1" applyBorder="1" applyAlignment="1">
      <alignment horizontal="center" vertical="center" wrapText="1"/>
    </xf>
    <xf numFmtId="0" fontId="7" fillId="0" borderId="4" xfId="0" applyFont="1" applyFill="1" applyBorder="1" applyAlignment="1">
      <alignment horizontal="center" vertical="center" wrapText="1"/>
    </xf>
    <xf numFmtId="0" fontId="7" fillId="0" borderId="4" xfId="0" applyFont="1" applyFill="1" applyBorder="1" applyAlignment="1">
      <alignment vertical="center" wrapText="1"/>
    </xf>
    <xf numFmtId="0" fontId="2" fillId="0" borderId="0" xfId="0" applyNumberFormat="1" applyFont="1" applyFill="1" applyAlignment="1">
      <alignment horizontal="left"/>
    </xf>
    <xf numFmtId="164" fontId="17" fillId="0" borderId="0" xfId="0" applyNumberFormat="1" applyFont="1" applyFill="1" applyAlignment="1">
      <alignment horizontal="left"/>
    </xf>
    <xf numFmtId="0" fontId="9" fillId="0" borderId="0" xfId="6"/>
    <xf numFmtId="0" fontId="17" fillId="0" borderId="0" xfId="0" applyFont="1" applyAlignment="1">
      <alignment vertical="top"/>
    </xf>
    <xf numFmtId="0" fontId="17" fillId="0" borderId="0" xfId="0" applyFont="1" applyAlignment="1">
      <alignment vertical="top" wrapText="1"/>
    </xf>
    <xf numFmtId="0" fontId="2" fillId="0" borderId="0" xfId="0" applyFont="1" applyAlignment="1">
      <alignment horizontal="left" vertical="top"/>
    </xf>
    <xf numFmtId="0" fontId="17" fillId="0" borderId="0" xfId="0" applyNumberFormat="1" applyFont="1" applyFill="1" applyAlignment="1">
      <alignment horizontal="left" vertical="top"/>
    </xf>
    <xf numFmtId="9" fontId="0" fillId="0" borderId="0" xfId="0" applyNumberFormat="1" applyAlignment="1">
      <alignment horizontal="left" vertical="top"/>
    </xf>
    <xf numFmtId="0" fontId="4" fillId="0" borderId="0" xfId="3" applyAlignment="1">
      <alignment horizontal="left" vertical="top"/>
    </xf>
    <xf numFmtId="0" fontId="18" fillId="0" borderId="0" xfId="5" applyFont="1" applyAlignment="1">
      <alignment vertical="top"/>
    </xf>
    <xf numFmtId="0" fontId="0" fillId="0" borderId="0" xfId="0" applyAlignment="1">
      <alignment horizontal="right"/>
    </xf>
    <xf numFmtId="0" fontId="0" fillId="0" borderId="5" xfId="0" applyBorder="1"/>
    <xf numFmtId="0" fontId="0" fillId="0" borderId="5" xfId="0" applyBorder="1" applyAlignment="1">
      <alignment horizontal="right"/>
    </xf>
    <xf numFmtId="0" fontId="0" fillId="0" borderId="5" xfId="0" applyBorder="1" applyAlignment="1">
      <alignment horizontal="left" indent="1"/>
    </xf>
    <xf numFmtId="0" fontId="0" fillId="0" borderId="6" xfId="0" applyBorder="1"/>
    <xf numFmtId="0" fontId="0" fillId="0" borderId="6" xfId="0" applyBorder="1" applyAlignment="1">
      <alignment horizontal="right"/>
    </xf>
    <xf numFmtId="0" fontId="0" fillId="0" borderId="6" xfId="0" applyBorder="1" applyAlignment="1">
      <alignment horizontal="left" indent="1"/>
    </xf>
    <xf numFmtId="0" fontId="0" fillId="0" borderId="0" xfId="0" applyBorder="1" applyAlignment="1">
      <alignment horizontal="right"/>
    </xf>
    <xf numFmtId="0" fontId="0" fillId="0" borderId="0" xfId="0" applyBorder="1" applyAlignment="1">
      <alignment horizontal="left" indent="1"/>
    </xf>
    <xf numFmtId="0" fontId="2" fillId="0" borderId="5" xfId="0" applyFont="1" applyBorder="1" applyAlignment="1">
      <alignment horizontal="right"/>
    </xf>
    <xf numFmtId="0" fontId="2" fillId="0" borderId="5" xfId="0" applyFont="1" applyBorder="1" applyAlignment="1">
      <alignment horizontal="left" indent="1"/>
    </xf>
    <xf numFmtId="0" fontId="2" fillId="6" borderId="0" xfId="0" applyFont="1" applyFill="1"/>
    <xf numFmtId="0" fontId="4" fillId="0" borderId="4" xfId="3" applyFill="1" applyBorder="1" applyAlignment="1">
      <alignment vertical="center" wrapText="1"/>
    </xf>
    <xf numFmtId="0" fontId="0" fillId="0" borderId="0" xfId="0" applyFont="1" applyBorder="1" applyAlignment="1">
      <alignment horizontal="right"/>
    </xf>
    <xf numFmtId="0" fontId="0" fillId="0" borderId="0" xfId="0" applyFont="1" applyBorder="1" applyAlignment="1">
      <alignment horizontal="left" indent="1"/>
    </xf>
    <xf numFmtId="0" fontId="0" fillId="0" borderId="0" xfId="0" applyNumberFormat="1"/>
    <xf numFmtId="0" fontId="0" fillId="0" borderId="0" xfId="0" quotePrefix="1"/>
    <xf numFmtId="0" fontId="0" fillId="0" borderId="0" xfId="0" applyNumberFormat="1" applyAlignment="1">
      <alignment horizontal="left"/>
    </xf>
    <xf numFmtId="14" fontId="0" fillId="0" borderId="0" xfId="0" applyNumberFormat="1" applyAlignment="1">
      <alignment horizontal="left"/>
    </xf>
    <xf numFmtId="0" fontId="6" fillId="6" borderId="0" xfId="0" applyFont="1" applyFill="1"/>
    <xf numFmtId="0" fontId="1" fillId="2" borderId="0" xfId="1" applyNumberFormat="1" applyFont="1"/>
    <xf numFmtId="0" fontId="1" fillId="2" borderId="0" xfId="1" applyNumberFormat="1" applyFont="1" applyAlignment="1">
      <alignment wrapText="1"/>
    </xf>
    <xf numFmtId="0" fontId="1" fillId="2" borderId="0" xfId="1" applyFont="1" applyBorder="1" applyAlignment="1">
      <alignment horizontal="left"/>
    </xf>
    <xf numFmtId="0" fontId="6" fillId="0" borderId="7" xfId="0" applyFont="1" applyBorder="1"/>
    <xf numFmtId="0" fontId="6" fillId="0" borderId="8" xfId="0" applyFont="1" applyBorder="1"/>
    <xf numFmtId="0" fontId="6" fillId="0" borderId="9" xfId="0" applyFont="1" applyBorder="1"/>
    <xf numFmtId="0" fontId="3" fillId="2" borderId="0" xfId="1"/>
    <xf numFmtId="0" fontId="3" fillId="2" borderId="0" xfId="1" applyAlignment="1">
      <alignment wrapText="1"/>
    </xf>
    <xf numFmtId="0" fontId="6" fillId="0" borderId="0" xfId="0" applyFont="1"/>
    <xf numFmtId="0" fontId="3" fillId="2" borderId="7" xfId="1" applyBorder="1"/>
    <xf numFmtId="0" fontId="2" fillId="0" borderId="0" xfId="0" applyFont="1" applyAlignment="1">
      <alignment vertical="center" wrapText="1"/>
    </xf>
    <xf numFmtId="0" fontId="7" fillId="0" borderId="0" xfId="0" applyFont="1" applyAlignment="1">
      <alignment vertical="center" wrapText="1"/>
    </xf>
    <xf numFmtId="0" fontId="2" fillId="0" borderId="0" xfId="0" applyFont="1" applyAlignment="1">
      <alignment horizontal="center" vertical="center" wrapText="1"/>
    </xf>
    <xf numFmtId="0" fontId="10" fillId="0" borderId="0" xfId="3" applyFont="1" applyAlignment="1">
      <alignment horizontal="center" vertical="center" wrapText="1"/>
    </xf>
    <xf numFmtId="0" fontId="11" fillId="0" borderId="0" xfId="0" applyFont="1" applyAlignment="1">
      <alignment horizontal="center"/>
    </xf>
    <xf numFmtId="0" fontId="11" fillId="0" borderId="0" xfId="0" applyFont="1" applyAlignment="1">
      <alignment horizontal="center" wrapText="1"/>
    </xf>
    <xf numFmtId="0" fontId="0" fillId="0" borderId="0" xfId="0" applyAlignment="1">
      <alignment horizontal="center" vertical="top"/>
    </xf>
    <xf numFmtId="0" fontId="4" fillId="0" borderId="0" xfId="3" applyAlignment="1">
      <alignment horizontal="center" vertical="top"/>
    </xf>
    <xf numFmtId="0" fontId="2" fillId="0" borderId="0" xfId="0" applyFont="1" applyAlignment="1">
      <alignment horizontal="center" vertical="top"/>
    </xf>
    <xf numFmtId="0" fontId="0" fillId="0" borderId="0" xfId="0" applyAlignment="1">
      <alignment horizontal="center" wrapText="1"/>
    </xf>
    <xf numFmtId="0" fontId="6" fillId="0" borderId="0" xfId="0" applyFont="1" applyAlignment="1">
      <alignment horizontal="center" vertical="top"/>
    </xf>
    <xf numFmtId="0" fontId="0" fillId="0" borderId="0" xfId="0" applyAlignment="1">
      <alignment horizontal="center" vertical="top" wrapText="1"/>
    </xf>
    <xf numFmtId="0" fontId="4" fillId="0" borderId="0" xfId="3" applyAlignment="1">
      <alignment vertical="center" wrapText="1"/>
    </xf>
    <xf numFmtId="164" fontId="0" fillId="0" borderId="0" xfId="0" applyNumberFormat="1" applyAlignment="1">
      <alignment horizontal="left"/>
    </xf>
    <xf numFmtId="0" fontId="24" fillId="0" borderId="0" xfId="0" applyFont="1" applyAlignment="1">
      <alignment horizontal="center" vertical="top"/>
    </xf>
    <xf numFmtId="0" fontId="0" fillId="0" borderId="0" xfId="0" applyAlignment="1">
      <alignment horizontal="left" vertical="top"/>
    </xf>
    <xf numFmtId="0" fontId="0" fillId="0" borderId="0" xfId="0" applyAlignment="1">
      <alignment horizontal="left" vertical="top" wrapText="1"/>
    </xf>
    <xf numFmtId="0" fontId="0" fillId="0" borderId="0" xfId="0" applyAlignment="1">
      <alignment horizontal="left" vertical="top"/>
    </xf>
    <xf numFmtId="0" fontId="0" fillId="0" borderId="0" xfId="0" applyAlignment="1">
      <alignment horizontal="left" vertical="top" wrapText="1"/>
    </xf>
    <xf numFmtId="0" fontId="8" fillId="0" borderId="0" xfId="5" applyFont="1" applyAlignment="1">
      <alignment horizontal="left" vertical="top" wrapText="1"/>
    </xf>
    <xf numFmtId="0" fontId="8" fillId="0" borderId="0" xfId="5" applyFont="1" applyAlignment="1">
      <alignment horizontal="left" vertical="top"/>
    </xf>
    <xf numFmtId="0" fontId="4" fillId="0" borderId="0" xfId="3" applyFill="1" applyAlignment="1">
      <alignment horizontal="left"/>
    </xf>
    <xf numFmtId="0" fontId="0" fillId="0" borderId="0" xfId="0" applyFont="1" applyAlignment="1">
      <alignment horizontal="left" vertical="top"/>
    </xf>
    <xf numFmtId="0" fontId="0" fillId="0" borderId="10" xfId="0" applyBorder="1" applyAlignment="1">
      <alignment horizontal="left" vertical="center" wrapText="1"/>
    </xf>
    <xf numFmtId="0" fontId="13" fillId="0" borderId="0" xfId="5" applyFont="1" applyAlignment="1">
      <alignment horizontal="left" vertical="top"/>
    </xf>
    <xf numFmtId="0" fontId="7" fillId="0" borderId="0" xfId="0" applyFont="1" applyAlignment="1">
      <alignment horizontal="left"/>
    </xf>
    <xf numFmtId="0" fontId="11" fillId="0" borderId="0" xfId="0" applyFont="1" applyAlignment="1">
      <alignment horizontal="left" vertical="top" wrapText="1"/>
    </xf>
    <xf numFmtId="0" fontId="16" fillId="0" borderId="0" xfId="0" applyFont="1" applyAlignment="1">
      <alignment horizontal="left" vertical="top"/>
    </xf>
    <xf numFmtId="0" fontId="16" fillId="0" borderId="0" xfId="0" applyFont="1" applyAlignment="1">
      <alignment horizontal="left" vertical="top" wrapText="1"/>
    </xf>
    <xf numFmtId="0" fontId="2" fillId="0" borderId="0" xfId="0" applyFont="1" applyAlignment="1">
      <alignment horizontal="left" wrapText="1"/>
    </xf>
    <xf numFmtId="0" fontId="17" fillId="0" borderId="0" xfId="0" applyFont="1" applyAlignment="1">
      <alignment horizontal="left" wrapText="1"/>
    </xf>
    <xf numFmtId="0" fontId="5" fillId="0" borderId="0" xfId="0" applyFont="1" applyAlignment="1">
      <alignment horizontal="left"/>
    </xf>
    <xf numFmtId="0" fontId="2" fillId="0" borderId="12" xfId="0" applyFont="1" applyBorder="1" applyAlignment="1">
      <alignment horizontal="left" vertical="center" wrapText="1"/>
    </xf>
    <xf numFmtId="0" fontId="17" fillId="0" borderId="0" xfId="0" applyFont="1" applyAlignment="1">
      <alignment horizontal="left" vertical="top"/>
    </xf>
    <xf numFmtId="0" fontId="17" fillId="0" borderId="0" xfId="0" applyFont="1" applyAlignment="1">
      <alignment horizontal="left" vertical="top" wrapText="1"/>
    </xf>
    <xf numFmtId="0" fontId="6" fillId="0" borderId="0" xfId="0" applyFont="1" applyAlignment="1">
      <alignment horizontal="left" vertical="top"/>
    </xf>
    <xf numFmtId="0" fontId="6" fillId="0" borderId="0" xfId="0" applyFont="1" applyAlignment="1">
      <alignment horizontal="left" vertical="top" wrapText="1"/>
    </xf>
    <xf numFmtId="14" fontId="6" fillId="0" borderId="0" xfId="0" applyNumberFormat="1" applyFont="1" applyAlignment="1">
      <alignment horizontal="left"/>
    </xf>
    <xf numFmtId="0" fontId="6" fillId="0" borderId="0" xfId="0" applyFont="1" applyAlignment="1">
      <alignment horizontal="left"/>
    </xf>
    <xf numFmtId="0" fontId="0" fillId="0" borderId="0" xfId="0" applyBorder="1" applyAlignment="1">
      <alignment horizontal="left" vertical="center" wrapText="1"/>
    </xf>
    <xf numFmtId="0" fontId="11" fillId="0" borderId="0" xfId="0" applyFont="1" applyAlignment="1">
      <alignment horizontal="left" wrapText="1"/>
    </xf>
    <xf numFmtId="14" fontId="24" fillId="0" borderId="0" xfId="0" applyNumberFormat="1" applyFont="1" applyAlignment="1">
      <alignment horizontal="left" vertical="top"/>
    </xf>
    <xf numFmtId="0" fontId="24" fillId="0" borderId="0" xfId="0" applyFont="1" applyAlignment="1">
      <alignment horizontal="left" vertical="top"/>
    </xf>
    <xf numFmtId="0" fontId="24" fillId="0" borderId="0" xfId="0" applyFont="1" applyAlignment="1">
      <alignment horizontal="left"/>
    </xf>
    <xf numFmtId="0" fontId="0" fillId="0" borderId="0" xfId="0" applyFont="1" applyAlignment="1">
      <alignment horizontal="left"/>
    </xf>
    <xf numFmtId="0" fontId="0" fillId="0" borderId="0" xfId="0" applyFont="1" applyAlignment="1">
      <alignment horizontal="left" wrapText="1"/>
    </xf>
    <xf numFmtId="0" fontId="6" fillId="9" borderId="0" xfId="0" applyFont="1" applyFill="1" applyAlignment="1">
      <alignment horizontal="left" vertical="top"/>
    </xf>
    <xf numFmtId="0" fontId="2" fillId="6" borderId="0" xfId="0" applyFont="1" applyFill="1" applyAlignment="1">
      <alignment horizontal="left" vertical="top"/>
    </xf>
    <xf numFmtId="0" fontId="0" fillId="0" borderId="0" xfId="0" applyAlignment="1">
      <alignment horizontal="left" vertical="top"/>
    </xf>
    <xf numFmtId="0" fontId="0" fillId="0" borderId="0" xfId="0" applyAlignment="1">
      <alignment horizontal="left" vertical="top" wrapText="1"/>
    </xf>
    <xf numFmtId="0" fontId="4" fillId="0" borderId="0" xfId="3" applyFill="1" applyAlignment="1">
      <alignment horizontal="left" vertical="top"/>
    </xf>
    <xf numFmtId="0" fontId="23" fillId="0" borderId="0" xfId="0" applyFont="1" applyAlignment="1">
      <alignment horizontal="left" vertical="top"/>
    </xf>
    <xf numFmtId="0" fontId="14" fillId="0" borderId="0" xfId="0" applyFont="1" applyAlignment="1">
      <alignment horizontal="left" vertical="top" wrapText="1"/>
    </xf>
    <xf numFmtId="0" fontId="15" fillId="0" borderId="0" xfId="5" applyFont="1" applyAlignment="1">
      <alignment horizontal="left" vertical="top" wrapText="1"/>
    </xf>
    <xf numFmtId="0" fontId="18" fillId="0" borderId="11" xfId="0" applyFont="1" applyBorder="1" applyAlignment="1">
      <alignment horizontal="left" vertical="center" wrapText="1"/>
    </xf>
    <xf numFmtId="0" fontId="2" fillId="0" borderId="11" xfId="0" applyFont="1" applyBorder="1" applyAlignment="1">
      <alignment horizontal="left" vertical="center" wrapText="1"/>
    </xf>
    <xf numFmtId="0" fontId="2" fillId="0" borderId="10" xfId="0" applyFont="1" applyBorder="1" applyAlignment="1">
      <alignment horizontal="left" vertical="center" wrapText="1"/>
    </xf>
    <xf numFmtId="0" fontId="21" fillId="0" borderId="11" xfId="0" applyFont="1" applyBorder="1" applyAlignment="1">
      <alignment horizontal="left" vertical="center" wrapText="1"/>
    </xf>
    <xf numFmtId="0" fontId="17" fillId="0" borderId="11" xfId="0" applyFont="1" applyBorder="1" applyAlignment="1">
      <alignment horizontal="left" vertical="center" wrapText="1"/>
    </xf>
    <xf numFmtId="0" fontId="17" fillId="0" borderId="10" xfId="0" applyFont="1" applyBorder="1" applyAlignment="1">
      <alignment horizontal="left" vertical="center" wrapText="1"/>
    </xf>
    <xf numFmtId="0" fontId="22" fillId="0" borderId="11" xfId="0" applyFont="1" applyBorder="1" applyAlignment="1">
      <alignment horizontal="left" vertical="center" wrapText="1"/>
    </xf>
    <xf numFmtId="0" fontId="20" fillId="0" borderId="11" xfId="0" applyFont="1" applyBorder="1" applyAlignment="1">
      <alignment horizontal="left" vertical="center" wrapText="1"/>
    </xf>
    <xf numFmtId="0" fontId="0" fillId="0" borderId="11" xfId="0" applyBorder="1" applyAlignment="1">
      <alignment horizontal="left" vertical="center" wrapText="1"/>
    </xf>
    <xf numFmtId="164" fontId="0" fillId="0" borderId="0" xfId="0" applyNumberFormat="1"/>
    <xf numFmtId="166" fontId="0" fillId="0" borderId="0" xfId="0" applyNumberFormat="1"/>
    <xf numFmtId="164" fontId="6" fillId="0" borderId="0" xfId="0" applyNumberFormat="1" applyFont="1"/>
    <xf numFmtId="165" fontId="0" fillId="0" borderId="0" xfId="0" applyNumberFormat="1"/>
    <xf numFmtId="0" fontId="0" fillId="0" borderId="0" xfId="0" applyAlignment="1">
      <alignment horizontal="left" vertical="top"/>
    </xf>
    <xf numFmtId="0" fontId="0" fillId="0" borderId="0" xfId="0" applyAlignment="1">
      <alignment horizontal="left" vertical="top" wrapText="1"/>
    </xf>
    <xf numFmtId="0" fontId="2" fillId="0" borderId="3" xfId="0" applyFont="1" applyBorder="1" applyAlignment="1">
      <alignment horizontal="left"/>
    </xf>
    <xf numFmtId="0" fontId="1" fillId="3" borderId="0" xfId="2" applyFont="1" applyBorder="1" applyAlignment="1">
      <alignment horizontal="center"/>
    </xf>
    <xf numFmtId="0" fontId="3" fillId="8" borderId="1" xfId="7" applyBorder="1" applyAlignment="1">
      <alignment horizontal="center"/>
    </xf>
    <xf numFmtId="0" fontId="0" fillId="0" borderId="0" xfId="0" applyAlignment="1">
      <alignment horizontal="left" vertical="top"/>
    </xf>
    <xf numFmtId="0" fontId="0" fillId="0" borderId="0" xfId="0" applyAlignment="1">
      <alignment horizontal="center" vertical="top"/>
    </xf>
    <xf numFmtId="0" fontId="2" fillId="5" borderId="0" xfId="0" applyFont="1" applyFill="1" applyAlignment="1">
      <alignment horizontal="center"/>
    </xf>
    <xf numFmtId="0" fontId="0" fillId="0" borderId="0" xfId="0" applyAlignment="1">
      <alignment horizontal="left" vertical="top" wrapText="1"/>
    </xf>
    <xf numFmtId="0" fontId="6" fillId="0" borderId="0" xfId="1" applyFont="1" applyFill="1" applyBorder="1" applyAlignment="1">
      <alignment horizontal="left" vertical="top" wrapText="1"/>
    </xf>
    <xf numFmtId="0" fontId="20" fillId="0" borderId="0" xfId="1" applyFont="1" applyFill="1" applyBorder="1" applyAlignment="1">
      <alignment horizontal="left" vertical="top" wrapText="1"/>
    </xf>
    <xf numFmtId="0" fontId="20" fillId="0" borderId="0" xfId="0" applyFont="1" applyAlignment="1">
      <alignment horizontal="left"/>
    </xf>
    <xf numFmtId="0" fontId="6" fillId="0" borderId="0" xfId="0" applyFont="1" applyAlignment="1">
      <alignment wrapText="1"/>
    </xf>
    <xf numFmtId="49" fontId="0" fillId="0" borderId="0" xfId="0" applyNumberFormat="1" applyAlignment="1">
      <alignment horizontal="left"/>
    </xf>
  </cellXfs>
  <cellStyles count="8">
    <cellStyle name="60% - Accent5" xfId="4" builtinId="48"/>
    <cellStyle name="Accent1" xfId="1" builtinId="29"/>
    <cellStyle name="Accent5" xfId="2" builtinId="45"/>
    <cellStyle name="Accent6" xfId="7" builtinId="49"/>
    <cellStyle name="Hyperlink" xfId="3" builtinId="8"/>
    <cellStyle name="Normal" xfId="0" builtinId="0"/>
    <cellStyle name="Normal 2" xfId="6" xr:uid="{00000000-0005-0000-0000-000006000000}"/>
    <cellStyle name="Normal 3" xfId="5" xr:uid="{00000000-0005-0000-0000-000007000000}"/>
  </cellStyles>
  <dxfs count="0"/>
  <tableStyles count="0" defaultTableStyle="TableStyleMedium2" defaultPivotStyle="PivotStyleLight16"/>
  <colors>
    <mruColors>
      <color rgb="FFFFFF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externalLink" Target="externalLinks/externalLink1.xml"/><Relationship Id="rId40"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customXml" Target="../customXml/item1.xml"/></Relationships>
</file>

<file path=xl/diagrams/colors1.xml><?xml version="1.0" encoding="utf-8"?>
<dgm:colorsDef xmlns:dgm="http://schemas.openxmlformats.org/drawingml/2006/diagram" xmlns:a="http://schemas.openxmlformats.org/drawingml/2006/main" uniqueId="urn:microsoft.com/office/officeart/2005/8/colors/colorful2">
  <dgm:title val=""/>
  <dgm:desc val=""/>
  <dgm:catLst>
    <dgm:cat type="colorful" pri="10200"/>
  </dgm:catLst>
  <dgm:styleLbl name="node0">
    <dgm:fillClrLst meth="repeat">
      <a:schemeClr val="accent1"/>
    </dgm:fillClrLst>
    <dgm:linClrLst meth="repeat">
      <a:schemeClr val="lt1"/>
    </dgm:linClrLst>
    <dgm:effectClrLst/>
    <dgm:txLinClrLst/>
    <dgm:txFillClrLst/>
    <dgm:txEffectClrLst/>
  </dgm:styleLbl>
  <dgm:styleLbl name="node1">
    <dgm:fillClrLst>
      <a:schemeClr val="accent2"/>
      <a:schemeClr val="accent3"/>
    </dgm:fillClrLst>
    <dgm:linClrLst meth="repeat">
      <a:schemeClr val="lt1"/>
    </dgm:linClrLst>
    <dgm:effectClrLst/>
    <dgm:txLinClrLst/>
    <dgm:txFillClrLst/>
    <dgm:txEffectClrLst/>
  </dgm:styleLbl>
  <dgm:styleLbl name="alignNode1">
    <dgm:fillClrLst>
      <a:schemeClr val="accent2"/>
      <a:schemeClr val="accent3"/>
    </dgm:fillClrLst>
    <dgm:linClrLst>
      <a:schemeClr val="accent2"/>
      <a:schemeClr val="accent3"/>
    </dgm:linClrLst>
    <dgm:effectClrLst/>
    <dgm:txLinClrLst/>
    <dgm:txFillClrLst/>
    <dgm:txEffectClrLst/>
  </dgm:styleLbl>
  <dgm:styleLbl name="lnNode1">
    <dgm:fillClrLst>
      <a:schemeClr val="accent2"/>
      <a:schemeClr val="accent3"/>
    </dgm:fillClrLst>
    <dgm:linClrLst meth="repeat">
      <a:schemeClr val="lt1"/>
    </dgm:linClrLst>
    <dgm:effectClrLst/>
    <dgm:txLinClrLst/>
    <dgm:txFillClrLst/>
    <dgm:txEffectClrLst/>
  </dgm:styleLbl>
  <dgm:styleLbl name="vennNode1">
    <dgm:fillClrLst>
      <a:schemeClr val="accent2">
        <a:alpha val="50000"/>
      </a:schemeClr>
      <a:schemeClr val="accent3">
        <a:alpha val="50000"/>
      </a:schemeClr>
    </dgm:fillClrLst>
    <dgm:linClrLst meth="repeat">
      <a:schemeClr val="lt1"/>
    </dgm:linClrLst>
    <dgm:effectClrLst/>
    <dgm:txLinClrLst/>
    <dgm:txFillClrLst/>
    <dgm:txEffectClrLst/>
  </dgm:styleLbl>
  <dgm:styleLbl name="node2">
    <dgm:fillClrLst>
      <a:schemeClr val="accent3"/>
    </dgm:fillClrLst>
    <dgm:linClrLst meth="repeat">
      <a:schemeClr val="lt1"/>
    </dgm:linClrLst>
    <dgm:effectClrLst/>
    <dgm:txLinClrLst/>
    <dgm:txFillClrLst/>
    <dgm:txEffectClrLst/>
  </dgm:styleLbl>
  <dgm:styleLbl name="node3">
    <dgm:fillClrLst>
      <a:schemeClr val="accent4"/>
    </dgm:fillClrLst>
    <dgm:linClrLst meth="repeat">
      <a:schemeClr val="lt1"/>
    </dgm:linClrLst>
    <dgm:effectClrLst/>
    <dgm:txLinClrLst/>
    <dgm:txFillClrLst/>
    <dgm:txEffectClrLst/>
  </dgm:styleLbl>
  <dgm:styleLbl name="node4">
    <dgm:fillClrLst>
      <a:schemeClr val="accent5"/>
    </dgm:fillClrLst>
    <dgm:linClrLst meth="repeat">
      <a:schemeClr val="lt1"/>
    </dgm:linClrLst>
    <dgm:effectClrLst/>
    <dgm:txLinClrLst/>
    <dgm:txFillClrLst/>
    <dgm:txEffectClrLst/>
  </dgm:styleLbl>
  <dgm:styleLbl name="fgImgPlace1">
    <dgm:fillClrLst>
      <a:schemeClr val="accent2">
        <a:tint val="50000"/>
      </a:schemeClr>
      <a:schemeClr val="accent3">
        <a:tint val="50000"/>
      </a:schemeClr>
    </dgm:fillClrLst>
    <dgm:linClrLst meth="repeat">
      <a:schemeClr val="lt1"/>
    </dgm:linClrLst>
    <dgm:effectClrLst/>
    <dgm:txLinClrLst/>
    <dgm:txFillClrLst meth="repeat">
      <a:schemeClr val="lt1"/>
    </dgm:txFillClrLst>
    <dgm:txEffectClrLst/>
  </dgm:styleLbl>
  <dgm:styleLbl name="align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bgImgPlace1">
    <dgm:fillClrLst>
      <a:schemeClr val="accent2">
        <a:tint val="50000"/>
      </a:schemeClr>
      <a:schemeClr val="accent3">
        <a:tint val="20000"/>
      </a:schemeClr>
    </dgm:fillClrLst>
    <dgm:linClrLst meth="repeat">
      <a:schemeClr val="lt1"/>
    </dgm:linClrLst>
    <dgm:effectClrLst/>
    <dgm:txLinClrLst/>
    <dgm:txFillClrLst meth="repeat">
      <a:schemeClr val="lt1"/>
    </dgm:txFillClrLst>
    <dgm:txEffectClrLst/>
  </dgm:styleLbl>
  <dgm:styleLbl name="sibTrans2D1">
    <dgm:fillClrLst>
      <a:schemeClr val="accent2"/>
      <a:schemeClr val="accent3"/>
    </dgm:fillClrLst>
    <dgm:linClrLst meth="repeat">
      <a:schemeClr val="lt1"/>
    </dgm:linClrLst>
    <dgm:effectClrLst/>
    <dgm:txLinClrLst/>
    <dgm:txFillClrLst/>
    <dgm:txEffectClrLst/>
  </dgm:styleLbl>
  <dgm:styleLbl name="fgSibTrans2D1">
    <dgm:fillClrLst>
      <a:schemeClr val="accent2"/>
      <a:schemeClr val="accent3"/>
    </dgm:fillClrLst>
    <dgm:linClrLst meth="repeat">
      <a:schemeClr val="lt1"/>
    </dgm:linClrLst>
    <dgm:effectClrLst/>
    <dgm:txLinClrLst/>
    <dgm:txFillClrLst meth="repeat">
      <a:schemeClr val="lt1"/>
    </dgm:txFillClrLst>
    <dgm:txEffectClrLst/>
  </dgm:styleLbl>
  <dgm:styleLbl name="bgSibTrans2D1">
    <dgm:fillClrLst>
      <a:schemeClr val="accent2"/>
      <a:schemeClr val="accent3"/>
    </dgm:fillClrLst>
    <dgm:linClrLst meth="repeat">
      <a:schemeClr val="lt1"/>
    </dgm:linClrLst>
    <dgm:effectClrLst/>
    <dgm:txLinClrLst/>
    <dgm:txFillClrLst meth="repeat">
      <a:schemeClr val="lt1"/>
    </dgm:txFillClrLst>
    <dgm:txEffectClrLst/>
  </dgm:styleLbl>
  <dgm:styleLbl name="sibTrans1D1">
    <dgm:fillClrLst/>
    <dgm:linClrLst>
      <a:schemeClr val="accent2"/>
      <a:schemeClr val="accent3"/>
    </dgm:linClrLst>
    <dgm:effectClrLst/>
    <dgm:txLinClrLst/>
    <dgm:txFillClrLst meth="repeat">
      <a:schemeClr val="tx1"/>
    </dgm:txFillClrLst>
    <dgm:txEffectClrLst/>
  </dgm:styleLbl>
  <dgm:styleLbl name="callout">
    <dgm:fillClrLst meth="repeat">
      <a:schemeClr val="accent2"/>
    </dgm:fillClrLst>
    <dgm:linClrLst meth="repeat">
      <a:schemeClr val="accent2">
        <a:tint val="50000"/>
      </a:schemeClr>
    </dgm:linClrLst>
    <dgm:effectClrLst/>
    <dgm:txLinClrLst/>
    <dgm:txFillClrLst meth="repeat">
      <a:schemeClr val="tx1"/>
    </dgm:txFillClrLst>
    <dgm:txEffectClrLst/>
  </dgm:styleLbl>
  <dgm:styleLbl name="asst0">
    <dgm:fillClrLst meth="repeat">
      <a:schemeClr val="accent2"/>
    </dgm:fillClrLst>
    <dgm:linClrLst meth="repeat">
      <a:schemeClr val="lt1">
        <a:shade val="80000"/>
      </a:schemeClr>
    </dgm:linClrLst>
    <dgm:effectClrLst/>
    <dgm:txLinClrLst/>
    <dgm:txFillClrLst/>
    <dgm:txEffectClrLst/>
  </dgm:styleLbl>
  <dgm:styleLbl name="asst1">
    <dgm:fillClrLst meth="repeat">
      <a:schemeClr val="accent3"/>
    </dgm:fillClrLst>
    <dgm:linClrLst meth="repeat">
      <a:schemeClr val="lt1">
        <a:shade val="80000"/>
      </a:schemeClr>
    </dgm:linClrLst>
    <dgm:effectClrLst/>
    <dgm:txLinClrLst/>
    <dgm:txFillClrLst/>
    <dgm:txEffectClrLst/>
  </dgm:styleLbl>
  <dgm:styleLbl name="asst2">
    <dgm:fillClrLst>
      <a:schemeClr val="accent4"/>
    </dgm:fillClrLst>
    <dgm:linClrLst meth="repeat">
      <a:schemeClr val="lt1"/>
    </dgm:linClrLst>
    <dgm:effectClrLst/>
    <dgm:txLinClrLst/>
    <dgm:txFillClrLst/>
    <dgm:txEffectClrLst/>
  </dgm:styleLbl>
  <dgm:styleLbl name="asst3">
    <dgm:fillClrLst>
      <a:schemeClr val="accent5"/>
    </dgm:fillClrLst>
    <dgm:linClrLst meth="repeat">
      <a:schemeClr val="lt1"/>
    </dgm:linClrLst>
    <dgm:effectClrLst/>
    <dgm:txLinClrLst/>
    <dgm:txFillClrLst/>
    <dgm:txEffectClrLst/>
  </dgm:styleLbl>
  <dgm:styleLbl name="asst4">
    <dgm:fillClrLst>
      <a:schemeClr val="accent6"/>
    </dgm:fillClrLst>
    <dgm:linClrLst meth="repeat">
      <a:schemeClr val="lt1"/>
    </dgm:linClrLst>
    <dgm:effectClrLst/>
    <dgm:txLinClrLst/>
    <dgm:txFillClrLst/>
    <dgm:txEffectClrLst/>
  </dgm:styleLbl>
  <dgm:styleLbl name="parChTrans2D1">
    <dgm:fillClrLst meth="repeat">
      <a:schemeClr val="accent2"/>
    </dgm:fillClrLst>
    <dgm:linClrLst meth="repeat">
      <a:schemeClr val="lt1"/>
    </dgm:linClrLst>
    <dgm:effectClrLst/>
    <dgm:txLinClrLst/>
    <dgm:txFillClrLst meth="repeat">
      <a:schemeClr val="lt1"/>
    </dgm:txFillClrLst>
    <dgm:txEffectClrLst/>
  </dgm:styleLbl>
  <dgm:styleLbl name="parChTrans2D2">
    <dgm:fillClrLst meth="repeat">
      <a:schemeClr val="accent3"/>
    </dgm:fillClrLst>
    <dgm:linClrLst meth="repeat">
      <a:schemeClr val="lt1"/>
    </dgm:linClrLst>
    <dgm:effectClrLst/>
    <dgm:txLinClrLst/>
    <dgm:txFillClrLst/>
    <dgm:txEffectClrLst/>
  </dgm:styleLbl>
  <dgm:styleLbl name="parChTrans2D3">
    <dgm:fillClrLst meth="repeat">
      <a:schemeClr val="accent4"/>
    </dgm:fillClrLst>
    <dgm:linClrLst meth="repeat">
      <a:schemeClr val="lt1"/>
    </dgm:linClrLst>
    <dgm:effectClrLst/>
    <dgm:txLinClrLst/>
    <dgm:txFillClrLst/>
    <dgm:txEffectClrLst/>
  </dgm:styleLbl>
  <dgm:styleLbl name="parChTrans2D4">
    <dgm:fillClrLst meth="repeat">
      <a:schemeClr val="accent5"/>
    </dgm:fillClrLst>
    <dgm:linClrLst meth="repeat">
      <a:schemeClr val="lt1"/>
    </dgm:linClrLst>
    <dgm:effectClrLst/>
    <dgm:txLinClrLst/>
    <dgm:txFillClrLst meth="repeat">
      <a:schemeClr val="lt1"/>
    </dgm:txFillClrLst>
    <dgm:txEffectClrLst/>
  </dgm:styleLbl>
  <dgm:styleLbl name="parChTrans1D1">
    <dgm:fillClrLst meth="repeat">
      <a:schemeClr val="accent2"/>
    </dgm:fillClrLst>
    <dgm:linClrLst meth="repeat">
      <a:schemeClr val="accent2"/>
    </dgm:linClrLst>
    <dgm:effectClrLst/>
    <dgm:txLinClrLst/>
    <dgm:txFillClrLst meth="repeat">
      <a:schemeClr val="tx1"/>
    </dgm:txFillClrLst>
    <dgm:txEffectClrLst/>
  </dgm:styleLbl>
  <dgm:styleLbl name="parChTrans1D2">
    <dgm:fillClrLst meth="repeat">
      <a:schemeClr val="accent2">
        <a:tint val="90000"/>
      </a:schemeClr>
    </dgm:fillClrLst>
    <dgm:linClrLst meth="repeat">
      <a:schemeClr val="accent3"/>
    </dgm:linClrLst>
    <dgm:effectClrLst/>
    <dgm:txLinClrLst/>
    <dgm:txFillClrLst meth="repeat">
      <a:schemeClr val="tx1"/>
    </dgm:txFillClrLst>
    <dgm:txEffectClrLst/>
  </dgm:styleLbl>
  <dgm:styleLbl name="parChTrans1D3">
    <dgm:fillClrLst meth="repeat">
      <a:schemeClr val="accent2">
        <a:tint val="70000"/>
      </a:schemeClr>
    </dgm:fillClrLst>
    <dgm:linClrLst meth="repeat">
      <a:schemeClr val="accent4"/>
    </dgm:linClrLst>
    <dgm:effectClrLst/>
    <dgm:txLinClrLst/>
    <dgm:txFillClrLst meth="repeat">
      <a:schemeClr val="tx1"/>
    </dgm:txFillClrLst>
    <dgm:txEffectClrLst/>
  </dgm:styleLbl>
  <dgm:styleLbl name="parChTrans1D4">
    <dgm:fillClrLst meth="repeat">
      <a:schemeClr val="accent2">
        <a:tint val="50000"/>
      </a:schemeClr>
    </dgm:fillClrLst>
    <dgm:linClrLst meth="repeat">
      <a:schemeClr val="accent5"/>
    </dgm:linClrLst>
    <dgm:effectClrLst/>
    <dgm:txLinClrLst/>
    <dgm:txFillClrLst meth="repeat">
      <a:schemeClr val="tx1"/>
    </dgm:txFillClrLst>
    <dgm:txEffectClrLst/>
  </dgm:styleLbl>
  <dgm:styleLbl name="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conF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align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2"/>
    </dgm:linClrLst>
    <dgm:effectClrLst/>
    <dgm:txLinClrLst/>
    <dgm:txFillClrLst meth="repeat">
      <a:schemeClr val="dk1"/>
    </dgm:txFillClrLst>
    <dgm:txEffectClrLst/>
  </dgm:styleLbl>
  <dgm:styleLbl name="bgAcc1">
    <dgm:fillClrLst meth="repeat">
      <a:schemeClr val="lt1">
        <a:alpha val="90000"/>
      </a:schemeClr>
    </dgm:fillClrLst>
    <dgm:linClrLst>
      <a:schemeClr val="accent2"/>
      <a:schemeClr val="accent3"/>
    </dgm:linClrLst>
    <dgm:effectClrLst/>
    <dgm:txLinClrLst/>
    <dgm:txFillClrLst meth="repeat">
      <a:schemeClr val="dk1"/>
    </dgm:txFillClrLst>
    <dgm:txEffectClrLst/>
  </dgm:styleLbl>
  <dgm:styleLbl name="solidFgAcc1">
    <dgm:fillClrLst meth="repeat">
      <a:schemeClr val="lt1"/>
    </dgm:fillClrLst>
    <dgm:linClrLst>
      <a:schemeClr val="accent2"/>
      <a:schemeClr val="accent3"/>
    </dgm:linClrLst>
    <dgm:effectClrLst/>
    <dgm:txLinClrLst/>
    <dgm:txFillClrLst meth="repeat">
      <a:schemeClr val="dk1"/>
    </dgm:txFillClrLst>
    <dgm:txEffectClrLst/>
  </dgm:styleLbl>
  <dgm:styleLbl name="solidAlignAcc1">
    <dgm:fillClrLst meth="repeat">
      <a:schemeClr val="lt1"/>
    </dgm:fillClrLst>
    <dgm:linClrLst>
      <a:schemeClr val="accent2"/>
      <a:schemeClr val="accent3"/>
    </dgm:linClrLst>
    <dgm:effectClrLst/>
    <dgm:txLinClrLst/>
    <dgm:txFillClrLst meth="repeat">
      <a:schemeClr val="dk1"/>
    </dgm:txFillClrLst>
    <dgm:txEffectClrLst/>
  </dgm:styleLbl>
  <dgm:styleLbl name="solidBgAcc1">
    <dgm:fillClrLst meth="repeat">
      <a:schemeClr val="lt1"/>
    </dgm:fillClrLst>
    <dgm:linClrLst>
      <a:schemeClr val="accent2"/>
      <a:schemeClr val="accent3"/>
    </dgm:linClrLst>
    <dgm:effectClrLst/>
    <dgm:txLinClrLst/>
    <dgm:txFillClrLst meth="repeat">
      <a:schemeClr val="dk1"/>
    </dgm:txFillClrLst>
    <dgm:txEffectClrLst/>
  </dgm:styleLbl>
  <dgm:styleLbl name="f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align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bgAccFollowNode1">
    <dgm:fillClrLst>
      <a:schemeClr val="accent2">
        <a:tint val="40000"/>
        <a:alpha val="90000"/>
      </a:schemeClr>
      <a:schemeClr val="accent3">
        <a:tint val="40000"/>
        <a:alpha val="90000"/>
      </a:schemeClr>
    </dgm:fillClrLst>
    <dgm:linClrLst>
      <a:schemeClr val="accent2">
        <a:tint val="40000"/>
        <a:alpha val="90000"/>
      </a:schemeClr>
      <a:schemeClr val="accent3">
        <a:tint val="40000"/>
        <a:alpha val="90000"/>
      </a:schemeClr>
    </dgm:linClrLst>
    <dgm:effectClrLst/>
    <dgm:txLinClrLst/>
    <dgm:txFillClrLst meth="repeat">
      <a:schemeClr val="dk1"/>
    </dgm:txFillClrLst>
    <dgm:txEffectClrLst/>
  </dgm:styleLbl>
  <dgm:styleLbl name="fgAcc0">
    <dgm:fillClrLst meth="repeat">
      <a:schemeClr val="lt1">
        <a:alpha val="90000"/>
      </a:schemeClr>
    </dgm:fillClrLst>
    <dgm:linClrLst>
      <a:schemeClr val="accent1"/>
    </dgm:linClrLst>
    <dgm:effectClrLst/>
    <dgm:txLinClrLst/>
    <dgm:txFillClrLst meth="repeat">
      <a:schemeClr val="dk1"/>
    </dgm:txFillClrLst>
    <dgm:txEffectClrLst/>
  </dgm:styleLbl>
  <dgm:styleLbl name="fgAcc2">
    <dgm:fillClrLst meth="repeat">
      <a:schemeClr val="lt1">
        <a:alpha val="90000"/>
      </a:schemeClr>
    </dgm:fillClrLst>
    <dgm:linClrLst>
      <a:schemeClr val="accent3"/>
    </dgm:linClrLst>
    <dgm:effectClrLst/>
    <dgm:txLinClrLst/>
    <dgm:txFillClrLst meth="repeat">
      <a:schemeClr val="dk1"/>
    </dgm:txFillClrLst>
    <dgm:txEffectClrLst/>
  </dgm:styleLbl>
  <dgm:styleLbl name="fgAcc3">
    <dgm:fillClrLst meth="repeat">
      <a:schemeClr val="lt1">
        <a:alpha val="90000"/>
      </a:schemeClr>
    </dgm:fillClrLst>
    <dgm:linClrLst>
      <a:schemeClr val="accent4"/>
    </dgm:linClrLst>
    <dgm:effectClrLst/>
    <dgm:txLinClrLst/>
    <dgm:txFillClrLst meth="repeat">
      <a:schemeClr val="dk1"/>
    </dgm:txFillClrLst>
    <dgm:txEffectClrLst/>
  </dgm:styleLbl>
  <dgm:styleLbl name="fgAcc4">
    <dgm:fillClrLst meth="repeat">
      <a:schemeClr val="lt1">
        <a:alpha val="90000"/>
      </a:schemeClr>
    </dgm:fillClrLst>
    <dgm:linClrLst>
      <a:schemeClr val="accent5"/>
    </dgm:linClrLst>
    <dgm:effectClrLst/>
    <dgm:txLinClrLst/>
    <dgm:txFillClrLst meth="repeat">
      <a:schemeClr val="dk1"/>
    </dgm:txFillClrLst>
    <dgm:txEffectClrLst/>
  </dgm:styleLbl>
  <dgm:styleLbl name="bgShp">
    <dgm:fillClrLst meth="repeat">
      <a:schemeClr val="accent2">
        <a:tint val="40000"/>
      </a:schemeClr>
    </dgm:fillClrLst>
    <dgm:linClrLst meth="repeat">
      <a:schemeClr val="dk1"/>
    </dgm:linClrLst>
    <dgm:effectClrLst/>
    <dgm:txLinClrLst/>
    <dgm:txFillClrLst meth="repeat">
      <a:schemeClr val="dk1"/>
    </dgm:txFillClrLst>
    <dgm:txEffectClrLst/>
  </dgm:styleLbl>
  <dgm:styleLbl name="dkBgShp">
    <dgm:fillClrLst meth="repeat">
      <a:schemeClr val="accent2">
        <a:shade val="90000"/>
      </a:schemeClr>
    </dgm:fillClrLst>
    <dgm:linClrLst meth="repeat">
      <a:schemeClr val="dk1"/>
    </dgm:linClrLst>
    <dgm:effectClrLst/>
    <dgm:txLinClrLst/>
    <dgm:txFillClrLst meth="repeat">
      <a:schemeClr val="lt1"/>
    </dgm:txFillClrLst>
    <dgm:txEffectClrLst/>
  </dgm:styleLbl>
  <dgm:styleLbl name="trBgShp">
    <dgm:fillClrLst meth="repeat">
      <a:schemeClr val="accent2">
        <a:tint val="50000"/>
        <a:alpha val="40000"/>
      </a:schemeClr>
    </dgm:fillClrLst>
    <dgm:linClrLst meth="repeat">
      <a:schemeClr val="accent2"/>
    </dgm:linClrLst>
    <dgm:effectClrLst/>
    <dgm:txLinClrLst/>
    <dgm:txFillClrLst meth="repeat">
      <a:schemeClr val="lt1"/>
    </dgm:txFillClrLst>
    <dgm:txEffectClrLst/>
  </dgm:styleLbl>
  <dgm:styleLbl name="fgShp">
    <dgm:fillClrLst meth="repeat">
      <a:schemeClr val="accent2">
        <a:tint val="4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2.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colors3.xml><?xml version="1.0" encoding="utf-8"?>
<dgm:colorsDef xmlns:dgm="http://schemas.openxmlformats.org/drawingml/2006/diagram" xmlns:a="http://schemas.openxmlformats.org/drawingml/2006/main" uniqueId="urn:microsoft.com/office/officeart/2005/8/colors/accent1_2">
  <dgm:title val=""/>
  <dgm:desc val=""/>
  <dgm:catLst>
    <dgm:cat type="accent1" pri="11200"/>
  </dgm:catLst>
  <dgm:styleLbl name="node0">
    <dgm:fillClrLst meth="repeat">
      <a:schemeClr val="accent1"/>
    </dgm:fillClrLst>
    <dgm:linClrLst meth="repeat">
      <a:schemeClr val="lt1"/>
    </dgm:linClrLst>
    <dgm:effectClrLst/>
    <dgm:txLinClrLst/>
    <dgm:txFillClrLst/>
    <dgm:txEffectClrLst/>
  </dgm:styleLbl>
  <dgm:styleLbl name="alignNode1">
    <dgm:fillClrLst meth="repeat">
      <a:schemeClr val="accent1"/>
    </dgm:fillClrLst>
    <dgm:linClrLst meth="repeat">
      <a:schemeClr val="accent1"/>
    </dgm:linClrLst>
    <dgm:effectClrLst/>
    <dgm:txLinClrLst/>
    <dgm:txFillClrLst/>
    <dgm:txEffectClrLst/>
  </dgm:styleLbl>
  <dgm:styleLbl name="node1">
    <dgm:fillClrLst meth="repeat">
      <a:schemeClr val="accent1"/>
    </dgm:fillClrLst>
    <dgm:linClrLst meth="repeat">
      <a:schemeClr val="lt1"/>
    </dgm:linClrLst>
    <dgm:effectClrLst/>
    <dgm:txLinClrLst/>
    <dgm:txFillClrLst/>
    <dgm:txEffectClrLst/>
  </dgm:styleLbl>
  <dgm:styleLbl name="lnNode1">
    <dgm:fillClrLst meth="repeat">
      <a:schemeClr val="accent1"/>
    </dgm:fillClrLst>
    <dgm:linClrLst meth="repeat">
      <a:schemeClr val="lt1"/>
    </dgm:linClrLst>
    <dgm:effectClrLst/>
    <dgm:txLinClrLst/>
    <dgm:txFillClrLst/>
    <dgm:txEffectClrLst/>
  </dgm:styleLbl>
  <dgm:styleLbl name="vennNode1">
    <dgm:fillClrLst meth="repeat">
      <a:schemeClr val="accent1">
        <a:alpha val="50000"/>
      </a:schemeClr>
    </dgm:fillClrLst>
    <dgm:linClrLst meth="repeat">
      <a:schemeClr val="lt1"/>
    </dgm:linClrLst>
    <dgm:effectClrLst/>
    <dgm:txLinClrLst/>
    <dgm:txFillClrLst/>
    <dgm:txEffectClrLst/>
  </dgm:styleLbl>
  <dgm:styleLbl name="node2">
    <dgm:fillClrLst meth="repeat">
      <a:schemeClr val="accent1"/>
    </dgm:fillClrLst>
    <dgm:linClrLst meth="repeat">
      <a:schemeClr val="lt1"/>
    </dgm:linClrLst>
    <dgm:effectClrLst/>
    <dgm:txLinClrLst/>
    <dgm:txFillClrLst/>
    <dgm:txEffectClrLst/>
  </dgm:styleLbl>
  <dgm:styleLbl name="node3">
    <dgm:fillClrLst meth="repeat">
      <a:schemeClr val="accent1"/>
    </dgm:fillClrLst>
    <dgm:linClrLst meth="repeat">
      <a:schemeClr val="lt1"/>
    </dgm:linClrLst>
    <dgm:effectClrLst/>
    <dgm:txLinClrLst/>
    <dgm:txFillClrLst/>
    <dgm:txEffectClrLst/>
  </dgm:styleLbl>
  <dgm:styleLbl name="node4">
    <dgm:fillClrLst meth="repeat">
      <a:schemeClr val="accent1"/>
    </dgm:fillClrLst>
    <dgm:linClrLst meth="repeat">
      <a:schemeClr val="lt1"/>
    </dgm:linClrLst>
    <dgm:effectClrLst/>
    <dgm:txLinClrLst/>
    <dgm:txFillClrLst/>
    <dgm:txEffectClrLst/>
  </dgm:styleLbl>
  <dgm:styleLbl name="f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align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bgImgPlace1">
    <dgm:fillClrLst meth="repeat">
      <a:schemeClr val="accent1">
        <a:tint val="50000"/>
      </a:schemeClr>
    </dgm:fillClrLst>
    <dgm:linClrLst meth="repeat">
      <a:schemeClr val="lt1"/>
    </dgm:linClrLst>
    <dgm:effectClrLst/>
    <dgm:txLinClrLst/>
    <dgm:txFillClrLst meth="repeat">
      <a:schemeClr val="lt1"/>
    </dgm:txFillClrLst>
    <dgm:txEffectClrLst/>
  </dgm:styleLbl>
  <dgm:styleLbl name="sibTrans2D1">
    <dgm:fillClrLst meth="repeat">
      <a:schemeClr val="accent1">
        <a:tint val="60000"/>
      </a:schemeClr>
    </dgm:fillClrLst>
    <dgm:linClrLst meth="repeat">
      <a:schemeClr val="accent1">
        <a:tint val="60000"/>
      </a:schemeClr>
    </dgm:linClrLst>
    <dgm:effectClrLst/>
    <dgm:txLinClrLst/>
    <dgm:txFillClrLst/>
    <dgm:txEffectClrLst/>
  </dgm:styleLbl>
  <dgm:styleLbl name="fgSibTrans2D1">
    <dgm:fillClrLst meth="repeat">
      <a:schemeClr val="accent1">
        <a:tint val="60000"/>
      </a:schemeClr>
    </dgm:fillClrLst>
    <dgm:linClrLst meth="repeat">
      <a:schemeClr val="accent1">
        <a:tint val="60000"/>
      </a:schemeClr>
    </dgm:linClrLst>
    <dgm:effectClrLst/>
    <dgm:txLinClrLst/>
    <dgm:txFillClrLst/>
    <dgm:txEffectClrLst/>
  </dgm:styleLbl>
  <dgm:styleLbl name="bgSibTrans2D1">
    <dgm:fillClrLst meth="repeat">
      <a:schemeClr val="accent1">
        <a:tint val="60000"/>
      </a:schemeClr>
    </dgm:fillClrLst>
    <dgm:linClrLst meth="repeat">
      <a:schemeClr val="accent1">
        <a:tint val="60000"/>
      </a:schemeClr>
    </dgm:linClrLst>
    <dgm:effectClrLst/>
    <dgm:txLinClrLst/>
    <dgm:txFillClrLst/>
    <dgm:txEffectClrLst/>
  </dgm:styleLbl>
  <dgm:styleLbl name="sibTrans1D1">
    <dgm:fillClrLst meth="repeat">
      <a:schemeClr val="accent1"/>
    </dgm:fillClrLst>
    <dgm:linClrLst meth="repeat">
      <a:schemeClr val="accent1"/>
    </dgm:linClrLst>
    <dgm:effectClrLst/>
    <dgm:txLinClrLst/>
    <dgm:txFillClrLst meth="repeat">
      <a:schemeClr val="tx1"/>
    </dgm:txFillClrLst>
    <dgm:txEffectClrLst/>
  </dgm:styleLbl>
  <dgm:styleLbl name="callout">
    <dgm:fillClrLst meth="repeat">
      <a:schemeClr val="accent1"/>
    </dgm:fillClrLst>
    <dgm:linClrLst meth="repeat">
      <a:schemeClr val="accent1">
        <a:tint val="50000"/>
      </a:schemeClr>
    </dgm:linClrLst>
    <dgm:effectClrLst/>
    <dgm:txLinClrLst/>
    <dgm:txFillClrLst meth="repeat">
      <a:schemeClr val="tx1"/>
    </dgm:txFillClrLst>
    <dgm:txEffectClrLst/>
  </dgm:styleLbl>
  <dgm:styleLbl name="asst0">
    <dgm:fillClrLst meth="repeat">
      <a:schemeClr val="accent1"/>
    </dgm:fillClrLst>
    <dgm:linClrLst meth="repeat">
      <a:schemeClr val="lt1"/>
    </dgm:linClrLst>
    <dgm:effectClrLst/>
    <dgm:txLinClrLst/>
    <dgm:txFillClrLst/>
    <dgm:txEffectClrLst/>
  </dgm:styleLbl>
  <dgm:styleLbl name="asst1">
    <dgm:fillClrLst meth="repeat">
      <a:schemeClr val="accent1"/>
    </dgm:fillClrLst>
    <dgm:linClrLst meth="repeat">
      <a:schemeClr val="lt1"/>
    </dgm:linClrLst>
    <dgm:effectClrLst/>
    <dgm:txLinClrLst/>
    <dgm:txFillClrLst/>
    <dgm:txEffectClrLst/>
  </dgm:styleLbl>
  <dgm:styleLbl name="asst2">
    <dgm:fillClrLst meth="repeat">
      <a:schemeClr val="accent1"/>
    </dgm:fillClrLst>
    <dgm:linClrLst meth="repeat">
      <a:schemeClr val="lt1"/>
    </dgm:linClrLst>
    <dgm:effectClrLst/>
    <dgm:txLinClrLst/>
    <dgm:txFillClrLst/>
    <dgm:txEffectClrLst/>
  </dgm:styleLbl>
  <dgm:styleLbl name="asst3">
    <dgm:fillClrLst meth="repeat">
      <a:schemeClr val="accent1"/>
    </dgm:fillClrLst>
    <dgm:linClrLst meth="repeat">
      <a:schemeClr val="lt1"/>
    </dgm:linClrLst>
    <dgm:effectClrLst/>
    <dgm:txLinClrLst/>
    <dgm:txFillClrLst/>
    <dgm:txEffectClrLst/>
  </dgm:styleLbl>
  <dgm:styleLbl name="asst4">
    <dgm:fillClrLst meth="repeat">
      <a:schemeClr val="accent1"/>
    </dgm:fillClrLst>
    <dgm:linClrLst meth="repeat">
      <a:schemeClr val="lt1"/>
    </dgm:linClrLst>
    <dgm:effectClrLst/>
    <dgm:txLinClrLst/>
    <dgm:txFillClrLst/>
    <dgm:txEffectClrLst/>
  </dgm:styleLbl>
  <dgm:styleLbl name="parChTrans2D1">
    <dgm:fillClrLst meth="repeat">
      <a:schemeClr val="accent1">
        <a:tint val="60000"/>
      </a:schemeClr>
    </dgm:fillClrLst>
    <dgm:linClrLst meth="repeat">
      <a:schemeClr val="accent1">
        <a:tint val="60000"/>
      </a:schemeClr>
    </dgm:linClrLst>
    <dgm:effectClrLst/>
    <dgm:txLinClrLst/>
    <dgm:txFillClrLst meth="repeat">
      <a:schemeClr val="lt1"/>
    </dgm:txFillClrLst>
    <dgm:txEffectClrLst/>
  </dgm:styleLbl>
  <dgm:styleLbl name="parChTrans2D2">
    <dgm:fillClrLst meth="repeat">
      <a:schemeClr val="accent1"/>
    </dgm:fillClrLst>
    <dgm:linClrLst meth="repeat">
      <a:schemeClr val="accent1"/>
    </dgm:linClrLst>
    <dgm:effectClrLst/>
    <dgm:txLinClrLst/>
    <dgm:txFillClrLst meth="repeat">
      <a:schemeClr val="lt1"/>
    </dgm:txFillClrLst>
    <dgm:txEffectClrLst/>
  </dgm:styleLbl>
  <dgm:styleLbl name="parChTrans2D3">
    <dgm:fillClrLst meth="repeat">
      <a:schemeClr val="accent1"/>
    </dgm:fillClrLst>
    <dgm:linClrLst meth="repeat">
      <a:schemeClr val="accent1"/>
    </dgm:linClrLst>
    <dgm:effectClrLst/>
    <dgm:txLinClrLst/>
    <dgm:txFillClrLst meth="repeat">
      <a:schemeClr val="lt1"/>
    </dgm:txFillClrLst>
    <dgm:txEffectClrLst/>
  </dgm:styleLbl>
  <dgm:styleLbl name="parChTrans2D4">
    <dgm:fillClrLst meth="repeat">
      <a:schemeClr val="accent1"/>
    </dgm:fillClrLst>
    <dgm:linClrLst meth="repeat">
      <a:schemeClr val="accent1"/>
    </dgm:linClrLst>
    <dgm:effectClrLst/>
    <dgm:txLinClrLst/>
    <dgm:txFillClrLst meth="repeat">
      <a:schemeClr val="lt1"/>
    </dgm:txFillClrLst>
    <dgm:txEffectClrLst/>
  </dgm:styleLbl>
  <dgm:styleLbl name="parChTrans1D1">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2">
    <dgm:fillClrLst meth="repeat">
      <a:schemeClr val="accent1"/>
    </dgm:fillClrLst>
    <dgm:linClrLst meth="repeat">
      <a:schemeClr val="accent1">
        <a:shade val="60000"/>
      </a:schemeClr>
    </dgm:linClrLst>
    <dgm:effectClrLst/>
    <dgm:txLinClrLst/>
    <dgm:txFillClrLst meth="repeat">
      <a:schemeClr val="tx1"/>
    </dgm:txFillClrLst>
    <dgm:txEffectClrLst/>
  </dgm:styleLbl>
  <dgm:styleLbl name="parChTrans1D3">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parChTrans1D4">
    <dgm:fillClrLst meth="repeat">
      <a:schemeClr val="accent1"/>
    </dgm:fillClrLst>
    <dgm:linClrLst meth="repeat">
      <a:schemeClr val="accent1">
        <a:shade val="80000"/>
      </a:schemeClr>
    </dgm:linClrLst>
    <dgm:effectClrLst/>
    <dgm:txLinClrLst/>
    <dgm:txFillClrLst meth="repeat">
      <a:schemeClr val="tx1"/>
    </dgm:txFillClrLst>
    <dgm:txEffectClrLst/>
  </dgm:styleLbl>
  <dgm:styleLbl name="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conF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align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trAlignAcc1">
    <dgm:fillClrLst meth="repeat">
      <a:schemeClr val="lt1">
        <a:alpha val="40000"/>
      </a:schemeClr>
    </dgm:fillClrLst>
    <dgm:linClrLst meth="repeat">
      <a:schemeClr val="accent1"/>
    </dgm:linClrLst>
    <dgm:effectClrLst/>
    <dgm:txLinClrLst/>
    <dgm:txFillClrLst meth="repeat">
      <a:schemeClr val="dk1"/>
    </dgm:txFillClrLst>
    <dgm:txEffectClrLst/>
  </dgm:styleLbl>
  <dgm:styleLbl name="bgAcc1">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solidFgAcc1">
    <dgm:fillClrLst meth="repeat">
      <a:schemeClr val="lt1"/>
    </dgm:fillClrLst>
    <dgm:linClrLst meth="repeat">
      <a:schemeClr val="accent1"/>
    </dgm:linClrLst>
    <dgm:effectClrLst/>
    <dgm:txLinClrLst/>
    <dgm:txFillClrLst meth="repeat">
      <a:schemeClr val="dk1"/>
    </dgm:txFillClrLst>
    <dgm:txEffectClrLst/>
  </dgm:styleLbl>
  <dgm:styleLbl name="solidAlignAcc1">
    <dgm:fillClrLst meth="repeat">
      <a:schemeClr val="lt1"/>
    </dgm:fillClrLst>
    <dgm:linClrLst meth="repeat">
      <a:schemeClr val="accent1"/>
    </dgm:linClrLst>
    <dgm:effectClrLst/>
    <dgm:txLinClrLst/>
    <dgm:txFillClrLst meth="repeat">
      <a:schemeClr val="dk1"/>
    </dgm:txFillClrLst>
    <dgm:txEffectClrLst/>
  </dgm:styleLbl>
  <dgm:styleLbl name="solidBgAcc1">
    <dgm:fillClrLst meth="repeat">
      <a:schemeClr val="lt1"/>
    </dgm:fillClrLst>
    <dgm:linClrLst meth="repeat">
      <a:schemeClr val="accent1"/>
    </dgm:linClrLst>
    <dgm:effectClrLst/>
    <dgm:txLinClrLst/>
    <dgm:txFillClrLst meth="repeat">
      <a:schemeClr val="dk1"/>
    </dgm:txFillClrLst>
    <dgm:txEffectClrLst/>
  </dgm:styleLbl>
  <dgm:styleLbl name="f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align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bgAccFollowNode1">
    <dgm:fillClrLst meth="repeat">
      <a:schemeClr val="accent1">
        <a:alpha val="90000"/>
        <a:tint val="40000"/>
      </a:schemeClr>
    </dgm:fillClrLst>
    <dgm:linClrLst meth="repeat">
      <a:schemeClr val="accent1">
        <a:alpha val="90000"/>
        <a:tint val="40000"/>
      </a:schemeClr>
    </dgm:linClrLst>
    <dgm:effectClrLst/>
    <dgm:txLinClrLst/>
    <dgm:txFillClrLst meth="repeat">
      <a:schemeClr val="dk1"/>
    </dgm:txFillClrLst>
    <dgm:txEffectClrLst/>
  </dgm:styleLbl>
  <dgm:styleLbl name="fgAcc0">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2">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3">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fgAcc4">
    <dgm:fillClrLst meth="repeat">
      <a:schemeClr val="lt1">
        <a:alpha val="90000"/>
      </a:schemeClr>
    </dgm:fillClrLst>
    <dgm:linClrLst meth="repeat">
      <a:schemeClr val="accent1"/>
    </dgm:linClrLst>
    <dgm:effectClrLst/>
    <dgm:txLinClrLst/>
    <dgm:txFillClrLst meth="repeat">
      <a:schemeClr val="dk1"/>
    </dgm:txFillClrLst>
    <dgm:txEffectClrLst/>
  </dgm:styleLbl>
  <dgm:styleLbl name="bgShp">
    <dgm:fillClrLst meth="repeat">
      <a:schemeClr val="accent1">
        <a:tint val="40000"/>
      </a:schemeClr>
    </dgm:fillClrLst>
    <dgm:linClrLst meth="repeat">
      <a:schemeClr val="accent1"/>
    </dgm:linClrLst>
    <dgm:effectClrLst/>
    <dgm:txLinClrLst/>
    <dgm:txFillClrLst meth="repeat">
      <a:schemeClr val="dk1"/>
    </dgm:txFillClrLst>
    <dgm:txEffectClrLst/>
  </dgm:styleLbl>
  <dgm:styleLbl name="dkBgShp">
    <dgm:fillClrLst meth="repeat">
      <a:schemeClr val="accent1">
        <a:shade val="80000"/>
      </a:schemeClr>
    </dgm:fillClrLst>
    <dgm:linClrLst meth="repeat">
      <a:schemeClr val="accent1"/>
    </dgm:linClrLst>
    <dgm:effectClrLst/>
    <dgm:txLinClrLst/>
    <dgm:txFillClrLst meth="repeat">
      <a:schemeClr val="lt1"/>
    </dgm:txFillClrLst>
    <dgm:txEffectClrLst/>
  </dgm:styleLbl>
  <dgm:styleLbl name="trBgShp">
    <dgm:fillClrLst meth="repeat">
      <a:schemeClr val="accent1">
        <a:tint val="50000"/>
        <a:alpha val="40000"/>
      </a:schemeClr>
    </dgm:fillClrLst>
    <dgm:linClrLst meth="repeat">
      <a:schemeClr val="accent1"/>
    </dgm:linClrLst>
    <dgm:effectClrLst/>
    <dgm:txLinClrLst/>
    <dgm:txFillClrLst meth="repeat">
      <a:schemeClr val="lt1"/>
    </dgm:txFillClrLst>
    <dgm:txEffectClrLst/>
  </dgm:styleLbl>
  <dgm:styleLbl name="fgShp">
    <dgm:fillClrLst meth="repeat">
      <a:schemeClr val="accent1">
        <a:tint val="60000"/>
      </a:schemeClr>
    </dgm:fillClrLst>
    <dgm:linClrLst meth="repeat">
      <a:schemeClr val="lt1"/>
    </dgm:linClrLst>
    <dgm:effectClrLst/>
    <dgm:txLinClrLst/>
    <dgm:txFillClrLst meth="repeat">
      <a:schemeClr val="dk1"/>
    </dgm:txFillClrLst>
    <dgm:txEffectClrLst/>
  </dgm:styleLbl>
  <dgm:styleLbl name="revTx">
    <dgm:fillClrLst meth="repeat">
      <a:schemeClr val="lt1">
        <a:alpha val="0"/>
      </a:schemeClr>
    </dgm:fillClrLst>
    <dgm:linClrLst meth="repeat">
      <a:schemeClr val="dk1">
        <a:alpha val="0"/>
      </a:schemeClr>
    </dgm:linClrLst>
    <dgm:effectClrLst/>
    <dgm:txLinClrLst/>
    <dgm:txFillClrLst meth="repeat">
      <a:schemeClr val="tx1"/>
    </dgm:txFillClrLst>
    <dgm:txEffectClrLst/>
  </dgm:styleLbl>
</dgm:colorsDef>
</file>

<file path=xl/diagrams/data1.xml><?xml version="1.0" encoding="utf-8"?>
<dgm:dataModel xmlns:dgm="http://schemas.openxmlformats.org/drawingml/2006/diagram" xmlns:a="http://schemas.openxmlformats.org/drawingml/2006/main">
  <dgm:ptLst>
    <dgm:pt modelId="{28A6B602-8C36-45CC-8C92-A71383C8E4FA}" type="doc">
      <dgm:prSet loTypeId="urn:microsoft.com/office/officeart/2005/8/layout/radial1" loCatId="cycle" qsTypeId="urn:microsoft.com/office/officeart/2005/8/quickstyle/simple1" qsCatId="simple" csTypeId="urn:microsoft.com/office/officeart/2005/8/colors/colorful2" csCatId="colorful" phldr="1"/>
      <dgm:spPr/>
      <dgm:t>
        <a:bodyPr/>
        <a:lstStyle/>
        <a:p>
          <a:endParaRPr lang="en-US"/>
        </a:p>
      </dgm:t>
    </dgm:pt>
    <dgm:pt modelId="{9AFDC8C5-8B4C-43DC-AFE0-78831DA982EF}">
      <dgm:prSet phldrT="[Text]" custT="1"/>
      <dgm:spPr/>
      <dgm:t>
        <a:bodyPr/>
        <a:lstStyle/>
        <a:p>
          <a:r>
            <a:rPr lang="en-US" sz="1400"/>
            <a:t>Stock Take Fact</a:t>
          </a:r>
        </a:p>
        <a:p>
          <a:r>
            <a:rPr lang="en-US" sz="1050"/>
            <a:t>One row for each Stock Take event</a:t>
          </a:r>
          <a:endParaRPr lang="en-US" sz="600"/>
        </a:p>
      </dgm:t>
    </dgm:pt>
    <dgm:pt modelId="{B52BB7F1-FE52-4E60-A5AF-967F85D8F566}" type="parTrans" cxnId="{B99C0ADB-56A2-4138-BBCA-6FADA4D8A89E}">
      <dgm:prSet/>
      <dgm:spPr/>
      <dgm:t>
        <a:bodyPr/>
        <a:lstStyle/>
        <a:p>
          <a:endParaRPr lang="en-US"/>
        </a:p>
      </dgm:t>
    </dgm:pt>
    <dgm:pt modelId="{0EAF07FB-8B9C-41BB-B44C-CF1AEB95E856}" type="sibTrans" cxnId="{B99C0ADB-56A2-4138-BBCA-6FADA4D8A89E}">
      <dgm:prSet/>
      <dgm:spPr/>
      <dgm:t>
        <a:bodyPr/>
        <a:lstStyle/>
        <a:p>
          <a:endParaRPr lang="en-US"/>
        </a:p>
      </dgm:t>
    </dgm:pt>
    <dgm:pt modelId="{FF4F002C-5271-4E86-8862-7A7C1FE6E28C}">
      <dgm:prSet phldrT="[Text]"/>
      <dgm:spPr/>
      <dgm:t>
        <a:bodyPr/>
        <a:lstStyle/>
        <a:p>
          <a:r>
            <a:rPr lang="en-US"/>
            <a:t>Stock Take Date</a:t>
          </a:r>
        </a:p>
      </dgm:t>
    </dgm:pt>
    <dgm:pt modelId="{5DE29C13-8C1E-4859-A70A-1BD0FAB82546}" type="parTrans" cxnId="{384B9F20-ACC6-4533-B5A6-063C5290B623}">
      <dgm:prSet/>
      <dgm:spPr/>
      <dgm:t>
        <a:bodyPr/>
        <a:lstStyle/>
        <a:p>
          <a:endParaRPr lang="en-US"/>
        </a:p>
      </dgm:t>
    </dgm:pt>
    <dgm:pt modelId="{0A80D75E-04A5-40D1-91E9-EA6E229D2717}" type="sibTrans" cxnId="{384B9F20-ACC6-4533-B5A6-063C5290B623}">
      <dgm:prSet/>
      <dgm:spPr/>
      <dgm:t>
        <a:bodyPr/>
        <a:lstStyle/>
        <a:p>
          <a:endParaRPr lang="en-US"/>
        </a:p>
      </dgm:t>
    </dgm:pt>
    <dgm:pt modelId="{8E696A79-B4C1-4A9E-B9ED-6E26C4DE33D4}">
      <dgm:prSet phldrT="[Text]"/>
      <dgm:spPr/>
      <dgm:t>
        <a:bodyPr/>
        <a:lstStyle/>
        <a:p>
          <a:r>
            <a:rPr lang="en-US"/>
            <a:t>Material</a:t>
          </a:r>
        </a:p>
      </dgm:t>
    </dgm:pt>
    <dgm:pt modelId="{FA6CE803-DDF7-4D8E-9FC5-F36E3FE98468}" type="parTrans" cxnId="{44B0FAAF-F799-4D57-BD8B-F779D4D4E2C1}">
      <dgm:prSet/>
      <dgm:spPr/>
      <dgm:t>
        <a:bodyPr/>
        <a:lstStyle/>
        <a:p>
          <a:endParaRPr lang="en-US"/>
        </a:p>
      </dgm:t>
    </dgm:pt>
    <dgm:pt modelId="{AD95DC51-6D2F-4911-9134-071BD952BBB2}" type="sibTrans" cxnId="{44B0FAAF-F799-4D57-BD8B-F779D4D4E2C1}">
      <dgm:prSet/>
      <dgm:spPr/>
      <dgm:t>
        <a:bodyPr/>
        <a:lstStyle/>
        <a:p>
          <a:endParaRPr lang="en-US"/>
        </a:p>
      </dgm:t>
    </dgm:pt>
    <dgm:pt modelId="{570A7DF6-EF66-4E25-9615-1CCA4A661AD4}">
      <dgm:prSet phldrT="[Text]"/>
      <dgm:spPr/>
      <dgm:t>
        <a:bodyPr/>
        <a:lstStyle/>
        <a:p>
          <a:r>
            <a:rPr lang="en-US"/>
            <a:t>Stock Take Indicators</a:t>
          </a:r>
        </a:p>
      </dgm:t>
    </dgm:pt>
    <dgm:pt modelId="{EE0CB707-15D2-4ED7-94B8-5659EEE2CDA7}" type="parTrans" cxnId="{6823B152-5147-4FE2-8DAA-BD8821FAE323}">
      <dgm:prSet/>
      <dgm:spPr/>
      <dgm:t>
        <a:bodyPr/>
        <a:lstStyle/>
        <a:p>
          <a:endParaRPr lang="en-US"/>
        </a:p>
      </dgm:t>
    </dgm:pt>
    <dgm:pt modelId="{EB9598E4-B5D4-43A5-B999-220A800B32DE}" type="sibTrans" cxnId="{6823B152-5147-4FE2-8DAA-BD8821FAE323}">
      <dgm:prSet/>
      <dgm:spPr/>
      <dgm:t>
        <a:bodyPr/>
        <a:lstStyle/>
        <a:p>
          <a:endParaRPr lang="en-US"/>
        </a:p>
      </dgm:t>
    </dgm:pt>
    <dgm:pt modelId="{793BFB14-3A1D-45F4-B80B-0EEF30A18249}" type="pres">
      <dgm:prSet presAssocID="{28A6B602-8C36-45CC-8C92-A71383C8E4FA}" presName="cycle" presStyleCnt="0">
        <dgm:presLayoutVars>
          <dgm:chMax val="1"/>
          <dgm:dir/>
          <dgm:animLvl val="ctr"/>
          <dgm:resizeHandles val="exact"/>
        </dgm:presLayoutVars>
      </dgm:prSet>
      <dgm:spPr/>
    </dgm:pt>
    <dgm:pt modelId="{5C408A75-0536-488F-8741-C9E91368CE7D}" type="pres">
      <dgm:prSet presAssocID="{9AFDC8C5-8B4C-43DC-AFE0-78831DA982EF}" presName="centerShape" presStyleLbl="node0" presStyleIdx="0" presStyleCnt="1" custScaleX="149767" custScaleY="153620" custLinFactNeighborX="-6132" custLinFactNeighborY="21376"/>
      <dgm:spPr/>
    </dgm:pt>
    <dgm:pt modelId="{287CEFE1-7360-435C-A8FB-CA075DE2229F}" type="pres">
      <dgm:prSet presAssocID="{5DE29C13-8C1E-4859-A70A-1BD0FAB82546}" presName="Name9" presStyleLbl="parChTrans1D2" presStyleIdx="0" presStyleCnt="3"/>
      <dgm:spPr/>
    </dgm:pt>
    <dgm:pt modelId="{C4E75FD0-54F6-4543-8D3F-98D67FE211F7}" type="pres">
      <dgm:prSet presAssocID="{5DE29C13-8C1E-4859-A70A-1BD0FAB82546}" presName="connTx" presStyleLbl="parChTrans1D2" presStyleIdx="0" presStyleCnt="3"/>
      <dgm:spPr/>
    </dgm:pt>
    <dgm:pt modelId="{74FF58D3-521D-4A15-8AC9-BDD817EED8B3}" type="pres">
      <dgm:prSet presAssocID="{FF4F002C-5271-4E86-8862-7A7C1FE6E28C}" presName="node" presStyleLbl="node1" presStyleIdx="0" presStyleCnt="3" custRadScaleRad="102271" custRadScaleInc="-9657">
        <dgm:presLayoutVars>
          <dgm:bulletEnabled val="1"/>
        </dgm:presLayoutVars>
      </dgm:prSet>
      <dgm:spPr/>
    </dgm:pt>
    <dgm:pt modelId="{55A79E00-CBA6-4FCF-8AC3-C7F73BA8E5B3}" type="pres">
      <dgm:prSet presAssocID="{FA6CE803-DDF7-4D8E-9FC5-F36E3FE98468}" presName="Name9" presStyleLbl="parChTrans1D2" presStyleIdx="1" presStyleCnt="3"/>
      <dgm:spPr/>
    </dgm:pt>
    <dgm:pt modelId="{C8677DEB-1463-4ACC-9BBD-0CCB232A996B}" type="pres">
      <dgm:prSet presAssocID="{FA6CE803-DDF7-4D8E-9FC5-F36E3FE98468}" presName="connTx" presStyleLbl="parChTrans1D2" presStyleIdx="1" presStyleCnt="3"/>
      <dgm:spPr/>
    </dgm:pt>
    <dgm:pt modelId="{D004EAF4-7C07-4D36-9B34-03E9E2719FC6}" type="pres">
      <dgm:prSet presAssocID="{8E696A79-B4C1-4A9E-B9ED-6E26C4DE33D4}" presName="node" presStyleLbl="node1" presStyleIdx="1" presStyleCnt="3" custRadScaleRad="143404" custRadScaleInc="-101618">
        <dgm:presLayoutVars>
          <dgm:bulletEnabled val="1"/>
        </dgm:presLayoutVars>
      </dgm:prSet>
      <dgm:spPr/>
    </dgm:pt>
    <dgm:pt modelId="{0DC2554C-3078-403A-8CAF-5544F0925428}" type="pres">
      <dgm:prSet presAssocID="{EE0CB707-15D2-4ED7-94B8-5659EEE2CDA7}" presName="Name9" presStyleLbl="parChTrans1D2" presStyleIdx="2" presStyleCnt="3"/>
      <dgm:spPr/>
    </dgm:pt>
    <dgm:pt modelId="{DB909C9C-6B1D-486F-A376-917A4B40E645}" type="pres">
      <dgm:prSet presAssocID="{EE0CB707-15D2-4ED7-94B8-5659EEE2CDA7}" presName="connTx" presStyleLbl="parChTrans1D2" presStyleIdx="2" presStyleCnt="3"/>
      <dgm:spPr/>
    </dgm:pt>
    <dgm:pt modelId="{A84BA448-2E0D-4377-A379-B166014BB087}" type="pres">
      <dgm:prSet presAssocID="{570A7DF6-EF66-4E25-9615-1CCA4A661AD4}" presName="node" presStyleLbl="node1" presStyleIdx="2" presStyleCnt="3" custRadScaleRad="132106" custRadScaleInc="-221473">
        <dgm:presLayoutVars>
          <dgm:bulletEnabled val="1"/>
        </dgm:presLayoutVars>
      </dgm:prSet>
      <dgm:spPr/>
    </dgm:pt>
  </dgm:ptLst>
  <dgm:cxnLst>
    <dgm:cxn modelId="{C29E2320-A533-454A-8D32-5C95A6375541}" type="presOf" srcId="{EE0CB707-15D2-4ED7-94B8-5659EEE2CDA7}" destId="{DB909C9C-6B1D-486F-A376-917A4B40E645}" srcOrd="1" destOrd="0" presId="urn:microsoft.com/office/officeart/2005/8/layout/radial1"/>
    <dgm:cxn modelId="{384B9F20-ACC6-4533-B5A6-063C5290B623}" srcId="{9AFDC8C5-8B4C-43DC-AFE0-78831DA982EF}" destId="{FF4F002C-5271-4E86-8862-7A7C1FE6E28C}" srcOrd="0" destOrd="0" parTransId="{5DE29C13-8C1E-4859-A70A-1BD0FAB82546}" sibTransId="{0A80D75E-04A5-40D1-91E9-EA6E229D2717}"/>
    <dgm:cxn modelId="{0FFF4F43-731D-40F0-8BC7-92126409B695}" type="presOf" srcId="{EE0CB707-15D2-4ED7-94B8-5659EEE2CDA7}" destId="{0DC2554C-3078-403A-8CAF-5544F0925428}" srcOrd="0" destOrd="0" presId="urn:microsoft.com/office/officeart/2005/8/layout/radial1"/>
    <dgm:cxn modelId="{D2A7BA68-C56D-4AF3-8C2B-B97638749E8B}" type="presOf" srcId="{5DE29C13-8C1E-4859-A70A-1BD0FAB82546}" destId="{287CEFE1-7360-435C-A8FB-CA075DE2229F}" srcOrd="0" destOrd="0" presId="urn:microsoft.com/office/officeart/2005/8/layout/radial1"/>
    <dgm:cxn modelId="{AF3D904D-B8A4-4555-8088-8025F78FF364}" type="presOf" srcId="{8E696A79-B4C1-4A9E-B9ED-6E26C4DE33D4}" destId="{D004EAF4-7C07-4D36-9B34-03E9E2719FC6}" srcOrd="0" destOrd="0" presId="urn:microsoft.com/office/officeart/2005/8/layout/radial1"/>
    <dgm:cxn modelId="{6823B152-5147-4FE2-8DAA-BD8821FAE323}" srcId="{9AFDC8C5-8B4C-43DC-AFE0-78831DA982EF}" destId="{570A7DF6-EF66-4E25-9615-1CCA4A661AD4}" srcOrd="2" destOrd="0" parTransId="{EE0CB707-15D2-4ED7-94B8-5659EEE2CDA7}" sibTransId="{EB9598E4-B5D4-43A5-B999-220A800B32DE}"/>
    <dgm:cxn modelId="{63428354-1E31-4D8B-8E2F-7C888980441A}" type="presOf" srcId="{28A6B602-8C36-45CC-8C92-A71383C8E4FA}" destId="{793BFB14-3A1D-45F4-B80B-0EEF30A18249}" srcOrd="0" destOrd="0" presId="urn:microsoft.com/office/officeart/2005/8/layout/radial1"/>
    <dgm:cxn modelId="{6C5771AA-3D00-4580-8873-A70D8F9921F3}" type="presOf" srcId="{5DE29C13-8C1E-4859-A70A-1BD0FAB82546}" destId="{C4E75FD0-54F6-4543-8D3F-98D67FE211F7}" srcOrd="1" destOrd="0" presId="urn:microsoft.com/office/officeart/2005/8/layout/radial1"/>
    <dgm:cxn modelId="{93832CAF-95CE-4069-80D8-784CE8F77660}" type="presOf" srcId="{FA6CE803-DDF7-4D8E-9FC5-F36E3FE98468}" destId="{C8677DEB-1463-4ACC-9BBD-0CCB232A996B}" srcOrd="1" destOrd="0" presId="urn:microsoft.com/office/officeart/2005/8/layout/radial1"/>
    <dgm:cxn modelId="{44B0FAAF-F799-4D57-BD8B-F779D4D4E2C1}" srcId="{9AFDC8C5-8B4C-43DC-AFE0-78831DA982EF}" destId="{8E696A79-B4C1-4A9E-B9ED-6E26C4DE33D4}" srcOrd="1" destOrd="0" parTransId="{FA6CE803-DDF7-4D8E-9FC5-F36E3FE98468}" sibTransId="{AD95DC51-6D2F-4911-9134-071BD952BBB2}"/>
    <dgm:cxn modelId="{A86962B5-BECF-4141-98D3-85A7E45BA6E9}" type="presOf" srcId="{FA6CE803-DDF7-4D8E-9FC5-F36E3FE98468}" destId="{55A79E00-CBA6-4FCF-8AC3-C7F73BA8E5B3}" srcOrd="0" destOrd="0" presId="urn:microsoft.com/office/officeart/2005/8/layout/radial1"/>
    <dgm:cxn modelId="{EA61DCCF-1426-4EDD-B611-5F1C565F2801}" type="presOf" srcId="{FF4F002C-5271-4E86-8862-7A7C1FE6E28C}" destId="{74FF58D3-521D-4A15-8AC9-BDD817EED8B3}" srcOrd="0" destOrd="0" presId="urn:microsoft.com/office/officeart/2005/8/layout/radial1"/>
    <dgm:cxn modelId="{3ED4E5D8-8509-472A-B083-86F0BBFB1CE2}" type="presOf" srcId="{9AFDC8C5-8B4C-43DC-AFE0-78831DA982EF}" destId="{5C408A75-0536-488F-8741-C9E91368CE7D}" srcOrd="0" destOrd="0" presId="urn:microsoft.com/office/officeart/2005/8/layout/radial1"/>
    <dgm:cxn modelId="{B99C0ADB-56A2-4138-BBCA-6FADA4D8A89E}" srcId="{28A6B602-8C36-45CC-8C92-A71383C8E4FA}" destId="{9AFDC8C5-8B4C-43DC-AFE0-78831DA982EF}" srcOrd="0" destOrd="0" parTransId="{B52BB7F1-FE52-4E60-A5AF-967F85D8F566}" sibTransId="{0EAF07FB-8B9C-41BB-B44C-CF1AEB95E856}"/>
    <dgm:cxn modelId="{A13E48FB-F8A7-4BAA-A6FA-805328E35BBA}" type="presOf" srcId="{570A7DF6-EF66-4E25-9615-1CCA4A661AD4}" destId="{A84BA448-2E0D-4377-A379-B166014BB087}" srcOrd="0" destOrd="0" presId="urn:microsoft.com/office/officeart/2005/8/layout/radial1"/>
    <dgm:cxn modelId="{4896E1C8-948C-43E7-A06D-09E394ADB6DE}" type="presParOf" srcId="{793BFB14-3A1D-45F4-B80B-0EEF30A18249}" destId="{5C408A75-0536-488F-8741-C9E91368CE7D}" srcOrd="0" destOrd="0" presId="urn:microsoft.com/office/officeart/2005/8/layout/radial1"/>
    <dgm:cxn modelId="{56A43DC8-BC62-439E-83D4-8835DB15862F}" type="presParOf" srcId="{793BFB14-3A1D-45F4-B80B-0EEF30A18249}" destId="{287CEFE1-7360-435C-A8FB-CA075DE2229F}" srcOrd="1" destOrd="0" presId="urn:microsoft.com/office/officeart/2005/8/layout/radial1"/>
    <dgm:cxn modelId="{FDB5FAC6-66DE-4B72-8A1A-25ACE6D7615C}" type="presParOf" srcId="{287CEFE1-7360-435C-A8FB-CA075DE2229F}" destId="{C4E75FD0-54F6-4543-8D3F-98D67FE211F7}" srcOrd="0" destOrd="0" presId="urn:microsoft.com/office/officeart/2005/8/layout/radial1"/>
    <dgm:cxn modelId="{B8AC2699-03C2-46A0-8CB7-9F9A0FC26134}" type="presParOf" srcId="{793BFB14-3A1D-45F4-B80B-0EEF30A18249}" destId="{74FF58D3-521D-4A15-8AC9-BDD817EED8B3}" srcOrd="2" destOrd="0" presId="urn:microsoft.com/office/officeart/2005/8/layout/radial1"/>
    <dgm:cxn modelId="{CDCAFEB0-4201-4266-92F1-B7E7B4873C5A}" type="presParOf" srcId="{793BFB14-3A1D-45F4-B80B-0EEF30A18249}" destId="{55A79E00-CBA6-4FCF-8AC3-C7F73BA8E5B3}" srcOrd="3" destOrd="0" presId="urn:microsoft.com/office/officeart/2005/8/layout/radial1"/>
    <dgm:cxn modelId="{D45376B2-291D-4607-B7A3-95292E7A486C}" type="presParOf" srcId="{55A79E00-CBA6-4FCF-8AC3-C7F73BA8E5B3}" destId="{C8677DEB-1463-4ACC-9BBD-0CCB232A996B}" srcOrd="0" destOrd="0" presId="urn:microsoft.com/office/officeart/2005/8/layout/radial1"/>
    <dgm:cxn modelId="{98D2F348-9F79-4B81-AABF-5917E5E9C3A0}" type="presParOf" srcId="{793BFB14-3A1D-45F4-B80B-0EEF30A18249}" destId="{D004EAF4-7C07-4D36-9B34-03E9E2719FC6}" srcOrd="4" destOrd="0" presId="urn:microsoft.com/office/officeart/2005/8/layout/radial1"/>
    <dgm:cxn modelId="{3479156F-01C5-416F-9AFB-0F98DCBD7F37}" type="presParOf" srcId="{793BFB14-3A1D-45F4-B80B-0EEF30A18249}" destId="{0DC2554C-3078-403A-8CAF-5544F0925428}" srcOrd="5" destOrd="0" presId="urn:microsoft.com/office/officeart/2005/8/layout/radial1"/>
    <dgm:cxn modelId="{FACCFF84-3863-45D7-8164-228A4B57C414}" type="presParOf" srcId="{0DC2554C-3078-403A-8CAF-5544F0925428}" destId="{DB909C9C-6B1D-486F-A376-917A4B40E645}" srcOrd="0" destOrd="0" presId="urn:microsoft.com/office/officeart/2005/8/layout/radial1"/>
    <dgm:cxn modelId="{D219783C-4C9C-4EC9-ACE0-E4A8C1377DF1}" type="presParOf" srcId="{793BFB14-3A1D-45F4-B80B-0EEF30A18249}" destId="{A84BA448-2E0D-4377-A379-B166014BB087}" srcOrd="6" destOrd="0" presId="urn:microsoft.com/office/officeart/2005/8/layout/radial1"/>
  </dgm:cxnLst>
  <dgm:bg/>
  <dgm:whole/>
  <dgm:extLst>
    <a:ext uri="http://schemas.microsoft.com/office/drawing/2008/diagram">
      <dsp:dataModelExt xmlns:dsp="http://schemas.microsoft.com/office/drawing/2008/diagram" relId="rId5" minVer="http://schemas.openxmlformats.org/drawingml/2006/diagram"/>
    </a:ext>
  </dgm:extLst>
</dgm:dataModel>
</file>

<file path=xl/diagrams/data2.xml><?xml version="1.0" encoding="utf-8"?>
<dgm:dataModel xmlns:dgm="http://schemas.openxmlformats.org/drawingml/2006/diagram" xmlns:a="http://schemas.openxmlformats.org/drawingml/2006/main">
  <dgm:ptLst>
    <dgm:pt modelId="{0F0EEE7D-5A6A-48BC-B8E9-DD19B8715B94}"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F0E1DDDD-AEB7-4ADC-A709-7ADD329B80AC}">
      <dgm:prSet phldrT="[Text]" custT="1"/>
      <dgm:spPr/>
      <dgm:t>
        <a:bodyPr/>
        <a:lstStyle/>
        <a:p>
          <a:r>
            <a:rPr lang="en-ZA" sz="900"/>
            <a:t>Employee</a:t>
          </a:r>
        </a:p>
        <a:p>
          <a:r>
            <a:rPr lang="en-ZA" sz="900"/>
            <a:t>TimeSheet</a:t>
          </a:r>
        </a:p>
        <a:p>
          <a:r>
            <a:rPr lang="en-ZA" sz="900"/>
            <a:t>Fact</a:t>
          </a:r>
        </a:p>
        <a:p>
          <a:endParaRPr lang="en-ZA" sz="900"/>
        </a:p>
        <a:p>
          <a:r>
            <a:rPr lang="en-ZA" sz="900"/>
            <a:t>One row added per timesheet submitted during a week</a:t>
          </a:r>
        </a:p>
      </dgm:t>
    </dgm:pt>
    <dgm:pt modelId="{57A736B5-626C-4E9D-BDFA-678EC89851E9}" type="parTrans" cxnId="{167F6348-8EF0-4AD6-9FB4-431EBF7C21FF}">
      <dgm:prSet/>
      <dgm:spPr/>
      <dgm:t>
        <a:bodyPr/>
        <a:lstStyle/>
        <a:p>
          <a:endParaRPr lang="en-ZA"/>
        </a:p>
      </dgm:t>
    </dgm:pt>
    <dgm:pt modelId="{43F75D3A-D672-4CFB-BFB3-8F004EBD8AE2}" type="sibTrans" cxnId="{167F6348-8EF0-4AD6-9FB4-431EBF7C21FF}">
      <dgm:prSet/>
      <dgm:spPr/>
      <dgm:t>
        <a:bodyPr/>
        <a:lstStyle/>
        <a:p>
          <a:endParaRPr lang="en-ZA"/>
        </a:p>
      </dgm:t>
    </dgm:pt>
    <dgm:pt modelId="{D55694AD-9BBE-4A98-9231-6C0029DFF514}">
      <dgm:prSet phldrT="[Text]" custT="1"/>
      <dgm:spPr>
        <a:solidFill>
          <a:schemeClr val="accent6">
            <a:lumMod val="75000"/>
          </a:schemeClr>
        </a:solidFill>
      </dgm:spPr>
      <dgm:t>
        <a:bodyPr/>
        <a:lstStyle/>
        <a:p>
          <a:r>
            <a:rPr lang="en-ZA" sz="900"/>
            <a:t>Week_End</a:t>
          </a:r>
        </a:p>
        <a:p>
          <a:r>
            <a:rPr lang="en-ZA" sz="900"/>
            <a:t>_Date</a:t>
          </a:r>
        </a:p>
        <a:p>
          <a:r>
            <a:rPr lang="en-ZA" sz="900"/>
            <a:t>(Date)</a:t>
          </a:r>
        </a:p>
      </dgm:t>
    </dgm:pt>
    <dgm:pt modelId="{3D319FF2-93CF-48A4-AE4A-CCC19FDE2D97}" type="parTrans" cxnId="{A2A784CE-5867-4DA6-A90C-1B197913523D}">
      <dgm:prSet/>
      <dgm:spPr/>
      <dgm:t>
        <a:bodyPr/>
        <a:lstStyle/>
        <a:p>
          <a:endParaRPr lang="en-ZA"/>
        </a:p>
      </dgm:t>
    </dgm:pt>
    <dgm:pt modelId="{EB0A9D0A-7892-4767-A209-512C7E35DB76}" type="sibTrans" cxnId="{A2A784CE-5867-4DA6-A90C-1B197913523D}">
      <dgm:prSet/>
      <dgm:spPr/>
      <dgm:t>
        <a:bodyPr/>
        <a:lstStyle/>
        <a:p>
          <a:endParaRPr lang="en-ZA"/>
        </a:p>
      </dgm:t>
    </dgm:pt>
    <dgm:pt modelId="{AD65B444-B9CD-400C-A09C-E61C6A021388}">
      <dgm:prSet phldrT="[Text]"/>
      <dgm:spPr>
        <a:solidFill>
          <a:srgbClr val="7030A0"/>
        </a:solidFill>
      </dgm:spPr>
      <dgm:t>
        <a:bodyPr/>
        <a:lstStyle/>
        <a:p>
          <a:r>
            <a:rPr lang="en-ZA"/>
            <a:t>Employee</a:t>
          </a:r>
        </a:p>
      </dgm:t>
    </dgm:pt>
    <dgm:pt modelId="{4BDBEE5A-4DBC-416C-8CC2-EF89E93A3A4C}" type="parTrans" cxnId="{4B9109EF-0716-41D5-B3CB-4F15FCE2C8AE}">
      <dgm:prSet/>
      <dgm:spPr/>
      <dgm:t>
        <a:bodyPr/>
        <a:lstStyle/>
        <a:p>
          <a:endParaRPr lang="en-ZA"/>
        </a:p>
      </dgm:t>
    </dgm:pt>
    <dgm:pt modelId="{B3F08FCA-0DF5-4AE4-B6C5-A6177AC668AA}" type="sibTrans" cxnId="{4B9109EF-0716-41D5-B3CB-4F15FCE2C8AE}">
      <dgm:prSet/>
      <dgm:spPr/>
      <dgm:t>
        <a:bodyPr/>
        <a:lstStyle/>
        <a:p>
          <a:endParaRPr lang="en-ZA"/>
        </a:p>
      </dgm:t>
    </dgm:pt>
    <dgm:pt modelId="{24E4D073-C36A-4CF1-A642-3BC904CE82CE}">
      <dgm:prSet phldrT="[Text]"/>
      <dgm:spPr>
        <a:solidFill>
          <a:srgbClr val="FF0000"/>
        </a:solidFill>
      </dgm:spPr>
      <dgm:t>
        <a:bodyPr/>
        <a:lstStyle/>
        <a:p>
          <a:r>
            <a:rPr lang="en-ZA"/>
            <a:t>Project</a:t>
          </a:r>
        </a:p>
      </dgm:t>
    </dgm:pt>
    <dgm:pt modelId="{5F5ED8FC-4120-4143-9C47-486A6611D9C1}" type="parTrans" cxnId="{816E410D-21AE-4B43-8BFA-6142FE2D878D}">
      <dgm:prSet/>
      <dgm:spPr/>
      <dgm:t>
        <a:bodyPr/>
        <a:lstStyle/>
        <a:p>
          <a:endParaRPr lang="en-ZA"/>
        </a:p>
      </dgm:t>
    </dgm:pt>
    <dgm:pt modelId="{1ADEE968-6437-4756-B652-2B0DC11B1844}" type="sibTrans" cxnId="{816E410D-21AE-4B43-8BFA-6142FE2D878D}">
      <dgm:prSet/>
      <dgm:spPr/>
      <dgm:t>
        <a:bodyPr/>
        <a:lstStyle/>
        <a:p>
          <a:endParaRPr lang="en-ZA"/>
        </a:p>
      </dgm:t>
    </dgm:pt>
    <dgm:pt modelId="{C37F44FC-36D6-40BE-B257-2059A51C7226}" type="pres">
      <dgm:prSet presAssocID="{0F0EEE7D-5A6A-48BC-B8E9-DD19B8715B94}" presName="cycle" presStyleCnt="0">
        <dgm:presLayoutVars>
          <dgm:chMax val="1"/>
          <dgm:dir/>
          <dgm:animLvl val="ctr"/>
          <dgm:resizeHandles val="exact"/>
        </dgm:presLayoutVars>
      </dgm:prSet>
      <dgm:spPr/>
    </dgm:pt>
    <dgm:pt modelId="{3C89EE6D-C5E6-4A60-AF4F-1B8C5AE23421}" type="pres">
      <dgm:prSet presAssocID="{F0E1DDDD-AEB7-4ADC-A709-7ADD329B80AC}" presName="centerShape" presStyleLbl="node0" presStyleIdx="0" presStyleCnt="1" custScaleX="152418" custScaleY="142811" custLinFactNeighborX="1161"/>
      <dgm:spPr/>
    </dgm:pt>
    <dgm:pt modelId="{5487FA13-369F-4726-A0B2-57E018C98BED}" type="pres">
      <dgm:prSet presAssocID="{3D319FF2-93CF-48A4-AE4A-CCC19FDE2D97}" presName="Name9" presStyleLbl="parChTrans1D2" presStyleIdx="0" presStyleCnt="3"/>
      <dgm:spPr/>
    </dgm:pt>
    <dgm:pt modelId="{2F171645-C93A-4BEE-AD02-07978369214E}" type="pres">
      <dgm:prSet presAssocID="{3D319FF2-93CF-48A4-AE4A-CCC19FDE2D97}" presName="connTx" presStyleLbl="parChTrans1D2" presStyleIdx="0" presStyleCnt="3"/>
      <dgm:spPr/>
    </dgm:pt>
    <dgm:pt modelId="{44889C79-B9F1-436F-AEA0-10F07D494EE6}" type="pres">
      <dgm:prSet presAssocID="{D55694AD-9BBE-4A98-9231-6C0029DFF514}" presName="node" presStyleLbl="node1" presStyleIdx="0" presStyleCnt="3" custScaleX="110608" custRadScaleRad="100003" custRadScaleInc="986">
        <dgm:presLayoutVars>
          <dgm:bulletEnabled val="1"/>
        </dgm:presLayoutVars>
      </dgm:prSet>
      <dgm:spPr/>
    </dgm:pt>
    <dgm:pt modelId="{D8A36C47-6E0C-4953-A975-2B34002DA6FF}" type="pres">
      <dgm:prSet presAssocID="{4BDBEE5A-4DBC-416C-8CC2-EF89E93A3A4C}" presName="Name9" presStyleLbl="parChTrans1D2" presStyleIdx="1" presStyleCnt="3"/>
      <dgm:spPr/>
    </dgm:pt>
    <dgm:pt modelId="{08AC38DA-1D92-488A-BD72-0A00F4FEC604}" type="pres">
      <dgm:prSet presAssocID="{4BDBEE5A-4DBC-416C-8CC2-EF89E93A3A4C}" presName="connTx" presStyleLbl="parChTrans1D2" presStyleIdx="1" presStyleCnt="3"/>
      <dgm:spPr/>
    </dgm:pt>
    <dgm:pt modelId="{C45628D1-3F4D-481A-AC4F-D94C30465E21}" type="pres">
      <dgm:prSet presAssocID="{AD65B444-B9CD-400C-A09C-E61C6A021388}" presName="node" presStyleLbl="node1" presStyleIdx="1" presStyleCnt="3" custRadScaleRad="122040" custRadScaleInc="-8597">
        <dgm:presLayoutVars>
          <dgm:bulletEnabled val="1"/>
        </dgm:presLayoutVars>
      </dgm:prSet>
      <dgm:spPr/>
    </dgm:pt>
    <dgm:pt modelId="{73464EC0-510D-44AB-933F-E0AA350BE21E}" type="pres">
      <dgm:prSet presAssocID="{5F5ED8FC-4120-4143-9C47-486A6611D9C1}" presName="Name9" presStyleLbl="parChTrans1D2" presStyleIdx="2" presStyleCnt="3"/>
      <dgm:spPr/>
    </dgm:pt>
    <dgm:pt modelId="{C1A6272D-285E-4037-A62B-973DD81BCE02}" type="pres">
      <dgm:prSet presAssocID="{5F5ED8FC-4120-4143-9C47-486A6611D9C1}" presName="connTx" presStyleLbl="parChTrans1D2" presStyleIdx="2" presStyleCnt="3"/>
      <dgm:spPr/>
    </dgm:pt>
    <dgm:pt modelId="{BC69186D-43E7-4F50-8E24-158008589D07}" type="pres">
      <dgm:prSet presAssocID="{24E4D073-C36A-4CF1-A642-3BC904CE82CE}" presName="node" presStyleLbl="node1" presStyleIdx="2" presStyleCnt="3" custRadScaleRad="124474" custRadScaleInc="-4998">
        <dgm:presLayoutVars>
          <dgm:bulletEnabled val="1"/>
        </dgm:presLayoutVars>
      </dgm:prSet>
      <dgm:spPr/>
    </dgm:pt>
  </dgm:ptLst>
  <dgm:cxnLst>
    <dgm:cxn modelId="{976E7309-3F94-4046-8779-715849361BFC}" type="presOf" srcId="{4BDBEE5A-4DBC-416C-8CC2-EF89E93A3A4C}" destId="{08AC38DA-1D92-488A-BD72-0A00F4FEC604}" srcOrd="1" destOrd="0" presId="urn:microsoft.com/office/officeart/2005/8/layout/radial1"/>
    <dgm:cxn modelId="{816E410D-21AE-4B43-8BFA-6142FE2D878D}" srcId="{F0E1DDDD-AEB7-4ADC-A709-7ADD329B80AC}" destId="{24E4D073-C36A-4CF1-A642-3BC904CE82CE}" srcOrd="2" destOrd="0" parTransId="{5F5ED8FC-4120-4143-9C47-486A6611D9C1}" sibTransId="{1ADEE968-6437-4756-B652-2B0DC11B1844}"/>
    <dgm:cxn modelId="{A6EA4A0F-9F25-49F7-801A-912D5DF0B037}" type="presOf" srcId="{5F5ED8FC-4120-4143-9C47-486A6611D9C1}" destId="{73464EC0-510D-44AB-933F-E0AA350BE21E}" srcOrd="0" destOrd="0" presId="urn:microsoft.com/office/officeart/2005/8/layout/radial1"/>
    <dgm:cxn modelId="{73170731-9A07-4883-8FB4-396783EFEAD3}" type="presOf" srcId="{AD65B444-B9CD-400C-A09C-E61C6A021388}" destId="{C45628D1-3F4D-481A-AC4F-D94C30465E21}" srcOrd="0" destOrd="0" presId="urn:microsoft.com/office/officeart/2005/8/layout/radial1"/>
    <dgm:cxn modelId="{32968B3D-C45F-4681-9F9D-9252C24DD7B0}" type="presOf" srcId="{3D319FF2-93CF-48A4-AE4A-CCC19FDE2D97}" destId="{5487FA13-369F-4726-A0B2-57E018C98BED}" srcOrd="0" destOrd="0" presId="urn:microsoft.com/office/officeart/2005/8/layout/radial1"/>
    <dgm:cxn modelId="{B3C0E63F-6A9E-4DBC-B55A-36647F2F258F}" type="presOf" srcId="{F0E1DDDD-AEB7-4ADC-A709-7ADD329B80AC}" destId="{3C89EE6D-C5E6-4A60-AF4F-1B8C5AE23421}" srcOrd="0" destOrd="0" presId="urn:microsoft.com/office/officeart/2005/8/layout/radial1"/>
    <dgm:cxn modelId="{167F6348-8EF0-4AD6-9FB4-431EBF7C21FF}" srcId="{0F0EEE7D-5A6A-48BC-B8E9-DD19B8715B94}" destId="{F0E1DDDD-AEB7-4ADC-A709-7ADD329B80AC}" srcOrd="0" destOrd="0" parTransId="{57A736B5-626C-4E9D-BDFA-678EC89851E9}" sibTransId="{43F75D3A-D672-4CFB-BFB3-8F004EBD8AE2}"/>
    <dgm:cxn modelId="{09DD746B-44EF-48CE-B4AD-77811838746B}" type="presOf" srcId="{4BDBEE5A-4DBC-416C-8CC2-EF89E93A3A4C}" destId="{D8A36C47-6E0C-4953-A975-2B34002DA6FF}" srcOrd="0" destOrd="0" presId="urn:microsoft.com/office/officeart/2005/8/layout/radial1"/>
    <dgm:cxn modelId="{D5ED9A58-3B23-4213-AFA8-260204135DE2}" type="presOf" srcId="{D55694AD-9BBE-4A98-9231-6C0029DFF514}" destId="{44889C79-B9F1-436F-AEA0-10F07D494EE6}" srcOrd="0" destOrd="0" presId="urn:microsoft.com/office/officeart/2005/8/layout/radial1"/>
    <dgm:cxn modelId="{80D06E9C-9D70-4829-A550-3F2C88E42268}" type="presOf" srcId="{24E4D073-C36A-4CF1-A642-3BC904CE82CE}" destId="{BC69186D-43E7-4F50-8E24-158008589D07}" srcOrd="0" destOrd="0" presId="urn:microsoft.com/office/officeart/2005/8/layout/radial1"/>
    <dgm:cxn modelId="{2F9980AD-C11B-452E-8395-0A2B14C8335C}" type="presOf" srcId="{3D319FF2-93CF-48A4-AE4A-CCC19FDE2D97}" destId="{2F171645-C93A-4BEE-AD02-07978369214E}" srcOrd="1" destOrd="0" presId="urn:microsoft.com/office/officeart/2005/8/layout/radial1"/>
    <dgm:cxn modelId="{C2BB59B7-0506-4EC8-BF17-D5EE6597F942}" type="presOf" srcId="{0F0EEE7D-5A6A-48BC-B8E9-DD19B8715B94}" destId="{C37F44FC-36D6-40BE-B257-2059A51C7226}" srcOrd="0" destOrd="0" presId="urn:microsoft.com/office/officeart/2005/8/layout/radial1"/>
    <dgm:cxn modelId="{85FBBCBB-D31E-4AF3-BB44-5EABF003EA92}" type="presOf" srcId="{5F5ED8FC-4120-4143-9C47-486A6611D9C1}" destId="{C1A6272D-285E-4037-A62B-973DD81BCE02}" srcOrd="1" destOrd="0" presId="urn:microsoft.com/office/officeart/2005/8/layout/radial1"/>
    <dgm:cxn modelId="{A2A784CE-5867-4DA6-A90C-1B197913523D}" srcId="{F0E1DDDD-AEB7-4ADC-A709-7ADD329B80AC}" destId="{D55694AD-9BBE-4A98-9231-6C0029DFF514}" srcOrd="0" destOrd="0" parTransId="{3D319FF2-93CF-48A4-AE4A-CCC19FDE2D97}" sibTransId="{EB0A9D0A-7892-4767-A209-512C7E35DB76}"/>
    <dgm:cxn modelId="{4B9109EF-0716-41D5-B3CB-4F15FCE2C8AE}" srcId="{F0E1DDDD-AEB7-4ADC-A709-7ADD329B80AC}" destId="{AD65B444-B9CD-400C-A09C-E61C6A021388}" srcOrd="1" destOrd="0" parTransId="{4BDBEE5A-4DBC-416C-8CC2-EF89E93A3A4C}" sibTransId="{B3F08FCA-0DF5-4AE4-B6C5-A6177AC668AA}"/>
    <dgm:cxn modelId="{B8421173-358E-4724-BDCF-F2F401AEA111}" type="presParOf" srcId="{C37F44FC-36D6-40BE-B257-2059A51C7226}" destId="{3C89EE6D-C5E6-4A60-AF4F-1B8C5AE23421}" srcOrd="0" destOrd="0" presId="urn:microsoft.com/office/officeart/2005/8/layout/radial1"/>
    <dgm:cxn modelId="{32004370-55C7-4F5D-8CE4-4986C1BEF6FF}" type="presParOf" srcId="{C37F44FC-36D6-40BE-B257-2059A51C7226}" destId="{5487FA13-369F-4726-A0B2-57E018C98BED}" srcOrd="1" destOrd="0" presId="urn:microsoft.com/office/officeart/2005/8/layout/radial1"/>
    <dgm:cxn modelId="{CBA349C5-4637-4C02-9BAD-3969ABED089A}" type="presParOf" srcId="{5487FA13-369F-4726-A0B2-57E018C98BED}" destId="{2F171645-C93A-4BEE-AD02-07978369214E}" srcOrd="0" destOrd="0" presId="urn:microsoft.com/office/officeart/2005/8/layout/radial1"/>
    <dgm:cxn modelId="{5F63B426-6335-41FE-84E5-130EE35AA925}" type="presParOf" srcId="{C37F44FC-36D6-40BE-B257-2059A51C7226}" destId="{44889C79-B9F1-436F-AEA0-10F07D494EE6}" srcOrd="2" destOrd="0" presId="urn:microsoft.com/office/officeart/2005/8/layout/radial1"/>
    <dgm:cxn modelId="{71AC1E3E-F0B8-40E0-93C6-4F6E0394D4AA}" type="presParOf" srcId="{C37F44FC-36D6-40BE-B257-2059A51C7226}" destId="{D8A36C47-6E0C-4953-A975-2B34002DA6FF}" srcOrd="3" destOrd="0" presId="urn:microsoft.com/office/officeart/2005/8/layout/radial1"/>
    <dgm:cxn modelId="{05F9EABE-99ED-4CD5-9D54-4A6263806F63}" type="presParOf" srcId="{D8A36C47-6E0C-4953-A975-2B34002DA6FF}" destId="{08AC38DA-1D92-488A-BD72-0A00F4FEC604}" srcOrd="0" destOrd="0" presId="urn:microsoft.com/office/officeart/2005/8/layout/radial1"/>
    <dgm:cxn modelId="{364E7A8B-B9D9-4105-B018-3A237BDDD706}" type="presParOf" srcId="{C37F44FC-36D6-40BE-B257-2059A51C7226}" destId="{C45628D1-3F4D-481A-AC4F-D94C30465E21}" srcOrd="4" destOrd="0" presId="urn:microsoft.com/office/officeart/2005/8/layout/radial1"/>
    <dgm:cxn modelId="{342A9D0B-059A-468C-8016-503049597A0E}" type="presParOf" srcId="{C37F44FC-36D6-40BE-B257-2059A51C7226}" destId="{73464EC0-510D-44AB-933F-E0AA350BE21E}" srcOrd="5" destOrd="0" presId="urn:microsoft.com/office/officeart/2005/8/layout/radial1"/>
    <dgm:cxn modelId="{1EC09526-CEA7-4E0F-8FE2-96B65816A8B2}" type="presParOf" srcId="{73464EC0-510D-44AB-933F-E0AA350BE21E}" destId="{C1A6272D-285E-4037-A62B-973DD81BCE02}" srcOrd="0" destOrd="0" presId="urn:microsoft.com/office/officeart/2005/8/layout/radial1"/>
    <dgm:cxn modelId="{7B46F5A5-8278-4DA2-B833-773F408D8628}" type="presParOf" srcId="{C37F44FC-36D6-40BE-B257-2059A51C7226}" destId="{BC69186D-43E7-4F50-8E24-158008589D07}" srcOrd="6" destOrd="0" presId="urn:microsoft.com/office/officeart/2005/8/layout/radial1"/>
  </dgm:cxnLst>
  <dgm:bg/>
  <dgm:whole/>
  <dgm:extLst>
    <a:ext uri="http://schemas.microsoft.com/office/drawing/2008/diagram">
      <dsp:dataModelExt xmlns:dsp="http://schemas.microsoft.com/office/drawing/2008/diagram" relId="rId10" minVer="http://schemas.openxmlformats.org/drawingml/2006/diagram"/>
    </a:ext>
  </dgm:extLst>
</dgm:dataModel>
</file>

<file path=xl/diagrams/data3.xml><?xml version="1.0" encoding="utf-8"?>
<dgm:dataModel xmlns:dgm="http://schemas.openxmlformats.org/drawingml/2006/diagram" xmlns:a="http://schemas.openxmlformats.org/drawingml/2006/main">
  <dgm:ptLst>
    <dgm:pt modelId="{E8BE8E4C-46AA-4006-AC52-3F77A8F32EE6}" type="doc">
      <dgm:prSet loTypeId="urn:microsoft.com/office/officeart/2005/8/layout/radial1" loCatId="cycle" qsTypeId="urn:microsoft.com/office/officeart/2005/8/quickstyle/simple1" qsCatId="simple" csTypeId="urn:microsoft.com/office/officeart/2005/8/colors/accent1_2" csCatId="accent1" phldr="1"/>
      <dgm:spPr/>
      <dgm:t>
        <a:bodyPr/>
        <a:lstStyle/>
        <a:p>
          <a:endParaRPr lang="en-ZA"/>
        </a:p>
      </dgm:t>
    </dgm:pt>
    <dgm:pt modelId="{1B70F922-C51B-4614-B3E6-00A343653E2F}">
      <dgm:prSet phldrT="[Text]" custT="1"/>
      <dgm:spPr/>
      <dgm:t>
        <a:bodyPr/>
        <a:lstStyle/>
        <a:p>
          <a:r>
            <a:rPr lang="en-ZA" sz="800"/>
            <a:t>Project Management Fact</a:t>
          </a:r>
        </a:p>
        <a:p>
          <a:endParaRPr lang="en-ZA" sz="800"/>
        </a:p>
        <a:p>
          <a:r>
            <a:rPr lang="en-ZA" sz="800"/>
            <a:t>One row added per project worked on during a year</a:t>
          </a:r>
        </a:p>
        <a:p>
          <a:endParaRPr lang="en-ZA" sz="600"/>
        </a:p>
      </dgm:t>
    </dgm:pt>
    <dgm:pt modelId="{AC80982E-B585-4C04-A9AC-61799EB5D301}" type="parTrans" cxnId="{8CEB304E-792C-4564-9DED-E7CFFA5982E7}">
      <dgm:prSet/>
      <dgm:spPr/>
      <dgm:t>
        <a:bodyPr/>
        <a:lstStyle/>
        <a:p>
          <a:endParaRPr lang="en-ZA"/>
        </a:p>
      </dgm:t>
    </dgm:pt>
    <dgm:pt modelId="{C7B2A175-9C1F-46DD-9F46-78F9D0E8192B}" type="sibTrans" cxnId="{8CEB304E-792C-4564-9DED-E7CFFA5982E7}">
      <dgm:prSet/>
      <dgm:spPr/>
      <dgm:t>
        <a:bodyPr/>
        <a:lstStyle/>
        <a:p>
          <a:endParaRPr lang="en-ZA"/>
        </a:p>
      </dgm:t>
    </dgm:pt>
    <dgm:pt modelId="{B9DAC63D-D6A5-4FDB-93F1-BFDBF49405E4}">
      <dgm:prSet phldrT="[Text]" custT="1"/>
      <dgm:spPr>
        <a:solidFill>
          <a:schemeClr val="accent4"/>
        </a:solidFill>
      </dgm:spPr>
      <dgm:t>
        <a:bodyPr anchor="ctr"/>
        <a:lstStyle/>
        <a:p>
          <a:pPr algn="ctr"/>
          <a:r>
            <a:rPr lang="en-ZA" sz="1200"/>
            <a:t>Report_Date_Key</a:t>
          </a:r>
        </a:p>
      </dgm:t>
    </dgm:pt>
    <dgm:pt modelId="{C715129C-252F-468A-BBA7-98762E517BB0}" type="parTrans" cxnId="{0E095DF1-0854-4E38-A678-2FC139204398}">
      <dgm:prSet/>
      <dgm:spPr/>
      <dgm:t>
        <a:bodyPr/>
        <a:lstStyle/>
        <a:p>
          <a:endParaRPr lang="en-ZA"/>
        </a:p>
      </dgm:t>
    </dgm:pt>
    <dgm:pt modelId="{2DE24309-73D7-4A80-B5B3-5EEB27F28824}" type="sibTrans" cxnId="{0E095DF1-0854-4E38-A678-2FC139204398}">
      <dgm:prSet/>
      <dgm:spPr/>
      <dgm:t>
        <a:bodyPr/>
        <a:lstStyle/>
        <a:p>
          <a:endParaRPr lang="en-ZA"/>
        </a:p>
      </dgm:t>
    </dgm:pt>
    <dgm:pt modelId="{5DE650A2-71CC-41D6-99A0-6889253322A0}">
      <dgm:prSet phldrT="[Text]" custT="1"/>
      <dgm:spPr>
        <a:solidFill>
          <a:schemeClr val="accent1">
            <a:lumMod val="50000"/>
          </a:schemeClr>
        </a:solidFill>
      </dgm:spPr>
      <dgm:t>
        <a:bodyPr/>
        <a:lstStyle/>
        <a:p>
          <a:r>
            <a:rPr lang="en-ZA" sz="1200"/>
            <a:t>Project</a:t>
          </a:r>
        </a:p>
      </dgm:t>
    </dgm:pt>
    <dgm:pt modelId="{ACBE84AC-5C3E-4366-979B-05CF8985ADE0}" type="parTrans" cxnId="{76573243-351B-485C-A005-9A206E903593}">
      <dgm:prSet/>
      <dgm:spPr/>
      <dgm:t>
        <a:bodyPr/>
        <a:lstStyle/>
        <a:p>
          <a:endParaRPr lang="en-ZA"/>
        </a:p>
      </dgm:t>
    </dgm:pt>
    <dgm:pt modelId="{8A7F1B8B-A1EC-4A23-9C17-2CFD390CF031}" type="sibTrans" cxnId="{76573243-351B-485C-A005-9A206E903593}">
      <dgm:prSet/>
      <dgm:spPr/>
      <dgm:t>
        <a:bodyPr/>
        <a:lstStyle/>
        <a:p>
          <a:endParaRPr lang="en-ZA"/>
        </a:p>
      </dgm:t>
    </dgm:pt>
    <dgm:pt modelId="{7678F76A-6399-4502-80A1-4554E5B9BC4C}">
      <dgm:prSet phldrT="[Text]" custT="1"/>
      <dgm:spPr>
        <a:solidFill>
          <a:srgbClr val="FF0000"/>
        </a:solidFill>
      </dgm:spPr>
      <dgm:t>
        <a:bodyPr/>
        <a:lstStyle/>
        <a:p>
          <a:r>
            <a:rPr lang="en-ZA" sz="1200"/>
            <a:t>Customer</a:t>
          </a:r>
        </a:p>
      </dgm:t>
    </dgm:pt>
    <dgm:pt modelId="{9EEAD464-7D75-443A-BCCB-5F487B0B4F92}" type="parTrans" cxnId="{1A65920B-7A79-48B7-8982-D793FE0CC794}">
      <dgm:prSet/>
      <dgm:spPr/>
      <dgm:t>
        <a:bodyPr/>
        <a:lstStyle/>
        <a:p>
          <a:endParaRPr lang="en-ZA"/>
        </a:p>
      </dgm:t>
    </dgm:pt>
    <dgm:pt modelId="{2B7F78BF-BF95-4730-AF05-A42F89580A99}" type="sibTrans" cxnId="{1A65920B-7A79-48B7-8982-D793FE0CC794}">
      <dgm:prSet/>
      <dgm:spPr/>
      <dgm:t>
        <a:bodyPr/>
        <a:lstStyle/>
        <a:p>
          <a:endParaRPr lang="en-ZA"/>
        </a:p>
      </dgm:t>
    </dgm:pt>
    <dgm:pt modelId="{C2C01C8F-4848-4B16-8890-993C6C6DE454}">
      <dgm:prSet custT="1"/>
      <dgm:spPr>
        <a:solidFill>
          <a:srgbClr val="C00000"/>
        </a:solidFill>
      </dgm:spPr>
      <dgm:t>
        <a:bodyPr/>
        <a:lstStyle/>
        <a:p>
          <a:r>
            <a:rPr lang="en-ZA" sz="1050"/>
            <a:t>Project_Status</a:t>
          </a:r>
        </a:p>
      </dgm:t>
    </dgm:pt>
    <dgm:pt modelId="{709188C8-38B9-48F0-9506-943DFF49BE86}" type="parTrans" cxnId="{75CFF57F-CA82-4857-AC11-A4EF856820A1}">
      <dgm:prSet/>
      <dgm:spPr/>
      <dgm:t>
        <a:bodyPr/>
        <a:lstStyle/>
        <a:p>
          <a:endParaRPr lang="en-ZA"/>
        </a:p>
      </dgm:t>
    </dgm:pt>
    <dgm:pt modelId="{29939065-25D7-464E-9845-F2F5E93129B4}" type="sibTrans" cxnId="{75CFF57F-CA82-4857-AC11-A4EF856820A1}">
      <dgm:prSet/>
      <dgm:spPr/>
      <dgm:t>
        <a:bodyPr/>
        <a:lstStyle/>
        <a:p>
          <a:endParaRPr lang="en-ZA"/>
        </a:p>
      </dgm:t>
    </dgm:pt>
    <dgm:pt modelId="{D43F89DB-5B30-441F-8DFF-ACA0AD4D2DBA}">
      <dgm:prSet phldrT="[Text]" custScaleX="131210" custScaleY="124947" custRadScaleRad="132150" custRadScaleInc="85522"/>
      <dgm:spPr>
        <a:solidFill>
          <a:schemeClr val="accent4"/>
        </a:solidFill>
      </dgm:spPr>
      <dgm:t>
        <a:bodyPr/>
        <a:lstStyle/>
        <a:p>
          <a:endParaRPr lang="en-ZA"/>
        </a:p>
      </dgm:t>
    </dgm:pt>
    <dgm:pt modelId="{21706501-A09C-424A-B394-06DD0435B800}" type="parTrans" cxnId="{704B1FB8-7730-4177-8032-8DFD016F9632}">
      <dgm:prSet/>
      <dgm:spPr/>
      <dgm:t>
        <a:bodyPr/>
        <a:lstStyle/>
        <a:p>
          <a:endParaRPr lang="en-ZA"/>
        </a:p>
      </dgm:t>
    </dgm:pt>
    <dgm:pt modelId="{C9FA6306-56B4-4BC7-B1AC-8DE2B34F0FB9}" type="sibTrans" cxnId="{704B1FB8-7730-4177-8032-8DFD016F9632}">
      <dgm:prSet/>
      <dgm:spPr/>
      <dgm:t>
        <a:bodyPr/>
        <a:lstStyle/>
        <a:p>
          <a:endParaRPr lang="en-ZA"/>
        </a:p>
      </dgm:t>
    </dgm:pt>
    <dgm:pt modelId="{C0CD62E2-DE09-474B-9D60-0EB6AFE54B1B}">
      <dgm:prSet phldrT="[Text]" custScaleX="131210" custScaleY="124947" custRadScaleRad="163668" custRadScaleInc="97570"/>
      <dgm:spPr>
        <a:solidFill>
          <a:schemeClr val="accent4"/>
        </a:solidFill>
      </dgm:spPr>
      <dgm:t>
        <a:bodyPr/>
        <a:lstStyle/>
        <a:p>
          <a:endParaRPr lang="en-ZA"/>
        </a:p>
      </dgm:t>
    </dgm:pt>
    <dgm:pt modelId="{BD238C88-CEBD-4C60-BFBA-C6D78C00EF21}" type="parTrans" cxnId="{5FD703B6-0150-4754-A06B-957ECE658F9C}">
      <dgm:prSet/>
      <dgm:spPr/>
      <dgm:t>
        <a:bodyPr/>
        <a:lstStyle/>
        <a:p>
          <a:endParaRPr lang="en-ZA"/>
        </a:p>
      </dgm:t>
    </dgm:pt>
    <dgm:pt modelId="{56C40ED8-FB0F-4828-8AA4-98295DC55A29}" type="sibTrans" cxnId="{5FD703B6-0150-4754-A06B-957ECE658F9C}">
      <dgm:prSet/>
      <dgm:spPr/>
      <dgm:t>
        <a:bodyPr/>
        <a:lstStyle/>
        <a:p>
          <a:endParaRPr lang="en-ZA"/>
        </a:p>
      </dgm:t>
    </dgm:pt>
    <dgm:pt modelId="{3A265337-2400-4303-BA2B-AF384AB61E6D}">
      <dgm:prSet phldrT="[Text]" custScaleX="131210" custScaleY="124947" custRadScaleRad="163668" custRadScaleInc="97570"/>
      <dgm:spPr>
        <a:solidFill>
          <a:schemeClr val="accent4"/>
        </a:solidFill>
      </dgm:spPr>
      <dgm:t>
        <a:bodyPr/>
        <a:lstStyle/>
        <a:p>
          <a:endParaRPr lang="en-ZA"/>
        </a:p>
      </dgm:t>
    </dgm:pt>
    <dgm:pt modelId="{6ECAC818-4381-4775-B60D-6E504593134D}" type="parTrans" cxnId="{C53109CE-FED1-4907-BB68-085EA2ADCC7F}">
      <dgm:prSet/>
      <dgm:spPr/>
      <dgm:t>
        <a:bodyPr/>
        <a:lstStyle/>
        <a:p>
          <a:endParaRPr lang="en-ZA"/>
        </a:p>
      </dgm:t>
    </dgm:pt>
    <dgm:pt modelId="{2E70D3C8-F39D-423C-960A-9BC21A6D13E4}" type="sibTrans" cxnId="{C53109CE-FED1-4907-BB68-085EA2ADCC7F}">
      <dgm:prSet/>
      <dgm:spPr/>
      <dgm:t>
        <a:bodyPr/>
        <a:lstStyle/>
        <a:p>
          <a:endParaRPr lang="en-ZA"/>
        </a:p>
      </dgm:t>
    </dgm:pt>
    <dgm:pt modelId="{23A3745E-878D-44C8-B338-F48523EBD89D}">
      <dgm:prSet custT="1"/>
      <dgm:spPr/>
      <dgm:t>
        <a:bodyPr/>
        <a:lstStyle/>
        <a:p>
          <a:r>
            <a:rPr lang="en-ZA" sz="1200" baseline="0"/>
            <a:t>Project_Request_Date_Key</a:t>
          </a:r>
        </a:p>
      </dgm:t>
    </dgm:pt>
    <dgm:pt modelId="{147B1DA2-84AE-45B5-8640-DF7145838EC0}" type="parTrans" cxnId="{39E1487F-3B64-4611-BDFA-39539AA46E38}">
      <dgm:prSet/>
      <dgm:spPr/>
      <dgm:t>
        <a:bodyPr/>
        <a:lstStyle/>
        <a:p>
          <a:endParaRPr lang="en-ZA"/>
        </a:p>
      </dgm:t>
    </dgm:pt>
    <dgm:pt modelId="{DF584932-FB92-44C5-B41F-9B8A0B4029D9}" type="sibTrans" cxnId="{39E1487F-3B64-4611-BDFA-39539AA46E38}">
      <dgm:prSet/>
      <dgm:spPr/>
      <dgm:t>
        <a:bodyPr/>
        <a:lstStyle/>
        <a:p>
          <a:endParaRPr lang="en-ZA"/>
        </a:p>
      </dgm:t>
    </dgm:pt>
    <dgm:pt modelId="{69DF8A00-4825-41CC-8D1C-413489F62C00}" type="pres">
      <dgm:prSet presAssocID="{E8BE8E4C-46AA-4006-AC52-3F77A8F32EE6}" presName="cycle" presStyleCnt="0">
        <dgm:presLayoutVars>
          <dgm:chMax val="1"/>
          <dgm:dir/>
          <dgm:animLvl val="ctr"/>
          <dgm:resizeHandles val="exact"/>
        </dgm:presLayoutVars>
      </dgm:prSet>
      <dgm:spPr/>
    </dgm:pt>
    <dgm:pt modelId="{4B1526E4-5669-4024-83B8-4A8B6E169241}" type="pres">
      <dgm:prSet presAssocID="{1B70F922-C51B-4614-B3E6-00A343653E2F}" presName="centerShape" presStyleLbl="node0" presStyleIdx="0" presStyleCnt="1" custScaleX="124384" custScaleY="117135" custLinFactNeighborX="719" custLinFactNeighborY="-13206"/>
      <dgm:spPr/>
    </dgm:pt>
    <dgm:pt modelId="{2838AADE-7FDA-4D9A-957B-367ECF25EB2C}" type="pres">
      <dgm:prSet presAssocID="{C715129C-252F-468A-BBA7-98762E517BB0}" presName="Name9" presStyleLbl="parChTrans1D2" presStyleIdx="0" presStyleCnt="5"/>
      <dgm:spPr/>
    </dgm:pt>
    <dgm:pt modelId="{9DF2A351-64C7-488E-A76B-B349C7455972}" type="pres">
      <dgm:prSet presAssocID="{C715129C-252F-468A-BBA7-98762E517BB0}" presName="connTx" presStyleLbl="parChTrans1D2" presStyleIdx="0" presStyleCnt="5"/>
      <dgm:spPr/>
    </dgm:pt>
    <dgm:pt modelId="{980338C9-76FC-44DF-A765-78EDBF0932A9}" type="pres">
      <dgm:prSet presAssocID="{B9DAC63D-D6A5-4FDB-93F1-BFDBF49405E4}" presName="node" presStyleLbl="node1" presStyleIdx="0" presStyleCnt="5" custScaleX="140790" custScaleY="124947" custRadScaleRad="163668" custRadScaleInc="97570">
        <dgm:presLayoutVars>
          <dgm:bulletEnabled val="1"/>
        </dgm:presLayoutVars>
      </dgm:prSet>
      <dgm:spPr/>
    </dgm:pt>
    <dgm:pt modelId="{E3EA2590-1296-49C3-BAF7-BBFF2DE63A07}" type="pres">
      <dgm:prSet presAssocID="{ACBE84AC-5C3E-4366-979B-05CF8985ADE0}" presName="Name9" presStyleLbl="parChTrans1D2" presStyleIdx="1" presStyleCnt="5"/>
      <dgm:spPr/>
    </dgm:pt>
    <dgm:pt modelId="{7B6A07B9-D285-4763-B6DD-33CC3B38A646}" type="pres">
      <dgm:prSet presAssocID="{ACBE84AC-5C3E-4366-979B-05CF8985ADE0}" presName="connTx" presStyleLbl="parChTrans1D2" presStyleIdx="1" presStyleCnt="5"/>
      <dgm:spPr/>
    </dgm:pt>
    <dgm:pt modelId="{C64E4C62-DBF5-4441-B992-140CDE54B3A0}" type="pres">
      <dgm:prSet presAssocID="{5DE650A2-71CC-41D6-99A0-6889253322A0}" presName="node" presStyleLbl="node1" presStyleIdx="1" presStyleCnt="5" custScaleX="122332" custScaleY="111868" custRadScaleRad="124096" custRadScaleInc="105011">
        <dgm:presLayoutVars>
          <dgm:bulletEnabled val="1"/>
        </dgm:presLayoutVars>
      </dgm:prSet>
      <dgm:spPr/>
    </dgm:pt>
    <dgm:pt modelId="{8BF4EDA2-910D-46CB-9F48-E05EC525E760}" type="pres">
      <dgm:prSet presAssocID="{9EEAD464-7D75-443A-BCCB-5F487B0B4F92}" presName="Name9" presStyleLbl="parChTrans1D2" presStyleIdx="2" presStyleCnt="5"/>
      <dgm:spPr/>
    </dgm:pt>
    <dgm:pt modelId="{A4DAC5D1-7AB0-4E3D-A912-957EFFC2F695}" type="pres">
      <dgm:prSet presAssocID="{9EEAD464-7D75-443A-BCCB-5F487B0B4F92}" presName="connTx" presStyleLbl="parChTrans1D2" presStyleIdx="2" presStyleCnt="5"/>
      <dgm:spPr/>
    </dgm:pt>
    <dgm:pt modelId="{5C1E975B-6DBE-4512-AC63-CDD9CF929A8A}" type="pres">
      <dgm:prSet presAssocID="{7678F76A-6399-4502-80A1-4554E5B9BC4C}" presName="node" presStyleLbl="node1" presStyleIdx="2" presStyleCnt="5" custScaleX="112161" custScaleY="104289" custRadScaleRad="166787" custRadScaleInc="92130">
        <dgm:presLayoutVars>
          <dgm:bulletEnabled val="1"/>
        </dgm:presLayoutVars>
      </dgm:prSet>
      <dgm:spPr/>
    </dgm:pt>
    <dgm:pt modelId="{9D4692C8-D487-4537-B4A5-B19EA5D5686F}" type="pres">
      <dgm:prSet presAssocID="{709188C8-38B9-48F0-9506-943DFF49BE86}" presName="Name9" presStyleLbl="parChTrans1D2" presStyleIdx="3" presStyleCnt="5"/>
      <dgm:spPr/>
    </dgm:pt>
    <dgm:pt modelId="{4FFEB8FE-58D8-49CA-9FE2-C681C20F26E9}" type="pres">
      <dgm:prSet presAssocID="{709188C8-38B9-48F0-9506-943DFF49BE86}" presName="connTx" presStyleLbl="parChTrans1D2" presStyleIdx="3" presStyleCnt="5"/>
      <dgm:spPr/>
    </dgm:pt>
    <dgm:pt modelId="{1396B6E6-142A-4DDF-8A4B-4A5D7095A85D}" type="pres">
      <dgm:prSet presAssocID="{C2C01C8F-4848-4B16-8890-993C6C6DE454}" presName="node" presStyleLbl="node1" presStyleIdx="3" presStyleCnt="5" custScaleX="133672" custScaleY="123273" custRadScaleRad="110272" custRadScaleInc="97395">
        <dgm:presLayoutVars>
          <dgm:bulletEnabled val="1"/>
        </dgm:presLayoutVars>
      </dgm:prSet>
      <dgm:spPr/>
    </dgm:pt>
    <dgm:pt modelId="{8539F578-CEE3-449F-B194-98DE395086AA}" type="pres">
      <dgm:prSet presAssocID="{147B1DA2-84AE-45B5-8640-DF7145838EC0}" presName="Name9" presStyleLbl="parChTrans1D2" presStyleIdx="4" presStyleCnt="5"/>
      <dgm:spPr/>
    </dgm:pt>
    <dgm:pt modelId="{41334E2B-7024-40B1-ABB5-C2835183DCEB}" type="pres">
      <dgm:prSet presAssocID="{147B1DA2-84AE-45B5-8640-DF7145838EC0}" presName="connTx" presStyleLbl="parChTrans1D2" presStyleIdx="4" presStyleCnt="5"/>
      <dgm:spPr/>
    </dgm:pt>
    <dgm:pt modelId="{5DB19DF2-7731-456D-AA2B-19AE6E6D9B04}" type="pres">
      <dgm:prSet presAssocID="{23A3745E-878D-44C8-B338-F48523EBD89D}" presName="node" presStyleLbl="node1" presStyleIdx="4" presStyleCnt="5" custScaleX="130105" custScaleY="119147" custRadScaleRad="155398" custRadScaleInc="71227">
        <dgm:presLayoutVars>
          <dgm:bulletEnabled val="1"/>
        </dgm:presLayoutVars>
      </dgm:prSet>
      <dgm:spPr/>
    </dgm:pt>
  </dgm:ptLst>
  <dgm:cxnLst>
    <dgm:cxn modelId="{31FF2206-0E5B-4A21-9827-B8628590003B}" type="presOf" srcId="{ACBE84AC-5C3E-4366-979B-05CF8985ADE0}" destId="{E3EA2590-1296-49C3-BAF7-BBFF2DE63A07}" srcOrd="0" destOrd="0" presId="urn:microsoft.com/office/officeart/2005/8/layout/radial1"/>
    <dgm:cxn modelId="{1A65920B-7A79-48B7-8982-D793FE0CC794}" srcId="{1B70F922-C51B-4614-B3E6-00A343653E2F}" destId="{7678F76A-6399-4502-80A1-4554E5B9BC4C}" srcOrd="2" destOrd="0" parTransId="{9EEAD464-7D75-443A-BCCB-5F487B0B4F92}" sibTransId="{2B7F78BF-BF95-4730-AF05-A42F89580A99}"/>
    <dgm:cxn modelId="{0CFB0D0D-8B2F-44DF-86F8-266C5581A8BD}" type="presOf" srcId="{B9DAC63D-D6A5-4FDB-93F1-BFDBF49405E4}" destId="{980338C9-76FC-44DF-A765-78EDBF0932A9}" srcOrd="0" destOrd="0" presId="urn:microsoft.com/office/officeart/2005/8/layout/radial1"/>
    <dgm:cxn modelId="{16D52B22-339E-45AB-BB7C-704F215E2B78}" type="presOf" srcId="{23A3745E-878D-44C8-B338-F48523EBD89D}" destId="{5DB19DF2-7731-456D-AA2B-19AE6E6D9B04}" srcOrd="0" destOrd="0" presId="urn:microsoft.com/office/officeart/2005/8/layout/radial1"/>
    <dgm:cxn modelId="{57447F36-6711-438C-B605-F5A43A3F09CE}" type="presOf" srcId="{C2C01C8F-4848-4B16-8890-993C6C6DE454}" destId="{1396B6E6-142A-4DDF-8A4B-4A5D7095A85D}" srcOrd="0" destOrd="0" presId="urn:microsoft.com/office/officeart/2005/8/layout/radial1"/>
    <dgm:cxn modelId="{76573243-351B-485C-A005-9A206E903593}" srcId="{1B70F922-C51B-4614-B3E6-00A343653E2F}" destId="{5DE650A2-71CC-41D6-99A0-6889253322A0}" srcOrd="1" destOrd="0" parTransId="{ACBE84AC-5C3E-4366-979B-05CF8985ADE0}" sibTransId="{8A7F1B8B-A1EC-4A23-9C17-2CFD390CF031}"/>
    <dgm:cxn modelId="{B82ECE43-EBF3-4043-A439-5649B0F72F2B}" type="presOf" srcId="{147B1DA2-84AE-45B5-8640-DF7145838EC0}" destId="{8539F578-CEE3-449F-B194-98DE395086AA}" srcOrd="0" destOrd="0" presId="urn:microsoft.com/office/officeart/2005/8/layout/radial1"/>
    <dgm:cxn modelId="{D633856D-4A57-4CB0-AD8E-543F2782A20C}" type="presOf" srcId="{E8BE8E4C-46AA-4006-AC52-3F77A8F32EE6}" destId="{69DF8A00-4825-41CC-8D1C-413489F62C00}" srcOrd="0" destOrd="0" presId="urn:microsoft.com/office/officeart/2005/8/layout/radial1"/>
    <dgm:cxn modelId="{8CEB304E-792C-4564-9DED-E7CFFA5982E7}" srcId="{E8BE8E4C-46AA-4006-AC52-3F77A8F32EE6}" destId="{1B70F922-C51B-4614-B3E6-00A343653E2F}" srcOrd="0" destOrd="0" parTransId="{AC80982E-B585-4C04-A9AC-61799EB5D301}" sibTransId="{C7B2A175-9C1F-46DD-9F46-78F9D0E8192B}"/>
    <dgm:cxn modelId="{6CBFFC5A-7BC3-48D5-99AC-725E1BA6B1D5}" type="presOf" srcId="{C715129C-252F-468A-BBA7-98762E517BB0}" destId="{2838AADE-7FDA-4D9A-957B-367ECF25EB2C}" srcOrd="0" destOrd="0" presId="urn:microsoft.com/office/officeart/2005/8/layout/radial1"/>
    <dgm:cxn modelId="{39E1487F-3B64-4611-BDFA-39539AA46E38}" srcId="{1B70F922-C51B-4614-B3E6-00A343653E2F}" destId="{23A3745E-878D-44C8-B338-F48523EBD89D}" srcOrd="4" destOrd="0" parTransId="{147B1DA2-84AE-45B5-8640-DF7145838EC0}" sibTransId="{DF584932-FB92-44C5-B41F-9B8A0B4029D9}"/>
    <dgm:cxn modelId="{75CFF57F-CA82-4857-AC11-A4EF856820A1}" srcId="{1B70F922-C51B-4614-B3E6-00A343653E2F}" destId="{C2C01C8F-4848-4B16-8890-993C6C6DE454}" srcOrd="3" destOrd="0" parTransId="{709188C8-38B9-48F0-9506-943DFF49BE86}" sibTransId="{29939065-25D7-464E-9845-F2F5E93129B4}"/>
    <dgm:cxn modelId="{D683D782-1EA1-45C8-BF7E-10F17336238D}" type="presOf" srcId="{5DE650A2-71CC-41D6-99A0-6889253322A0}" destId="{C64E4C62-DBF5-4441-B992-140CDE54B3A0}" srcOrd="0" destOrd="0" presId="urn:microsoft.com/office/officeart/2005/8/layout/radial1"/>
    <dgm:cxn modelId="{D7FFF590-F4B2-4BE7-A1BE-7DBE17569AD2}" type="presOf" srcId="{709188C8-38B9-48F0-9506-943DFF49BE86}" destId="{9D4692C8-D487-4537-B4A5-B19EA5D5686F}" srcOrd="0" destOrd="0" presId="urn:microsoft.com/office/officeart/2005/8/layout/radial1"/>
    <dgm:cxn modelId="{5ACFB3A4-70D0-461F-B663-FE2C6F7AB5EE}" type="presOf" srcId="{7678F76A-6399-4502-80A1-4554E5B9BC4C}" destId="{5C1E975B-6DBE-4512-AC63-CDD9CF929A8A}" srcOrd="0" destOrd="0" presId="urn:microsoft.com/office/officeart/2005/8/layout/radial1"/>
    <dgm:cxn modelId="{D6D5A6AF-421D-4B39-89E5-5EFF4D0C7F5B}" type="presOf" srcId="{709188C8-38B9-48F0-9506-943DFF49BE86}" destId="{4FFEB8FE-58D8-49CA-9FE2-C681C20F26E9}" srcOrd="1" destOrd="0" presId="urn:microsoft.com/office/officeart/2005/8/layout/radial1"/>
    <dgm:cxn modelId="{7A9AE7B5-C08F-44EB-9B9B-4C0E82F5439B}" type="presOf" srcId="{9EEAD464-7D75-443A-BCCB-5F487B0B4F92}" destId="{A4DAC5D1-7AB0-4E3D-A912-957EFFC2F695}" srcOrd="1" destOrd="0" presId="urn:microsoft.com/office/officeart/2005/8/layout/radial1"/>
    <dgm:cxn modelId="{5FD703B6-0150-4754-A06B-957ECE658F9C}" srcId="{E8BE8E4C-46AA-4006-AC52-3F77A8F32EE6}" destId="{C0CD62E2-DE09-474B-9D60-0EB6AFE54B1B}" srcOrd="2" destOrd="0" parTransId="{BD238C88-CEBD-4C60-BFBA-C6D78C00EF21}" sibTransId="{56C40ED8-FB0F-4828-8AA4-98295DC55A29}"/>
    <dgm:cxn modelId="{704B1FB8-7730-4177-8032-8DFD016F9632}" srcId="{E8BE8E4C-46AA-4006-AC52-3F77A8F32EE6}" destId="{D43F89DB-5B30-441F-8DFF-ACA0AD4D2DBA}" srcOrd="1" destOrd="0" parTransId="{21706501-A09C-424A-B394-06DD0435B800}" sibTransId="{C9FA6306-56B4-4BC7-B1AC-8DE2B34F0FB9}"/>
    <dgm:cxn modelId="{617AD8BB-9216-4E46-9D57-6F718D4CFAFB}" type="presOf" srcId="{9EEAD464-7D75-443A-BCCB-5F487B0B4F92}" destId="{8BF4EDA2-910D-46CB-9F48-E05EC525E760}" srcOrd="0" destOrd="0" presId="urn:microsoft.com/office/officeart/2005/8/layout/radial1"/>
    <dgm:cxn modelId="{C53109CE-FED1-4907-BB68-085EA2ADCC7F}" srcId="{E8BE8E4C-46AA-4006-AC52-3F77A8F32EE6}" destId="{3A265337-2400-4303-BA2B-AF384AB61E6D}" srcOrd="3" destOrd="0" parTransId="{6ECAC818-4381-4775-B60D-6E504593134D}" sibTransId="{2E70D3C8-F39D-423C-960A-9BC21A6D13E4}"/>
    <dgm:cxn modelId="{9F762ED4-96EA-4C46-B5FB-03CC8A3B6BA3}" type="presOf" srcId="{1B70F922-C51B-4614-B3E6-00A343653E2F}" destId="{4B1526E4-5669-4024-83B8-4A8B6E169241}" srcOrd="0" destOrd="0" presId="urn:microsoft.com/office/officeart/2005/8/layout/radial1"/>
    <dgm:cxn modelId="{5B0A26E6-66C8-4BE0-ADDC-1C7D0132C12A}" type="presOf" srcId="{ACBE84AC-5C3E-4366-979B-05CF8985ADE0}" destId="{7B6A07B9-D285-4763-B6DD-33CC3B38A646}" srcOrd="1" destOrd="0" presId="urn:microsoft.com/office/officeart/2005/8/layout/radial1"/>
    <dgm:cxn modelId="{0E095DF1-0854-4E38-A678-2FC139204398}" srcId="{1B70F922-C51B-4614-B3E6-00A343653E2F}" destId="{B9DAC63D-D6A5-4FDB-93F1-BFDBF49405E4}" srcOrd="0" destOrd="0" parTransId="{C715129C-252F-468A-BBA7-98762E517BB0}" sibTransId="{2DE24309-73D7-4A80-B5B3-5EEB27F28824}"/>
    <dgm:cxn modelId="{C9A022F8-95F0-42EF-B593-501E11C0752F}" type="presOf" srcId="{147B1DA2-84AE-45B5-8640-DF7145838EC0}" destId="{41334E2B-7024-40B1-ABB5-C2835183DCEB}" srcOrd="1" destOrd="0" presId="urn:microsoft.com/office/officeart/2005/8/layout/radial1"/>
    <dgm:cxn modelId="{63470AFA-3435-48BA-B00A-2E9FBAC8885A}" type="presOf" srcId="{C715129C-252F-468A-BBA7-98762E517BB0}" destId="{9DF2A351-64C7-488E-A76B-B349C7455972}" srcOrd="1" destOrd="0" presId="urn:microsoft.com/office/officeart/2005/8/layout/radial1"/>
    <dgm:cxn modelId="{A0926E1E-43CB-41BD-A8BA-324D80B27CCA}" type="presParOf" srcId="{69DF8A00-4825-41CC-8D1C-413489F62C00}" destId="{4B1526E4-5669-4024-83B8-4A8B6E169241}" srcOrd="0" destOrd="0" presId="urn:microsoft.com/office/officeart/2005/8/layout/radial1"/>
    <dgm:cxn modelId="{52F17266-B78E-4096-9A5F-A418B5C6AC51}" type="presParOf" srcId="{69DF8A00-4825-41CC-8D1C-413489F62C00}" destId="{2838AADE-7FDA-4D9A-957B-367ECF25EB2C}" srcOrd="1" destOrd="0" presId="urn:microsoft.com/office/officeart/2005/8/layout/radial1"/>
    <dgm:cxn modelId="{032EB03F-630C-4B42-8888-1A4C815D31FE}" type="presParOf" srcId="{2838AADE-7FDA-4D9A-957B-367ECF25EB2C}" destId="{9DF2A351-64C7-488E-A76B-B349C7455972}" srcOrd="0" destOrd="0" presId="urn:microsoft.com/office/officeart/2005/8/layout/radial1"/>
    <dgm:cxn modelId="{2E1C29D6-0001-4BDE-AA48-C45BA7C58EB2}" type="presParOf" srcId="{69DF8A00-4825-41CC-8D1C-413489F62C00}" destId="{980338C9-76FC-44DF-A765-78EDBF0932A9}" srcOrd="2" destOrd="0" presId="urn:microsoft.com/office/officeart/2005/8/layout/radial1"/>
    <dgm:cxn modelId="{0A5D5C5C-0AE9-4BD7-9E68-A481F3F9F65B}" type="presParOf" srcId="{69DF8A00-4825-41CC-8D1C-413489F62C00}" destId="{E3EA2590-1296-49C3-BAF7-BBFF2DE63A07}" srcOrd="3" destOrd="0" presId="urn:microsoft.com/office/officeart/2005/8/layout/radial1"/>
    <dgm:cxn modelId="{1A939A2E-7B4D-4A5A-B24E-A4B9808D7992}" type="presParOf" srcId="{E3EA2590-1296-49C3-BAF7-BBFF2DE63A07}" destId="{7B6A07B9-D285-4763-B6DD-33CC3B38A646}" srcOrd="0" destOrd="0" presId="urn:microsoft.com/office/officeart/2005/8/layout/radial1"/>
    <dgm:cxn modelId="{BE9FB773-1331-4B46-9108-EC4A4E76D193}" type="presParOf" srcId="{69DF8A00-4825-41CC-8D1C-413489F62C00}" destId="{C64E4C62-DBF5-4441-B992-140CDE54B3A0}" srcOrd="4" destOrd="0" presId="urn:microsoft.com/office/officeart/2005/8/layout/radial1"/>
    <dgm:cxn modelId="{C1E2052B-305F-4836-A90F-83133162D0AD}" type="presParOf" srcId="{69DF8A00-4825-41CC-8D1C-413489F62C00}" destId="{8BF4EDA2-910D-46CB-9F48-E05EC525E760}" srcOrd="5" destOrd="0" presId="urn:microsoft.com/office/officeart/2005/8/layout/radial1"/>
    <dgm:cxn modelId="{063BDFC6-698A-4B01-B222-E52D8CA8AE30}" type="presParOf" srcId="{8BF4EDA2-910D-46CB-9F48-E05EC525E760}" destId="{A4DAC5D1-7AB0-4E3D-A912-957EFFC2F695}" srcOrd="0" destOrd="0" presId="urn:microsoft.com/office/officeart/2005/8/layout/radial1"/>
    <dgm:cxn modelId="{ADEB52F8-823E-40E2-8F1E-78694C812A7A}" type="presParOf" srcId="{69DF8A00-4825-41CC-8D1C-413489F62C00}" destId="{5C1E975B-6DBE-4512-AC63-CDD9CF929A8A}" srcOrd="6" destOrd="0" presId="urn:microsoft.com/office/officeart/2005/8/layout/radial1"/>
    <dgm:cxn modelId="{0004EAE8-5B31-4B6D-9543-67342B65953A}" type="presParOf" srcId="{69DF8A00-4825-41CC-8D1C-413489F62C00}" destId="{9D4692C8-D487-4537-B4A5-B19EA5D5686F}" srcOrd="7" destOrd="0" presId="urn:microsoft.com/office/officeart/2005/8/layout/radial1"/>
    <dgm:cxn modelId="{77515B40-FA0F-425B-895F-EB0DFDA1892C}" type="presParOf" srcId="{9D4692C8-D487-4537-B4A5-B19EA5D5686F}" destId="{4FFEB8FE-58D8-49CA-9FE2-C681C20F26E9}" srcOrd="0" destOrd="0" presId="urn:microsoft.com/office/officeart/2005/8/layout/radial1"/>
    <dgm:cxn modelId="{E88B9078-84DE-4C68-93BF-872B62C80829}" type="presParOf" srcId="{69DF8A00-4825-41CC-8D1C-413489F62C00}" destId="{1396B6E6-142A-4DDF-8A4B-4A5D7095A85D}" srcOrd="8" destOrd="0" presId="urn:microsoft.com/office/officeart/2005/8/layout/radial1"/>
    <dgm:cxn modelId="{9A22F86A-A315-480A-990B-0CCCD5E485E2}" type="presParOf" srcId="{69DF8A00-4825-41CC-8D1C-413489F62C00}" destId="{8539F578-CEE3-449F-B194-98DE395086AA}" srcOrd="9" destOrd="0" presId="urn:microsoft.com/office/officeart/2005/8/layout/radial1"/>
    <dgm:cxn modelId="{72D79CAF-C6C0-4FC4-9462-87E07E2B91B0}" type="presParOf" srcId="{8539F578-CEE3-449F-B194-98DE395086AA}" destId="{41334E2B-7024-40B1-ABB5-C2835183DCEB}" srcOrd="0" destOrd="0" presId="urn:microsoft.com/office/officeart/2005/8/layout/radial1"/>
    <dgm:cxn modelId="{7834FBC6-4846-4B56-A309-B7B57F35E1E9}" type="presParOf" srcId="{69DF8A00-4825-41CC-8D1C-413489F62C00}" destId="{5DB19DF2-7731-456D-AA2B-19AE6E6D9B04}" srcOrd="10" destOrd="0" presId="urn:microsoft.com/office/officeart/2005/8/layout/radial1"/>
  </dgm:cxnLst>
  <dgm:bg/>
  <dgm:whole/>
  <dgm:extLst>
    <a:ext uri="http://schemas.microsoft.com/office/drawing/2008/diagram">
      <dsp:dataModelExt xmlns:dsp="http://schemas.microsoft.com/office/drawing/2008/diagram" relId="rId15" minVer="http://schemas.openxmlformats.org/drawingml/2006/diagram"/>
    </a:ext>
  </dgm:extLst>
</dgm:dataModel>
</file>

<file path=xl/diagrams/drawing1.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5C408A75-0536-488F-8741-C9E91368CE7D}">
      <dsp:nvSpPr>
        <dsp:cNvPr id="0" name=""/>
        <dsp:cNvSpPr/>
      </dsp:nvSpPr>
      <dsp:spPr>
        <a:xfrm>
          <a:off x="1572700" y="1275866"/>
          <a:ext cx="1326526" cy="1360653"/>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8890" tIns="8890" rIns="8890" bIns="8890" numCol="1" spcCol="1270" anchor="ctr" anchorCtr="0">
          <a:noAutofit/>
        </a:bodyPr>
        <a:lstStyle/>
        <a:p>
          <a:pPr marL="0" lvl="0" indent="0" algn="ctr" defTabSz="622300">
            <a:lnSpc>
              <a:spcPct val="90000"/>
            </a:lnSpc>
            <a:spcBef>
              <a:spcPct val="0"/>
            </a:spcBef>
            <a:spcAft>
              <a:spcPct val="35000"/>
            </a:spcAft>
            <a:buNone/>
          </a:pPr>
          <a:r>
            <a:rPr lang="en-US" sz="1400" kern="1200"/>
            <a:t>Stock Take Fact</a:t>
          </a:r>
        </a:p>
        <a:p>
          <a:pPr marL="0" lvl="0" indent="0" algn="ctr" defTabSz="622300">
            <a:lnSpc>
              <a:spcPct val="90000"/>
            </a:lnSpc>
            <a:spcBef>
              <a:spcPct val="0"/>
            </a:spcBef>
            <a:spcAft>
              <a:spcPct val="35000"/>
            </a:spcAft>
            <a:buNone/>
          </a:pPr>
          <a:r>
            <a:rPr lang="en-US" sz="1050" kern="1200"/>
            <a:t>One row for each Stock Take event</a:t>
          </a:r>
          <a:endParaRPr lang="en-US" sz="600" kern="1200"/>
        </a:p>
      </dsp:txBody>
      <dsp:txXfrm>
        <a:off x="1766965" y="1475129"/>
        <a:ext cx="937996" cy="962127"/>
      </dsp:txXfrm>
    </dsp:sp>
    <dsp:sp modelId="{287CEFE1-7360-435C-A8FB-CA075DE2229F}">
      <dsp:nvSpPr>
        <dsp:cNvPr id="0" name=""/>
        <dsp:cNvSpPr/>
      </dsp:nvSpPr>
      <dsp:spPr>
        <a:xfrm rot="16250813">
          <a:off x="2053749" y="1064046"/>
          <a:ext cx="390309" cy="33529"/>
        </a:xfrm>
        <a:custGeom>
          <a:avLst/>
          <a:gdLst/>
          <a:ahLst/>
          <a:cxnLst/>
          <a:rect l="0" t="0" r="0" b="0"/>
          <a:pathLst>
            <a:path>
              <a:moveTo>
                <a:pt x="0" y="16764"/>
              </a:moveTo>
              <a:lnTo>
                <a:pt x="390309" y="16764"/>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2239146" y="1071053"/>
        <a:ext cx="19515" cy="19515"/>
      </dsp:txXfrm>
    </dsp:sp>
    <dsp:sp modelId="{74FF58D3-521D-4A15-8AC9-BDD817EED8B3}">
      <dsp:nvSpPr>
        <dsp:cNvPr id="0" name=""/>
        <dsp:cNvSpPr/>
      </dsp:nvSpPr>
      <dsp:spPr>
        <a:xfrm>
          <a:off x="1815470" y="0"/>
          <a:ext cx="885726" cy="885726"/>
        </a:xfrm>
        <a:prstGeom prst="ellipse">
          <a:avLst/>
        </a:prstGeom>
        <a:solidFill>
          <a:schemeClr val="accent2">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Date</a:t>
          </a:r>
        </a:p>
      </dsp:txBody>
      <dsp:txXfrm>
        <a:off x="1945182" y="129712"/>
        <a:ext cx="626302" cy="626302"/>
      </dsp:txXfrm>
    </dsp:sp>
    <dsp:sp modelId="{55A79E00-CBA6-4FCF-8AC3-C7F73BA8E5B3}">
      <dsp:nvSpPr>
        <dsp:cNvPr id="0" name=""/>
        <dsp:cNvSpPr/>
      </dsp:nvSpPr>
      <dsp:spPr>
        <a:xfrm rot="19344635">
          <a:off x="2677567" y="1269897"/>
          <a:ext cx="856263" cy="33529"/>
        </a:xfrm>
        <a:custGeom>
          <a:avLst/>
          <a:gdLst/>
          <a:ahLst/>
          <a:cxnLst/>
          <a:rect l="0" t="0" r="0" b="0"/>
          <a:pathLst>
            <a:path>
              <a:moveTo>
                <a:pt x="0" y="16764"/>
              </a:moveTo>
              <a:lnTo>
                <a:pt x="856263" y="16764"/>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084292" y="1265256"/>
        <a:ext cx="42813" cy="42813"/>
      </dsp:txXfrm>
    </dsp:sp>
    <dsp:sp modelId="{D004EAF4-7C07-4D36-9B34-03E9E2719FC6}">
      <dsp:nvSpPr>
        <dsp:cNvPr id="0" name=""/>
        <dsp:cNvSpPr/>
      </dsp:nvSpPr>
      <dsp:spPr>
        <a:xfrm>
          <a:off x="3353014" y="312493"/>
          <a:ext cx="885726" cy="885726"/>
        </a:xfrm>
        <a:prstGeom prst="ellipse">
          <a:avLst/>
        </a:prstGeom>
        <a:solidFill>
          <a:schemeClr val="accent2">
            <a:hueOff val="-727682"/>
            <a:satOff val="-41964"/>
            <a:lumOff val="4314"/>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Material</a:t>
          </a:r>
        </a:p>
      </dsp:txBody>
      <dsp:txXfrm>
        <a:off x="3482726" y="442205"/>
        <a:ext cx="626302" cy="626302"/>
      </dsp:txXfrm>
    </dsp:sp>
    <dsp:sp modelId="{0DC2554C-3078-403A-8CAF-5544F0925428}">
      <dsp:nvSpPr>
        <dsp:cNvPr id="0" name=""/>
        <dsp:cNvSpPr/>
      </dsp:nvSpPr>
      <dsp:spPr>
        <a:xfrm rot="212672">
          <a:off x="2897547" y="1995733"/>
          <a:ext cx="494811" cy="33529"/>
        </a:xfrm>
        <a:custGeom>
          <a:avLst/>
          <a:gdLst/>
          <a:ahLst/>
          <a:cxnLst/>
          <a:rect l="0" t="0" r="0" b="0"/>
          <a:pathLst>
            <a:path>
              <a:moveTo>
                <a:pt x="0" y="16764"/>
              </a:moveTo>
              <a:lnTo>
                <a:pt x="494811" y="16764"/>
              </a:lnTo>
            </a:path>
          </a:pathLst>
        </a:custGeom>
        <a:noFill/>
        <a:ln w="12700" cap="flat" cmpd="sng" algn="ctr">
          <a:solidFill>
            <a:schemeClr val="accent3">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US" sz="500" kern="1200"/>
        </a:p>
      </dsp:txBody>
      <dsp:txXfrm>
        <a:off x="3132583" y="2000128"/>
        <a:ext cx="24740" cy="24740"/>
      </dsp:txXfrm>
    </dsp:sp>
    <dsp:sp modelId="{A84BA448-2E0D-4377-A379-B166014BB087}">
      <dsp:nvSpPr>
        <dsp:cNvPr id="0" name=""/>
        <dsp:cNvSpPr/>
      </dsp:nvSpPr>
      <dsp:spPr>
        <a:xfrm>
          <a:off x="3391038" y="1612310"/>
          <a:ext cx="885726" cy="885726"/>
        </a:xfrm>
        <a:prstGeom prst="ellipse">
          <a:avLst/>
        </a:prstGeom>
        <a:solidFill>
          <a:schemeClr val="accent2">
            <a:hueOff val="-1455363"/>
            <a:satOff val="-83928"/>
            <a:lumOff val="8628"/>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US" sz="1200" kern="1200"/>
            <a:t>Stock Take Indicators</a:t>
          </a:r>
        </a:p>
      </dsp:txBody>
      <dsp:txXfrm>
        <a:off x="3520750" y="1742022"/>
        <a:ext cx="626302" cy="626302"/>
      </dsp:txXfrm>
    </dsp:sp>
  </dsp:spTree>
</dsp:drawing>
</file>

<file path=xl/diagrams/drawing2.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3C89EE6D-C5E6-4A60-AF4F-1B8C5AE23421}">
      <dsp:nvSpPr>
        <dsp:cNvPr id="0" name=""/>
        <dsp:cNvSpPr/>
      </dsp:nvSpPr>
      <dsp:spPr>
        <a:xfrm>
          <a:off x="1907465" y="1010407"/>
          <a:ext cx="1415104" cy="1325909"/>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Employee</a:t>
          </a:r>
        </a:p>
        <a:p>
          <a:pPr marL="0" lvl="0" indent="0" algn="ctr" defTabSz="400050">
            <a:lnSpc>
              <a:spcPct val="90000"/>
            </a:lnSpc>
            <a:spcBef>
              <a:spcPct val="0"/>
            </a:spcBef>
            <a:spcAft>
              <a:spcPct val="35000"/>
            </a:spcAft>
            <a:buNone/>
          </a:pPr>
          <a:r>
            <a:rPr lang="en-ZA" sz="900" kern="1200"/>
            <a:t>TimeSheet</a:t>
          </a:r>
        </a:p>
        <a:p>
          <a:pPr marL="0" lvl="0" indent="0" algn="ctr" defTabSz="400050">
            <a:lnSpc>
              <a:spcPct val="90000"/>
            </a:lnSpc>
            <a:spcBef>
              <a:spcPct val="0"/>
            </a:spcBef>
            <a:spcAft>
              <a:spcPct val="35000"/>
            </a:spcAft>
            <a:buNone/>
          </a:pPr>
          <a:r>
            <a:rPr lang="en-ZA" sz="900" kern="1200"/>
            <a:t>Fact</a:t>
          </a:r>
        </a:p>
        <a:p>
          <a:pPr marL="0" lvl="0" indent="0" algn="ctr" defTabSz="400050">
            <a:lnSpc>
              <a:spcPct val="90000"/>
            </a:lnSpc>
            <a:spcBef>
              <a:spcPct val="0"/>
            </a:spcBef>
            <a:spcAft>
              <a:spcPct val="35000"/>
            </a:spcAft>
            <a:buNone/>
          </a:pPr>
          <a:endParaRPr lang="en-ZA" sz="900" kern="1200"/>
        </a:p>
        <a:p>
          <a:pPr marL="0" lvl="0" indent="0" algn="ctr" defTabSz="400050">
            <a:lnSpc>
              <a:spcPct val="90000"/>
            </a:lnSpc>
            <a:spcBef>
              <a:spcPct val="0"/>
            </a:spcBef>
            <a:spcAft>
              <a:spcPct val="35000"/>
            </a:spcAft>
            <a:buNone/>
          </a:pPr>
          <a:r>
            <a:rPr lang="en-ZA" sz="900" kern="1200"/>
            <a:t>One row added per timesheet submitted during a week</a:t>
          </a:r>
        </a:p>
      </dsp:txBody>
      <dsp:txXfrm>
        <a:off x="2114702" y="1204582"/>
        <a:ext cx="1000630" cy="937559"/>
      </dsp:txXfrm>
    </dsp:sp>
    <dsp:sp modelId="{5487FA13-369F-4726-A0B2-57E018C98BED}">
      <dsp:nvSpPr>
        <dsp:cNvPr id="0" name=""/>
        <dsp:cNvSpPr/>
      </dsp:nvSpPr>
      <dsp:spPr>
        <a:xfrm rot="16155673">
          <a:off x="2565987" y="954342"/>
          <a:ext cx="79932" cy="32299"/>
        </a:xfrm>
        <a:custGeom>
          <a:avLst/>
          <a:gdLst/>
          <a:ahLst/>
          <a:cxnLst/>
          <a:rect l="0" t="0" r="0" b="0"/>
          <a:pathLst>
            <a:path>
              <a:moveTo>
                <a:pt x="0" y="16149"/>
              </a:moveTo>
              <a:lnTo>
                <a:pt x="79932" y="1614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2603955" y="968494"/>
        <a:ext cx="3996" cy="3996"/>
      </dsp:txXfrm>
    </dsp:sp>
    <dsp:sp modelId="{44889C79-B9F1-436F-AEA0-10F07D494EE6}">
      <dsp:nvSpPr>
        <dsp:cNvPr id="0" name=""/>
        <dsp:cNvSpPr/>
      </dsp:nvSpPr>
      <dsp:spPr>
        <a:xfrm>
          <a:off x="2085990" y="2124"/>
          <a:ext cx="1026924" cy="928436"/>
        </a:xfrm>
        <a:prstGeom prst="ellipse">
          <a:avLst/>
        </a:prstGeom>
        <a:solidFill>
          <a:schemeClr val="accent6">
            <a:lumMod val="75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715" tIns="5715" rIns="5715" bIns="5715" numCol="1" spcCol="1270" anchor="ctr" anchorCtr="0">
          <a:noAutofit/>
        </a:bodyPr>
        <a:lstStyle/>
        <a:p>
          <a:pPr marL="0" lvl="0" indent="0" algn="ctr" defTabSz="400050">
            <a:lnSpc>
              <a:spcPct val="90000"/>
            </a:lnSpc>
            <a:spcBef>
              <a:spcPct val="0"/>
            </a:spcBef>
            <a:spcAft>
              <a:spcPct val="35000"/>
            </a:spcAft>
            <a:buNone/>
          </a:pPr>
          <a:r>
            <a:rPr lang="en-ZA" sz="900" kern="1200"/>
            <a:t>Week_End</a:t>
          </a:r>
        </a:p>
        <a:p>
          <a:pPr marL="0" lvl="0" indent="0" algn="ctr" defTabSz="400050">
            <a:lnSpc>
              <a:spcPct val="90000"/>
            </a:lnSpc>
            <a:spcBef>
              <a:spcPct val="0"/>
            </a:spcBef>
            <a:spcAft>
              <a:spcPct val="35000"/>
            </a:spcAft>
            <a:buNone/>
          </a:pPr>
          <a:r>
            <a:rPr lang="en-ZA" sz="900" kern="1200"/>
            <a:t>_Date</a:t>
          </a:r>
        </a:p>
        <a:p>
          <a:pPr marL="0" lvl="0" indent="0" algn="ctr" defTabSz="400050">
            <a:lnSpc>
              <a:spcPct val="90000"/>
            </a:lnSpc>
            <a:spcBef>
              <a:spcPct val="0"/>
            </a:spcBef>
            <a:spcAft>
              <a:spcPct val="35000"/>
            </a:spcAft>
            <a:buNone/>
          </a:pPr>
          <a:r>
            <a:rPr lang="en-ZA" sz="900" kern="1200"/>
            <a:t>(Date)</a:t>
          </a:r>
        </a:p>
      </dsp:txBody>
      <dsp:txXfrm>
        <a:off x="2236380" y="138090"/>
        <a:ext cx="726144" cy="656504"/>
      </dsp:txXfrm>
    </dsp:sp>
    <dsp:sp modelId="{D8A36C47-6E0C-4953-A975-2B34002DA6FF}">
      <dsp:nvSpPr>
        <dsp:cNvPr id="0" name=""/>
        <dsp:cNvSpPr/>
      </dsp:nvSpPr>
      <dsp:spPr>
        <a:xfrm rot="1489931">
          <a:off x="3236527" y="2009328"/>
          <a:ext cx="278833" cy="32299"/>
        </a:xfrm>
        <a:custGeom>
          <a:avLst/>
          <a:gdLst/>
          <a:ahLst/>
          <a:cxnLst/>
          <a:rect l="0" t="0" r="0" b="0"/>
          <a:pathLst>
            <a:path>
              <a:moveTo>
                <a:pt x="0" y="16149"/>
              </a:moveTo>
              <a:lnTo>
                <a:pt x="278833" y="1614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368973" y="2018507"/>
        <a:ext cx="13941" cy="13941"/>
      </dsp:txXfrm>
    </dsp:sp>
    <dsp:sp modelId="{C45628D1-3F4D-481A-AC4F-D94C30465E21}">
      <dsp:nvSpPr>
        <dsp:cNvPr id="0" name=""/>
        <dsp:cNvSpPr/>
      </dsp:nvSpPr>
      <dsp:spPr>
        <a:xfrm>
          <a:off x="3459550" y="1814763"/>
          <a:ext cx="928436" cy="928436"/>
        </a:xfrm>
        <a:prstGeom prst="ellipse">
          <a:avLst/>
        </a:prstGeom>
        <a:solidFill>
          <a:srgbClr val="7030A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Employee</a:t>
          </a:r>
        </a:p>
      </dsp:txBody>
      <dsp:txXfrm>
        <a:off x="3595516" y="1950729"/>
        <a:ext cx="656504" cy="656504"/>
      </dsp:txXfrm>
    </dsp:sp>
    <dsp:sp modelId="{73464EC0-510D-44AB-933F-E0AA350BE21E}">
      <dsp:nvSpPr>
        <dsp:cNvPr id="0" name=""/>
        <dsp:cNvSpPr/>
      </dsp:nvSpPr>
      <dsp:spPr>
        <a:xfrm rot="9289137">
          <a:off x="1734635" y="2009929"/>
          <a:ext cx="260352" cy="32299"/>
        </a:xfrm>
        <a:custGeom>
          <a:avLst/>
          <a:gdLst/>
          <a:ahLst/>
          <a:cxnLst/>
          <a:rect l="0" t="0" r="0" b="0"/>
          <a:pathLst>
            <a:path>
              <a:moveTo>
                <a:pt x="0" y="16149"/>
              </a:moveTo>
              <a:lnTo>
                <a:pt x="260352" y="16149"/>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858302" y="2019570"/>
        <a:ext cx="13017" cy="13017"/>
      </dsp:txXfrm>
    </dsp:sp>
    <dsp:sp modelId="{BC69186D-43E7-4F50-8E24-158008589D07}">
      <dsp:nvSpPr>
        <dsp:cNvPr id="0" name=""/>
        <dsp:cNvSpPr/>
      </dsp:nvSpPr>
      <dsp:spPr>
        <a:xfrm>
          <a:off x="862685" y="1814763"/>
          <a:ext cx="928436" cy="928436"/>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Project</a:t>
          </a:r>
        </a:p>
      </dsp:txBody>
      <dsp:txXfrm>
        <a:off x="998651" y="1950729"/>
        <a:ext cx="656504" cy="656504"/>
      </dsp:txXfrm>
    </dsp:sp>
  </dsp:spTree>
</dsp:drawing>
</file>

<file path=xl/diagrams/drawing3.xml><?xml version="1.0" encoding="utf-8"?>
<dsp:drawing xmlns:dgm="http://schemas.openxmlformats.org/drawingml/2006/diagram" xmlns:dsp="http://schemas.microsoft.com/office/drawing/2008/diagram" xmlns:a="http://schemas.openxmlformats.org/drawingml/2006/main">
  <dsp:spTree>
    <dsp:nvGrpSpPr>
      <dsp:cNvPr id="0" name=""/>
      <dsp:cNvGrpSpPr/>
    </dsp:nvGrpSpPr>
    <dsp:grpSpPr/>
    <dsp:sp modelId="{4B1526E4-5669-4024-83B8-4A8B6E169241}">
      <dsp:nvSpPr>
        <dsp:cNvPr id="0" name=""/>
        <dsp:cNvSpPr/>
      </dsp:nvSpPr>
      <dsp:spPr>
        <a:xfrm>
          <a:off x="1555826" y="1038370"/>
          <a:ext cx="1470490" cy="1384791"/>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5080" tIns="5080" rIns="5080" bIns="5080" numCol="1" spcCol="1270" anchor="ctr" anchorCtr="0">
          <a:noAutofit/>
        </a:bodyPr>
        <a:lstStyle/>
        <a:p>
          <a:pPr marL="0" lvl="0" indent="0" algn="ctr" defTabSz="355600">
            <a:lnSpc>
              <a:spcPct val="90000"/>
            </a:lnSpc>
            <a:spcBef>
              <a:spcPct val="0"/>
            </a:spcBef>
            <a:spcAft>
              <a:spcPct val="35000"/>
            </a:spcAft>
            <a:buNone/>
          </a:pPr>
          <a:r>
            <a:rPr lang="en-ZA" sz="800" kern="1200"/>
            <a:t>Project Management Fact</a:t>
          </a:r>
        </a:p>
        <a:p>
          <a:pPr marL="0" lvl="0" indent="0" algn="ctr" defTabSz="355600">
            <a:lnSpc>
              <a:spcPct val="90000"/>
            </a:lnSpc>
            <a:spcBef>
              <a:spcPct val="0"/>
            </a:spcBef>
            <a:spcAft>
              <a:spcPct val="35000"/>
            </a:spcAft>
            <a:buNone/>
          </a:pPr>
          <a:endParaRPr lang="en-ZA" sz="800" kern="1200"/>
        </a:p>
        <a:p>
          <a:pPr marL="0" lvl="0" indent="0" algn="ctr" defTabSz="355600">
            <a:lnSpc>
              <a:spcPct val="90000"/>
            </a:lnSpc>
            <a:spcBef>
              <a:spcPct val="0"/>
            </a:spcBef>
            <a:spcAft>
              <a:spcPct val="35000"/>
            </a:spcAft>
            <a:buNone/>
          </a:pPr>
          <a:r>
            <a:rPr lang="en-ZA" sz="800" kern="1200"/>
            <a:t>One row added per project worked on during a year</a:t>
          </a:r>
        </a:p>
        <a:p>
          <a:pPr marL="0" lvl="0" indent="0" algn="ctr" defTabSz="355600">
            <a:lnSpc>
              <a:spcPct val="90000"/>
            </a:lnSpc>
            <a:spcBef>
              <a:spcPct val="0"/>
            </a:spcBef>
            <a:spcAft>
              <a:spcPct val="35000"/>
            </a:spcAft>
            <a:buNone/>
          </a:pPr>
          <a:endParaRPr lang="en-ZA" sz="600" kern="1200"/>
        </a:p>
      </dsp:txBody>
      <dsp:txXfrm>
        <a:off x="1771174" y="1241168"/>
        <a:ext cx="1039794" cy="979195"/>
      </dsp:txXfrm>
    </dsp:sp>
    <dsp:sp modelId="{2838AADE-7FDA-4D9A-957B-367ECF25EB2C}">
      <dsp:nvSpPr>
        <dsp:cNvPr id="0" name=""/>
        <dsp:cNvSpPr/>
      </dsp:nvSpPr>
      <dsp:spPr>
        <a:xfrm rot="19225782">
          <a:off x="2812932" y="1164847"/>
          <a:ext cx="268552" cy="47373"/>
        </a:xfrm>
        <a:custGeom>
          <a:avLst/>
          <a:gdLst/>
          <a:ahLst/>
          <a:cxnLst/>
          <a:rect l="0" t="0" r="0" b="0"/>
          <a:pathLst>
            <a:path>
              <a:moveTo>
                <a:pt x="0" y="23686"/>
              </a:moveTo>
              <a:lnTo>
                <a:pt x="268552"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940495" y="1181820"/>
        <a:ext cx="13427" cy="13427"/>
      </dsp:txXfrm>
    </dsp:sp>
    <dsp:sp modelId="{980338C9-76FC-44DF-A765-78EDBF0932A9}">
      <dsp:nvSpPr>
        <dsp:cNvPr id="0" name=""/>
        <dsp:cNvSpPr/>
      </dsp:nvSpPr>
      <dsp:spPr>
        <a:xfrm>
          <a:off x="2827545" y="-138896"/>
          <a:ext cx="1664444" cy="1477146"/>
        </a:xfrm>
        <a:prstGeom prst="ellipse">
          <a:avLst/>
        </a:prstGeom>
        <a:solidFill>
          <a:schemeClr val="accent4"/>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Report_Date_Key</a:t>
          </a:r>
        </a:p>
      </dsp:txBody>
      <dsp:txXfrm>
        <a:off x="3071297" y="77427"/>
        <a:ext cx="1176940" cy="1044500"/>
      </dsp:txXfrm>
    </dsp:sp>
    <dsp:sp modelId="{E3EA2590-1296-49C3-BAF7-BBFF2DE63A07}">
      <dsp:nvSpPr>
        <dsp:cNvPr id="0" name=""/>
        <dsp:cNvSpPr/>
      </dsp:nvSpPr>
      <dsp:spPr>
        <a:xfrm rot="2127072">
          <a:off x="2841054" y="2238851"/>
          <a:ext cx="393756" cy="47373"/>
        </a:xfrm>
        <a:custGeom>
          <a:avLst/>
          <a:gdLst/>
          <a:ahLst/>
          <a:cxnLst/>
          <a:rect l="0" t="0" r="0" b="0"/>
          <a:pathLst>
            <a:path>
              <a:moveTo>
                <a:pt x="0" y="23686"/>
              </a:moveTo>
              <a:lnTo>
                <a:pt x="393756"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3028088" y="2252693"/>
        <a:ext cx="19687" cy="19687"/>
      </dsp:txXfrm>
    </dsp:sp>
    <dsp:sp modelId="{C64E4C62-DBF5-4441-B992-140CDE54B3A0}">
      <dsp:nvSpPr>
        <dsp:cNvPr id="0" name=""/>
        <dsp:cNvSpPr/>
      </dsp:nvSpPr>
      <dsp:spPr>
        <a:xfrm>
          <a:off x="3045758" y="2121713"/>
          <a:ext cx="1446231" cy="1322523"/>
        </a:xfrm>
        <a:prstGeom prst="ellipse">
          <a:avLst/>
        </a:prstGeom>
        <a:solidFill>
          <a:schemeClr val="accent1">
            <a:lumMod val="5000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Project</a:t>
          </a:r>
        </a:p>
      </dsp:txBody>
      <dsp:txXfrm>
        <a:off x="3257554" y="2315392"/>
        <a:ext cx="1022639" cy="935165"/>
      </dsp:txXfrm>
    </dsp:sp>
    <dsp:sp modelId="{8BF4EDA2-910D-46CB-9F48-E05EC525E760}">
      <dsp:nvSpPr>
        <dsp:cNvPr id="0" name=""/>
        <dsp:cNvSpPr/>
      </dsp:nvSpPr>
      <dsp:spPr>
        <a:xfrm rot="5182263">
          <a:off x="2173977" y="2569701"/>
          <a:ext cx="343605" cy="47373"/>
        </a:xfrm>
        <a:custGeom>
          <a:avLst/>
          <a:gdLst/>
          <a:ahLst/>
          <a:cxnLst/>
          <a:rect l="0" t="0" r="0" b="0"/>
          <a:pathLst>
            <a:path>
              <a:moveTo>
                <a:pt x="0" y="23686"/>
              </a:moveTo>
              <a:lnTo>
                <a:pt x="343605"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a:off x="2337190" y="2584797"/>
        <a:ext cx="17180" cy="17180"/>
      </dsp:txXfrm>
    </dsp:sp>
    <dsp:sp modelId="{5C1E975B-6DBE-4512-AC63-CDD9CF929A8A}">
      <dsp:nvSpPr>
        <dsp:cNvPr id="0" name=""/>
        <dsp:cNvSpPr/>
      </dsp:nvSpPr>
      <dsp:spPr>
        <a:xfrm>
          <a:off x="1732690" y="2763776"/>
          <a:ext cx="1325987" cy="1232923"/>
        </a:xfrm>
        <a:prstGeom prst="ellipse">
          <a:avLst/>
        </a:prstGeom>
        <a:solidFill>
          <a:srgbClr val="FF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a:t>Customer</a:t>
          </a:r>
        </a:p>
      </dsp:txBody>
      <dsp:txXfrm>
        <a:off x="1926876" y="2944333"/>
        <a:ext cx="937615" cy="871809"/>
      </dsp:txXfrm>
    </dsp:sp>
    <dsp:sp modelId="{9D4692C8-D487-4537-B4A5-B19EA5D5686F}">
      <dsp:nvSpPr>
        <dsp:cNvPr id="0" name=""/>
        <dsp:cNvSpPr/>
      </dsp:nvSpPr>
      <dsp:spPr>
        <a:xfrm rot="8850240">
          <a:off x="1417846" y="2172004"/>
          <a:ext cx="286651" cy="47373"/>
        </a:xfrm>
        <a:custGeom>
          <a:avLst/>
          <a:gdLst/>
          <a:ahLst/>
          <a:cxnLst/>
          <a:rect l="0" t="0" r="0" b="0"/>
          <a:pathLst>
            <a:path>
              <a:moveTo>
                <a:pt x="0" y="23686"/>
              </a:moveTo>
              <a:lnTo>
                <a:pt x="286651"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554006" y="2188524"/>
        <a:ext cx="14332" cy="14332"/>
      </dsp:txXfrm>
    </dsp:sp>
    <dsp:sp modelId="{1396B6E6-142A-4DDF-8A4B-4A5D7095A85D}">
      <dsp:nvSpPr>
        <dsp:cNvPr id="0" name=""/>
        <dsp:cNvSpPr/>
      </dsp:nvSpPr>
      <dsp:spPr>
        <a:xfrm>
          <a:off x="0" y="1958135"/>
          <a:ext cx="1580294" cy="1457355"/>
        </a:xfrm>
        <a:prstGeom prst="ellipse">
          <a:avLst/>
        </a:prstGeom>
        <a:solidFill>
          <a:srgbClr val="C00000"/>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6985" tIns="6985" rIns="6985" bIns="6985" numCol="1" spcCol="1270" anchor="ctr" anchorCtr="0">
          <a:noAutofit/>
        </a:bodyPr>
        <a:lstStyle/>
        <a:p>
          <a:pPr marL="0" lvl="0" indent="0" algn="ctr" defTabSz="466725">
            <a:lnSpc>
              <a:spcPct val="90000"/>
            </a:lnSpc>
            <a:spcBef>
              <a:spcPct val="0"/>
            </a:spcBef>
            <a:spcAft>
              <a:spcPct val="35000"/>
            </a:spcAft>
            <a:buNone/>
          </a:pPr>
          <a:r>
            <a:rPr lang="en-ZA" sz="1050" kern="1200"/>
            <a:t>Project_Status</a:t>
          </a:r>
        </a:p>
      </dsp:txBody>
      <dsp:txXfrm>
        <a:off x="231429" y="2171560"/>
        <a:ext cx="1117436" cy="1030505"/>
      </dsp:txXfrm>
    </dsp:sp>
    <dsp:sp modelId="{8539F578-CEE3-449F-B194-98DE395086AA}">
      <dsp:nvSpPr>
        <dsp:cNvPr id="0" name=""/>
        <dsp:cNvSpPr/>
      </dsp:nvSpPr>
      <dsp:spPr>
        <a:xfrm rot="12839797">
          <a:off x="1356876" y="1201087"/>
          <a:ext cx="367871" cy="47373"/>
        </a:xfrm>
        <a:custGeom>
          <a:avLst/>
          <a:gdLst/>
          <a:ahLst/>
          <a:cxnLst/>
          <a:rect l="0" t="0" r="0" b="0"/>
          <a:pathLst>
            <a:path>
              <a:moveTo>
                <a:pt x="0" y="23686"/>
              </a:moveTo>
              <a:lnTo>
                <a:pt x="367871" y="23686"/>
              </a:lnTo>
            </a:path>
          </a:pathLst>
        </a:custGeom>
        <a:noFill/>
        <a:ln w="12700" cap="flat" cmpd="sng" algn="ctr">
          <a:solidFill>
            <a:schemeClr val="accent1">
              <a:shade val="60000"/>
              <a:hueOff val="0"/>
              <a:satOff val="0"/>
              <a:lumOff val="0"/>
              <a:alphaOff val="0"/>
            </a:schemeClr>
          </a:solidFill>
          <a:prstDash val="solid"/>
          <a:miter lim="800000"/>
        </a:ln>
        <a:effectLst/>
      </dsp:spPr>
      <dsp:style>
        <a:lnRef idx="2">
          <a:scrgbClr r="0" g="0" b="0"/>
        </a:lnRef>
        <a:fillRef idx="0">
          <a:scrgbClr r="0" g="0" b="0"/>
        </a:fillRef>
        <a:effectRef idx="0">
          <a:scrgbClr r="0" g="0" b="0"/>
        </a:effectRef>
        <a:fontRef idx="minor"/>
      </dsp:style>
      <dsp:txBody>
        <a:bodyPr spcFirstLastPara="0" vert="horz" wrap="square" lIns="12700" tIns="0" rIns="12700" bIns="0" numCol="1" spcCol="1270" anchor="ctr" anchorCtr="0">
          <a:noAutofit/>
        </a:bodyPr>
        <a:lstStyle/>
        <a:p>
          <a:pPr marL="0" lvl="0" indent="0" algn="ctr" defTabSz="222250">
            <a:lnSpc>
              <a:spcPct val="90000"/>
            </a:lnSpc>
            <a:spcBef>
              <a:spcPct val="0"/>
            </a:spcBef>
            <a:spcAft>
              <a:spcPct val="35000"/>
            </a:spcAft>
            <a:buNone/>
          </a:pPr>
          <a:endParaRPr lang="en-ZA" sz="500" kern="1200"/>
        </a:p>
      </dsp:txBody>
      <dsp:txXfrm rot="10800000">
        <a:off x="1531615" y="1215577"/>
        <a:ext cx="18393" cy="18393"/>
      </dsp:txXfrm>
    </dsp:sp>
    <dsp:sp modelId="{5DB19DF2-7731-456D-AA2B-19AE6E6D9B04}">
      <dsp:nvSpPr>
        <dsp:cNvPr id="0" name=""/>
        <dsp:cNvSpPr/>
      </dsp:nvSpPr>
      <dsp:spPr>
        <a:xfrm>
          <a:off x="0" y="0"/>
          <a:ext cx="1538124" cy="1408577"/>
        </a:xfrm>
        <a:prstGeom prst="ellipse">
          <a:avLst/>
        </a:prstGeom>
        <a:solidFill>
          <a:schemeClr val="accent1">
            <a:hueOff val="0"/>
            <a:satOff val="0"/>
            <a:lumOff val="0"/>
            <a:alphaOff val="0"/>
          </a:schemeClr>
        </a:solidFill>
        <a:ln w="12700" cap="flat" cmpd="sng" algn="ctr">
          <a:solidFill>
            <a:schemeClr val="lt1">
              <a:hueOff val="0"/>
              <a:satOff val="0"/>
              <a:lumOff val="0"/>
              <a:alphaOff val="0"/>
            </a:schemeClr>
          </a:solidFill>
          <a:prstDash val="solid"/>
          <a:miter lim="800000"/>
        </a:ln>
        <a:effectLst/>
      </dsp:spPr>
      <dsp:style>
        <a:lnRef idx="2">
          <a:scrgbClr r="0" g="0" b="0"/>
        </a:lnRef>
        <a:fillRef idx="1">
          <a:scrgbClr r="0" g="0" b="0"/>
        </a:fillRef>
        <a:effectRef idx="0">
          <a:scrgbClr r="0" g="0" b="0"/>
        </a:effectRef>
        <a:fontRef idx="minor">
          <a:schemeClr val="lt1"/>
        </a:fontRef>
      </dsp:style>
      <dsp:txBody>
        <a:bodyPr spcFirstLastPara="0" vert="horz" wrap="square" lIns="7620" tIns="7620" rIns="7620" bIns="7620" numCol="1" spcCol="1270" anchor="ctr" anchorCtr="0">
          <a:noAutofit/>
        </a:bodyPr>
        <a:lstStyle/>
        <a:p>
          <a:pPr marL="0" lvl="0" indent="0" algn="ctr" defTabSz="533400">
            <a:lnSpc>
              <a:spcPct val="90000"/>
            </a:lnSpc>
            <a:spcBef>
              <a:spcPct val="0"/>
            </a:spcBef>
            <a:spcAft>
              <a:spcPct val="35000"/>
            </a:spcAft>
            <a:buNone/>
          </a:pPr>
          <a:r>
            <a:rPr lang="en-ZA" sz="1200" kern="1200" baseline="0"/>
            <a:t>Project_Request_Date_Key</a:t>
          </a:r>
        </a:p>
      </dsp:txBody>
      <dsp:txXfrm>
        <a:off x="225253" y="206281"/>
        <a:ext cx="1087618" cy="996015"/>
      </dsp:txXfrm>
    </dsp:sp>
  </dsp:spTree>
</dsp:drawing>
</file>

<file path=xl/diagrams/layout1.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2.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layout3.xml><?xml version="1.0" encoding="utf-8"?>
<dgm:layoutDef xmlns:dgm="http://schemas.openxmlformats.org/drawingml/2006/diagram" xmlns:a="http://schemas.openxmlformats.org/drawingml/2006/main" uniqueId="urn:microsoft.com/office/officeart/2005/8/layout/radial1">
  <dgm:title val=""/>
  <dgm:desc val=""/>
  <dgm:catLst>
    <dgm:cat type="relationship" pri="22000"/>
    <dgm:cat type="cycle" pri="10000"/>
  </dgm:catLst>
  <dgm:sampData>
    <dgm:dataModel>
      <dgm:ptLst>
        <dgm:pt modelId="0" type="doc"/>
        <dgm:pt modelId="1">
          <dgm:prSet phldr="1"/>
        </dgm:pt>
        <dgm:pt modelId="11">
          <dgm:prSet phldr="1"/>
        </dgm:pt>
        <dgm:pt modelId="12">
          <dgm:prSet phldr="1"/>
        </dgm:pt>
        <dgm:pt modelId="13">
          <dgm:prSet phldr="1"/>
        </dgm:pt>
        <dgm:pt modelId="14">
          <dgm:prSet phldr="1"/>
        </dgm:pt>
      </dgm:ptLst>
      <dgm:cxnLst>
        <dgm:cxn modelId="2" srcId="0" destId="1" srcOrd="0" destOrd="0"/>
        <dgm:cxn modelId="3" srcId="1" destId="11" srcOrd="0" destOrd="0"/>
        <dgm:cxn modelId="4" srcId="1" destId="12" srcOrd="1" destOrd="0"/>
        <dgm:cxn modelId="5" srcId="1" destId="13" srcOrd="2" destOrd="0"/>
        <dgm:cxn modelId="6" srcId="1" destId="14" srcOrd="3" destOrd="0"/>
      </dgm:cxnLst>
      <dgm:bg/>
      <dgm:whole/>
    </dgm:dataModel>
  </dgm:sampData>
  <dgm:styleData>
    <dgm:dataModel>
      <dgm:ptLst>
        <dgm:pt modelId="0" type="doc"/>
        <dgm:pt modelId="1"/>
        <dgm:pt modelId="11"/>
        <dgm:pt modelId="12"/>
        <dgm:pt modelId="13"/>
      </dgm:ptLst>
      <dgm:cxnLst>
        <dgm:cxn modelId="2" srcId="0" destId="1" srcOrd="0" destOrd="0"/>
        <dgm:cxn modelId="15" srcId="1" destId="11" srcOrd="0" destOrd="0"/>
        <dgm:cxn modelId="16" srcId="1" destId="12" srcOrd="1" destOrd="0"/>
        <dgm:cxn modelId="17" srcId="1" destId="13" srcOrd="2" destOrd="0"/>
      </dgm:cxnLst>
      <dgm:bg/>
      <dgm:whole/>
    </dgm:dataModel>
  </dgm:styleData>
  <dgm:clrData>
    <dgm:dataModel>
      <dgm:ptLst>
        <dgm:pt modelId="0" type="doc"/>
        <dgm:pt modelId="1"/>
        <dgm:pt modelId="11"/>
        <dgm:pt modelId="12"/>
        <dgm:pt modelId="13"/>
        <dgm:pt modelId="14"/>
        <dgm:pt modelId="15"/>
        <dgm:pt modelId="16"/>
      </dgm:ptLst>
      <dgm:cxnLst>
        <dgm:cxn modelId="2" srcId="0" destId="1" srcOrd="0" destOrd="0"/>
        <dgm:cxn modelId="16" srcId="1" destId="11" srcOrd="0" destOrd="0"/>
        <dgm:cxn modelId="17" srcId="1" destId="12" srcOrd="1" destOrd="0"/>
        <dgm:cxn modelId="18" srcId="1" destId="13" srcOrd="2" destOrd="0"/>
        <dgm:cxn modelId="19" srcId="1" destId="14" srcOrd="3" destOrd="0"/>
        <dgm:cxn modelId="20" srcId="1" destId="15" srcOrd="4" destOrd="0"/>
        <dgm:cxn modelId="21" srcId="1" destId="16" srcOrd="5" destOrd="0"/>
      </dgm:cxnLst>
      <dgm:bg/>
      <dgm:whole/>
    </dgm:dataModel>
  </dgm:clrData>
  <dgm:layoutNode name="cycle">
    <dgm:varLst>
      <dgm:chMax val="1"/>
      <dgm:dir/>
      <dgm:animLvl val="ctr"/>
      <dgm:resizeHandles val="exact"/>
    </dgm:varLst>
    <dgm:choose name="Name0">
      <dgm:if name="Name1" func="var" arg="dir" op="equ" val="norm">
        <dgm:choose name="Name2">
          <dgm:if name="Name3" axis="ch ch" ptType="node node" st="1 1" cnt="1 0" func="cnt" op="lte" val="1">
            <dgm:alg type="cycle">
              <dgm:param type="stAng" val="90"/>
              <dgm:param type="spanAng" val="360"/>
              <dgm:param type="ctrShpMap" val="fNode"/>
            </dgm:alg>
          </dgm:if>
          <dgm:else name="Name4">
            <dgm:alg type="cycle">
              <dgm:param type="stAng" val="0"/>
              <dgm:param type="spanAng" val="360"/>
              <dgm:param type="ctrShpMap" val="fNode"/>
            </dgm:alg>
          </dgm:else>
        </dgm:choose>
      </dgm:if>
      <dgm:else name="Name5">
        <dgm:alg type="cycle">
          <dgm:param type="stAng" val="0"/>
          <dgm:param type="spanAng" val="-360"/>
          <dgm:param type="ctrShpMap" val="fNode"/>
        </dgm:alg>
      </dgm:else>
    </dgm:choose>
    <dgm:shape xmlns:r="http://schemas.openxmlformats.org/officeDocument/2006/relationships" r:blip="">
      <dgm:adjLst/>
    </dgm:shape>
    <dgm:presOf/>
    <dgm:constrLst>
      <dgm:constr type="w" for="ch" forName="centerShape" refType="w"/>
      <dgm:constr type="w" for="ch" forName="node" refType="w" refFor="ch" refForName="centerShape" op="equ"/>
      <dgm:constr type="sp" refType="w" refFor="ch" refForName="node" fact="0.3"/>
      <dgm:constr type="sibSp" refType="w" refFor="ch" refForName="node" fact="0.3"/>
      <dgm:constr type="primFontSz" for="ch" forName="centerShape" val="65"/>
      <dgm:constr type="primFontSz" for="des" forName="node" op="equ" val="65"/>
      <dgm:constr type="primFontSz" for="des" forName="connTx" val="55"/>
      <dgm:constr type="primFontSz" for="des" forName="connTx" refType="primFontSz" refFor="ch" refForName="centerShape" op="lte" fact="0.8"/>
    </dgm:constrLst>
    <dgm:ruleLst/>
    <dgm:forEach name="Name6" axis="ch" ptType="node" cnt="1">
      <dgm:layoutNode name="centerShape" styleLbl="node0">
        <dgm:alg type="tx"/>
        <dgm:shape xmlns:r="http://schemas.openxmlformats.org/officeDocument/2006/relationships" type="ellipse" r:blip="">
          <dgm:adjLst/>
        </dgm:shape>
        <dgm:presOf axis="self"/>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name="Name7" axis="ch">
        <dgm:forEach name="Name8" axis="self" ptType="parTrans">
          <dgm:layoutNode name="Name9">
            <dgm:alg type="conn">
              <dgm:param type="dim" val="1D"/>
              <dgm:param type="begPts" val="auto"/>
              <dgm:param type="endPts" val="auto"/>
              <dgm:param type="begSty" val="noArr"/>
              <dgm:param type="endSty" val="noArr"/>
            </dgm:alg>
            <dgm:shape xmlns:r="http://schemas.openxmlformats.org/officeDocument/2006/relationships" type="conn" r:blip="">
              <dgm:adjLst/>
            </dgm:shape>
            <dgm:presOf axis="self"/>
            <dgm:constrLst>
              <dgm:constr type="connDist"/>
              <dgm:constr type="userA" for="ch" refType="connDist"/>
              <dgm:constr type="w" val="1"/>
              <dgm:constr type="h" val="5"/>
              <dgm:constr type="begPad"/>
              <dgm:constr type="endPad"/>
            </dgm:constrLst>
            <dgm:ruleLst/>
            <dgm:layoutNode name="connTx">
              <dgm:alg type="tx">
                <dgm:param type="autoTxRot" val="grav"/>
              </dgm:alg>
              <dgm:shape xmlns:r="http://schemas.openxmlformats.org/officeDocument/2006/relationships" type="rect" r:blip="" hideGeom="1">
                <dgm:adjLst/>
              </dgm:shape>
              <dgm:presOf axis="self"/>
              <dgm:constrLst>
                <dgm:constr type="userA"/>
                <dgm:constr type="w" refType="userA" fact="0.05"/>
                <dgm:constr type="h" refType="userA" fact="0.05"/>
                <dgm:constr type="lMarg" val="1"/>
                <dgm:constr type="rMarg" val="1"/>
                <dgm:constr type="tMarg"/>
                <dgm:constr type="bMarg"/>
              </dgm:constrLst>
              <dgm:ruleLst>
                <dgm:rule type="w" val="NaN" fact="0.8" max="NaN"/>
                <dgm:rule type="h" val="NaN" fact="1" max="NaN"/>
                <dgm:rule type="primFontSz" val="5" fact="NaN" max="NaN"/>
              </dgm:ruleLst>
            </dgm:layoutNode>
          </dgm:layoutNode>
        </dgm:forEach>
        <dgm:forEach name="Name10" axis="self" ptType="node">
          <dgm:layoutNode name="node" styleLbl="node1">
            <dgm:varLst>
              <dgm:bulletEnabled val="1"/>
            </dgm:varLst>
            <dgm:alg type="tx">
              <dgm:param type="txAnchorVertCh" val="mid"/>
            </dgm:alg>
            <dgm:shape xmlns:r="http://schemas.openxmlformats.org/officeDocument/2006/relationships" type="ellipse" r:blip="">
              <dgm:adjLst/>
            </dgm:shape>
            <dgm:presOf axis="desOrSelf" ptType="node"/>
            <dgm:constrLst>
              <dgm:constr type="h" refType="w"/>
              <dgm:constr type="tMarg" refType="primFontSz" fact="0.05"/>
              <dgm:constr type="bMarg" refType="primFontSz" fact="0.05"/>
              <dgm:constr type="lMarg" refType="primFontSz" fact="0.05"/>
              <dgm:constr type="rMarg" refType="primFontSz" fact="0.05"/>
            </dgm:constrLst>
            <dgm:ruleLst>
              <dgm:rule type="primFontSz" val="5" fact="NaN" max="NaN"/>
            </dgm:ruleLst>
          </dgm:layoutNode>
        </dgm:forEach>
      </dgm:forEach>
    </dgm:forEach>
  </dgm:layoutNode>
</dgm:layoutDef>
</file>

<file path=xl/diagrams/quickStyle1.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2.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iagrams/quickStyle3.xml><?xml version="1.0" encoding="utf-8"?>
<dgm:styleDef xmlns:dgm="http://schemas.openxmlformats.org/drawingml/2006/diagram" xmlns:a="http://schemas.openxmlformats.org/drawingml/2006/main" uniqueId="urn:microsoft.com/office/officeart/2005/8/quickstyle/simple1">
  <dgm:title val=""/>
  <dgm:desc val=""/>
  <dgm:catLst>
    <dgm:cat type="simple" pri="10100"/>
  </dgm:catLst>
  <dgm:scene3d>
    <a:camera prst="orthographicFront"/>
    <a:lightRig rig="threePt" dir="t"/>
  </dgm:scene3d>
  <dgm:styleLbl name="node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l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vennNode1">
    <dgm:scene3d>
      <a:camera prst="orthographicFront"/>
      <a:lightRig rig="threePt" dir="t"/>
    </dgm:scene3d>
    <dgm:sp3d/>
    <dgm:txPr/>
    <dgm:style>
      <a:lnRef idx="2">
        <a:scrgbClr r="0" g="0" b="0"/>
      </a:lnRef>
      <a:fillRef idx="1">
        <a:scrgbClr r="0" g="0" b="0"/>
      </a:fillRef>
      <a:effectRef idx="0">
        <a:scrgbClr r="0" g="0" b="0"/>
      </a:effectRef>
      <a:fontRef idx="minor">
        <a:schemeClr val="tx1"/>
      </a:fontRef>
    </dgm:style>
  </dgm:styleLbl>
  <dgm:styleLbl name="align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node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f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ImgPlac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f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bgSibTrans2D1">
    <dgm:scene3d>
      <a:camera prst="orthographicFront"/>
      <a:lightRig rig="threePt" dir="t"/>
    </dgm:scene3d>
    <dgm:sp3d/>
    <dgm:txPr/>
    <dgm:style>
      <a:lnRef idx="0">
        <a:scrgbClr r="0" g="0" b="0"/>
      </a:lnRef>
      <a:fillRef idx="1">
        <a:scrgbClr r="0" g="0" b="0"/>
      </a:fillRef>
      <a:effectRef idx="0">
        <a:scrgbClr r="0" g="0" b="0"/>
      </a:effectRef>
      <a:fontRef idx="minor">
        <a:schemeClr val="lt1"/>
      </a:fontRef>
    </dgm:style>
  </dgm:styleLbl>
  <dgm:styleLbl name="sibTrans1D1">
    <dgm:scene3d>
      <a:camera prst="orthographicFront"/>
      <a:lightRig rig="threePt" dir="t"/>
    </dgm:scene3d>
    <dgm:sp3d/>
    <dgm:txPr/>
    <dgm:style>
      <a:lnRef idx="1">
        <a:scrgbClr r="0" g="0" b="0"/>
      </a:lnRef>
      <a:fillRef idx="0">
        <a:scrgbClr r="0" g="0" b="0"/>
      </a:fillRef>
      <a:effectRef idx="0">
        <a:scrgbClr r="0" g="0" b="0"/>
      </a:effectRef>
      <a:fontRef idx="minor"/>
    </dgm:style>
  </dgm:styleLbl>
  <dgm:styleLbl name="callout">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sst0">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asst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1">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2">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3">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2D4">
    <dgm:scene3d>
      <a:camera prst="orthographicFront"/>
      <a:lightRig rig="threePt" dir="t"/>
    </dgm:scene3d>
    <dgm:sp3d/>
    <dgm:txPr/>
    <dgm:style>
      <a:lnRef idx="2">
        <a:scrgbClr r="0" g="0" b="0"/>
      </a:lnRef>
      <a:fillRef idx="1">
        <a:scrgbClr r="0" g="0" b="0"/>
      </a:fillRef>
      <a:effectRef idx="0">
        <a:scrgbClr r="0" g="0" b="0"/>
      </a:effectRef>
      <a:fontRef idx="minor">
        <a:schemeClr val="lt1"/>
      </a:fontRef>
    </dgm:style>
  </dgm:styleLbl>
  <dgm:styleLbl name="parChTrans1D1">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2">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3">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parChTrans1D4">
    <dgm:scene3d>
      <a:camera prst="orthographicFront"/>
      <a:lightRig rig="threePt" dir="t"/>
    </dgm:scene3d>
    <dgm:sp3d/>
    <dgm:txPr/>
    <dgm:style>
      <a:lnRef idx="2">
        <a:scrgbClr r="0" g="0" b="0"/>
      </a:lnRef>
      <a:fillRef idx="0">
        <a:scrgbClr r="0" g="0" b="0"/>
      </a:fillRef>
      <a:effectRef idx="0">
        <a:scrgbClr r="0" g="0" b="0"/>
      </a:effectRef>
      <a:fontRef idx="minor"/>
    </dgm:style>
  </dgm:styleLbl>
  <dgm:styleLbl name="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con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trAlignAcc1">
    <dgm:scene3d>
      <a:camera prst="orthographicFront"/>
      <a:lightRig rig="threePt" dir="t"/>
    </dgm:scene3d>
    <dgm:sp3d/>
    <dgm:txPr/>
    <dgm:style>
      <a:lnRef idx="1">
        <a:scrgbClr r="0" g="0" b="0"/>
      </a:lnRef>
      <a:fillRef idx="1">
        <a:scrgbClr r="0" g="0" b="0"/>
      </a:fillRef>
      <a:effectRef idx="0">
        <a:scrgbClr r="0" g="0" b="0"/>
      </a:effectRef>
      <a:fontRef idx="minor"/>
    </dgm:style>
  </dgm:styleLbl>
  <dgm:styleLbl name="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F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Align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solidBgAcc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align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AccFollowNode1">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0">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2">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3">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fgAcc4">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dk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trBgShp">
    <dgm:scene3d>
      <a:camera prst="orthographicFront"/>
      <a:lightRig rig="threePt" dir="t"/>
    </dgm:scene3d>
    <dgm:sp3d/>
    <dgm:txPr/>
    <dgm:style>
      <a:lnRef idx="0">
        <a:scrgbClr r="0" g="0" b="0"/>
      </a:lnRef>
      <a:fillRef idx="1">
        <a:scrgbClr r="0" g="0" b="0"/>
      </a:fillRef>
      <a:effectRef idx="0">
        <a:scrgbClr r="0" g="0" b="0"/>
      </a:effectRef>
      <a:fontRef idx="minor"/>
    </dgm:style>
  </dgm:styleLbl>
  <dgm:styleLbl name="fgShp">
    <dgm:scene3d>
      <a:camera prst="orthographicFront"/>
      <a:lightRig rig="threePt" dir="t"/>
    </dgm:scene3d>
    <dgm:sp3d/>
    <dgm:txPr/>
    <dgm:style>
      <a:lnRef idx="2">
        <a:scrgbClr r="0" g="0" b="0"/>
      </a:lnRef>
      <a:fillRef idx="1">
        <a:scrgbClr r="0" g="0" b="0"/>
      </a:fillRef>
      <a:effectRef idx="0">
        <a:scrgbClr r="0" g="0" b="0"/>
      </a:effectRef>
      <a:fontRef idx="minor"/>
    </dgm:style>
  </dgm:styleLbl>
  <dgm:styleLbl name="revTx">
    <dgm:scene3d>
      <a:camera prst="orthographicFront"/>
      <a:lightRig rig="threePt" dir="t"/>
    </dgm:scene3d>
    <dgm:sp3d/>
    <dgm:txPr/>
    <dgm:style>
      <a:lnRef idx="0">
        <a:scrgbClr r="0" g="0" b="0"/>
      </a:lnRef>
      <a:fillRef idx="0">
        <a:scrgbClr r="0" g="0" b="0"/>
      </a:fillRef>
      <a:effectRef idx="0">
        <a:scrgbClr r="0" g="0" b="0"/>
      </a:effectRef>
      <a:fontRef idx="minor"/>
    </dgm:style>
  </dgm:styleLbl>
</dgm:styleDef>
</file>

<file path=xl/drawings/_rels/drawing1.xml.rels><?xml version="1.0" encoding="UTF-8" standalone="yes"?>
<Relationships xmlns="http://schemas.openxmlformats.org/package/2006/relationships"><Relationship Id="rId8" Type="http://schemas.openxmlformats.org/officeDocument/2006/relationships/diagramQuickStyle" Target="../diagrams/quickStyle2.xml"/><Relationship Id="rId13" Type="http://schemas.openxmlformats.org/officeDocument/2006/relationships/diagramQuickStyle" Target="../diagrams/quickStyle3.xml"/><Relationship Id="rId3" Type="http://schemas.openxmlformats.org/officeDocument/2006/relationships/diagramQuickStyle" Target="../diagrams/quickStyle1.xml"/><Relationship Id="rId7" Type="http://schemas.openxmlformats.org/officeDocument/2006/relationships/diagramLayout" Target="../diagrams/layout2.xml"/><Relationship Id="rId12" Type="http://schemas.openxmlformats.org/officeDocument/2006/relationships/diagramLayout" Target="../diagrams/layout3.xml"/><Relationship Id="rId2" Type="http://schemas.openxmlformats.org/officeDocument/2006/relationships/diagramLayout" Target="../diagrams/layout1.xml"/><Relationship Id="rId1" Type="http://schemas.openxmlformats.org/officeDocument/2006/relationships/diagramData" Target="../diagrams/data1.xml"/><Relationship Id="rId6" Type="http://schemas.openxmlformats.org/officeDocument/2006/relationships/diagramData" Target="../diagrams/data2.xml"/><Relationship Id="rId11" Type="http://schemas.openxmlformats.org/officeDocument/2006/relationships/diagramData" Target="../diagrams/data3.xml"/><Relationship Id="rId5" Type="http://schemas.microsoft.com/office/2007/relationships/diagramDrawing" Target="../diagrams/drawing1.xml"/><Relationship Id="rId15" Type="http://schemas.microsoft.com/office/2007/relationships/diagramDrawing" Target="../diagrams/drawing3.xml"/><Relationship Id="rId10" Type="http://schemas.microsoft.com/office/2007/relationships/diagramDrawing" Target="../diagrams/drawing2.xml"/><Relationship Id="rId4" Type="http://schemas.openxmlformats.org/officeDocument/2006/relationships/diagramColors" Target="../diagrams/colors1.xml"/><Relationship Id="rId9" Type="http://schemas.openxmlformats.org/officeDocument/2006/relationships/diagramColors" Target="../diagrams/colors2.xml"/><Relationship Id="rId14" Type="http://schemas.openxmlformats.org/officeDocument/2006/relationships/diagramColors" Target="../diagrams/colors3.xml"/></Relationships>
</file>

<file path=xl/drawings/drawing1.xml><?xml version="1.0" encoding="utf-8"?>
<xdr:wsDr xmlns:xdr="http://schemas.openxmlformats.org/drawingml/2006/spreadsheetDrawing" xmlns:a="http://schemas.openxmlformats.org/drawingml/2006/main">
  <xdr:twoCellAnchor>
    <xdr:from>
      <xdr:col>1</xdr:col>
      <xdr:colOff>379095</xdr:colOff>
      <xdr:row>10</xdr:row>
      <xdr:rowOff>26670</xdr:rowOff>
    </xdr:from>
    <xdr:to>
      <xdr:col>5</xdr:col>
      <xdr:colOff>5715</xdr:colOff>
      <xdr:row>24</xdr:row>
      <xdr:rowOff>102870</xdr:rowOff>
    </xdr:to>
    <xdr:graphicFrame macro="">
      <xdr:nvGraphicFramePr>
        <xdr:cNvPr id="4" name="Diagram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 r:lo="rId2" r:qs="rId3" r:cs="rId4"/>
        </a:graphicData>
      </a:graphic>
    </xdr:graphicFrame>
    <xdr:clientData/>
  </xdr:twoCellAnchor>
  <xdr:twoCellAnchor>
    <xdr:from>
      <xdr:col>4</xdr:col>
      <xdr:colOff>1360170</xdr:colOff>
      <xdr:row>10</xdr:row>
      <xdr:rowOff>15240</xdr:rowOff>
    </xdr:from>
    <xdr:to>
      <xdr:col>9</xdr:col>
      <xdr:colOff>270510</xdr:colOff>
      <xdr:row>25</xdr:row>
      <xdr:rowOff>15240</xdr:rowOff>
    </xdr:to>
    <xdr:graphicFrame macro="">
      <xdr:nvGraphicFramePr>
        <xdr:cNvPr id="2" name="Diagram 1">
          <a:extLst>
            <a:ext uri="{FF2B5EF4-FFF2-40B4-BE49-F238E27FC236}">
              <a16:creationId xmlns:a16="http://schemas.microsoft.com/office/drawing/2014/main" id="{1DE7D765-4688-3A92-239A-0B193AA3F43B}"/>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6" r:lo="rId7" r:qs="rId8" r:cs="rId9"/>
        </a:graphicData>
      </a:graphic>
    </xdr:graphicFrame>
    <xdr:clientData/>
  </xdr:twoCellAnchor>
  <xdr:twoCellAnchor>
    <xdr:from>
      <xdr:col>8</xdr:col>
      <xdr:colOff>1040130</xdr:colOff>
      <xdr:row>9</xdr:row>
      <xdr:rowOff>68580</xdr:rowOff>
    </xdr:from>
    <xdr:to>
      <xdr:col>14</xdr:col>
      <xdr:colOff>213360</xdr:colOff>
      <xdr:row>31</xdr:row>
      <xdr:rowOff>15240</xdr:rowOff>
    </xdr:to>
    <xdr:graphicFrame macro="">
      <xdr:nvGraphicFramePr>
        <xdr:cNvPr id="3" name="Diagram 2">
          <a:extLst>
            <a:ext uri="{FF2B5EF4-FFF2-40B4-BE49-F238E27FC236}">
              <a16:creationId xmlns:a16="http://schemas.microsoft.com/office/drawing/2014/main" id="{CF9EA874-B62D-6F47-18B8-98D47F2E217C}"/>
            </a:ext>
          </a:extLst>
        </xdr:cNvPr>
        <xdr:cNvGraphicFramePr/>
      </xdr:nvGraphicFramePr>
      <xdr:xfrm>
        <a:off x="0" y="0"/>
        <a:ext cx="0" cy="0"/>
      </xdr:xfrm>
      <a:graphic>
        <a:graphicData uri="http://schemas.openxmlformats.org/drawingml/2006/diagram">
          <dgm:relIds xmlns:dgm="http://schemas.openxmlformats.org/drawingml/2006/diagram" xmlns:r="http://schemas.openxmlformats.org/officeDocument/2006/relationships" r:dm="rId11" r:lo="rId12" r:qs="rId13" r:cs="rId1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10974318/odrive/Google%20Drive%2010974318/ITRI611/Project/MIS%20Dimensional%20Model.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Bus Matrix"/>
      <sheetName val="Organisational Structuring"/>
      <sheetName val="Cesm Assignment"/>
      <sheetName val="Academic Presentation"/>
      <sheetName val="Student Registrations"/>
      <sheetName val="Student Results"/>
      <sheetName val="Student Records"/>
      <sheetName val="School Records"/>
      <sheetName val="Cohort Student Qual Prog"/>
      <sheetName val="Cohort Student Qual"/>
      <sheetName val="Cohort Student"/>
      <sheetName val="Module Cesm Assignment"/>
      <sheetName val="Module Presentation"/>
      <sheetName val="Curriculum Level Structuring"/>
      <sheetName val="Curriculum Structuring"/>
      <sheetName val="Student Learning"/>
      <sheetName val="Student Enrolment Summary"/>
      <sheetName val="Student FTE Enrolment Summary"/>
      <sheetName val="Post Doc Summary"/>
      <sheetName val="Employee_NRF_Summary"/>
      <sheetName val="Employee HEMIS Summary"/>
      <sheetName val="Research Output Summary"/>
      <sheetName val="Employee Assignment"/>
      <sheetName val="Employee HEMIS"/>
      <sheetName val="Employee Timesheet"/>
      <sheetName val="Employee_NRF_Rating"/>
      <sheetName val="Research_Publication_Unit"/>
      <sheetName val="Calendar Day"/>
      <sheetName val="CD Cube"/>
      <sheetName val="Calendar Day Data"/>
      <sheetName val="Calendar Month"/>
      <sheetName val="CM Cube"/>
      <sheetName val="Calendar Year"/>
      <sheetName val="CY Cube"/>
      <sheetName val="Organisational Unit"/>
      <sheetName val="OU Cube"/>
      <sheetName val="Curriculum Level"/>
      <sheetName val="CL Cube"/>
      <sheetName val="Presentation Category"/>
      <sheetName val="PC Cube"/>
      <sheetName val="Residence"/>
      <sheetName val="Academic Result"/>
      <sheetName val="AR Cube"/>
      <sheetName val="Person"/>
      <sheetName val="P Cube"/>
      <sheetName val="Registration Describer"/>
      <sheetName val="RD Cube"/>
      <sheetName val="Biographic Category"/>
      <sheetName val="BC Cube"/>
      <sheetName val="Geographic Region"/>
      <sheetName val="GR Cube"/>
      <sheetName val="Cesm"/>
      <sheetName val="Cesm Cube"/>
      <sheetName val="Cesm data"/>
      <sheetName val="Status"/>
      <sheetName val="S Cube"/>
      <sheetName val="Fact Report Set"/>
      <sheetName val="FRS Cube"/>
      <sheetName val="Module"/>
      <sheetName val="Module_Cube"/>
      <sheetName val="Academic Period"/>
      <sheetName val="AP Cube"/>
      <sheetName val="Language"/>
      <sheetName val="Language Cube"/>
      <sheetName val="Selection Option"/>
      <sheetName val="SO Cube"/>
      <sheetName val="Module Result"/>
      <sheetName val="MR Cube"/>
      <sheetName val="Hierarchy Descriptor"/>
      <sheetName val="HD Cube"/>
      <sheetName val="ELG Cube"/>
      <sheetName val="Position"/>
      <sheetName val="Pos Cube"/>
      <sheetName val="Position_Category"/>
      <sheetName val="PosCat Cube"/>
      <sheetName val="Employment Grade"/>
      <sheetName val="EG Cube"/>
      <sheetName val="Assignment Descriptor"/>
      <sheetName val="AD Cube"/>
      <sheetName val="Appointment Descriptor"/>
      <sheetName val="AppD Cube"/>
      <sheetName val="Education Level Group"/>
      <sheetName val="Hemis Qualification Type"/>
      <sheetName val="Qual Type ranks"/>
      <sheetName val="HQT Cube"/>
      <sheetName val="Assignment Contract_Descriptor"/>
      <sheetName val="ACD Cube"/>
      <sheetName val="IP Enrolment Planned"/>
      <sheetName val="IP Enrolment Actuals"/>
      <sheetName val="IP FTE Projected"/>
      <sheetName val="IP FTE Actuals"/>
      <sheetName val="IP Organisational Unit"/>
      <sheetName val="IP Curriculum Level"/>
      <sheetName val="IP Programme Level"/>
      <sheetName val="IP Module Education Level"/>
      <sheetName val="IP CESM Grouping"/>
      <sheetName val="IP Cycle Year"/>
      <sheetName val="IPCY Cube"/>
      <sheetName val="IP Cycle Year Data"/>
      <sheetName val="NRF Rating Category"/>
      <sheetName val="NRF Rating Cat Cube"/>
      <sheetName val="NRF Rating Summary"/>
      <sheetName val="Publication"/>
      <sheetName val="Publication Cube"/>
      <sheetName val="Research Output Type"/>
      <sheetName val="ROT Cube"/>
      <sheetName val="Sheet1"/>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3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1:D40"/>
  <sheetViews>
    <sheetView workbookViewId="0">
      <selection activeCell="C15" sqref="C15"/>
    </sheetView>
  </sheetViews>
  <sheetFormatPr defaultRowHeight="14.4" x14ac:dyDescent="0.3"/>
  <cols>
    <col min="1" max="1" width="1.88671875" customWidth="1"/>
    <col min="2" max="2" width="19.6640625" bestFit="1" customWidth="1"/>
    <col min="3" max="3" width="35.5546875" bestFit="1" customWidth="1"/>
    <col min="4" max="4" width="12.6640625" bestFit="1" customWidth="1"/>
  </cols>
  <sheetData>
    <row r="1" spans="2:4" x14ac:dyDescent="0.3">
      <c r="B1" s="1" t="s">
        <v>159</v>
      </c>
    </row>
    <row r="2" spans="2:4" x14ac:dyDescent="0.3">
      <c r="B2" s="1" t="s">
        <v>82</v>
      </c>
    </row>
    <row r="3" spans="2:4" x14ac:dyDescent="0.3">
      <c r="B3" s="1"/>
    </row>
    <row r="4" spans="2:4" x14ac:dyDescent="0.3">
      <c r="B4" s="1" t="s">
        <v>554</v>
      </c>
      <c r="C4" s="17" t="s">
        <v>83</v>
      </c>
    </row>
    <row r="5" spans="2:4" x14ac:dyDescent="0.3">
      <c r="C5" s="1" t="s">
        <v>43</v>
      </c>
      <c r="D5" s="1" t="s">
        <v>119</v>
      </c>
    </row>
    <row r="6" spans="2:4" x14ac:dyDescent="0.3">
      <c r="C6" s="1" t="s">
        <v>121</v>
      </c>
    </row>
    <row r="7" spans="2:4" x14ac:dyDescent="0.3">
      <c r="C7" s="1" t="s">
        <v>399</v>
      </c>
    </row>
    <row r="8" spans="2:4" x14ac:dyDescent="0.3">
      <c r="C8" s="1" t="s">
        <v>807</v>
      </c>
    </row>
    <row r="9" spans="2:4" x14ac:dyDescent="0.3">
      <c r="C9" s="1" t="s">
        <v>806</v>
      </c>
    </row>
    <row r="10" spans="2:4" x14ac:dyDescent="0.3">
      <c r="C10" s="1" t="s">
        <v>874</v>
      </c>
    </row>
    <row r="11" spans="2:4" x14ac:dyDescent="0.3">
      <c r="C11" s="1" t="s">
        <v>820</v>
      </c>
    </row>
    <row r="13" spans="2:4" x14ac:dyDescent="0.3">
      <c r="C13" s="17" t="s">
        <v>40</v>
      </c>
    </row>
    <row r="14" spans="2:4" x14ac:dyDescent="0.3">
      <c r="C14" s="46" t="s">
        <v>126</v>
      </c>
    </row>
    <row r="15" spans="2:4" x14ac:dyDescent="0.3">
      <c r="C15" s="46" t="s">
        <v>814</v>
      </c>
    </row>
    <row r="16" spans="2:4" x14ac:dyDescent="0.3">
      <c r="C16" s="46" t="s">
        <v>894</v>
      </c>
    </row>
    <row r="17" spans="2:3" x14ac:dyDescent="0.3">
      <c r="C17" s="46"/>
    </row>
    <row r="18" spans="2:3" x14ac:dyDescent="0.3">
      <c r="B18" s="1" t="s">
        <v>0</v>
      </c>
      <c r="C18" s="5" t="s">
        <v>269</v>
      </c>
    </row>
    <row r="19" spans="2:3" x14ac:dyDescent="0.3">
      <c r="C19" s="1" t="s">
        <v>620</v>
      </c>
    </row>
    <row r="20" spans="2:3" x14ac:dyDescent="0.3">
      <c r="C20" s="1" t="s">
        <v>700</v>
      </c>
    </row>
    <row r="21" spans="2:3" x14ac:dyDescent="0.3">
      <c r="C21" s="1" t="s">
        <v>701</v>
      </c>
    </row>
    <row r="22" spans="2:3" x14ac:dyDescent="0.3">
      <c r="C22" s="1" t="s">
        <v>702</v>
      </c>
    </row>
    <row r="23" spans="2:3" x14ac:dyDescent="0.3">
      <c r="C23" s="1" t="s">
        <v>703</v>
      </c>
    </row>
    <row r="24" spans="2:3" x14ac:dyDescent="0.3">
      <c r="C24" s="1" t="s">
        <v>778</v>
      </c>
    </row>
    <row r="26" spans="2:3" x14ac:dyDescent="0.3">
      <c r="B26" s="1" t="s">
        <v>260</v>
      </c>
      <c r="C26" t="s">
        <v>474</v>
      </c>
    </row>
    <row r="27" spans="2:3" x14ac:dyDescent="0.3">
      <c r="C27" s="1" t="s">
        <v>270</v>
      </c>
    </row>
    <row r="28" spans="2:3" x14ac:dyDescent="0.3">
      <c r="C28" s="1" t="s">
        <v>621</v>
      </c>
    </row>
    <row r="29" spans="2:3" x14ac:dyDescent="0.3">
      <c r="C29" s="1" t="s">
        <v>673</v>
      </c>
    </row>
    <row r="30" spans="2:3" x14ac:dyDescent="0.3">
      <c r="C30" s="1" t="s">
        <v>688</v>
      </c>
    </row>
    <row r="31" spans="2:3" x14ac:dyDescent="0.3">
      <c r="C31" s="1" t="s">
        <v>698</v>
      </c>
    </row>
    <row r="32" spans="2:3" x14ac:dyDescent="0.3">
      <c r="C32" s="1" t="s">
        <v>699</v>
      </c>
    </row>
    <row r="33" spans="2:3" x14ac:dyDescent="0.3">
      <c r="C33" s="1" t="s">
        <v>777</v>
      </c>
    </row>
    <row r="34" spans="2:3" x14ac:dyDescent="0.3">
      <c r="C34" s="1"/>
    </row>
    <row r="35" spans="2:3" x14ac:dyDescent="0.3">
      <c r="B35" s="1" t="s">
        <v>476</v>
      </c>
      <c r="C35" t="s">
        <v>474</v>
      </c>
    </row>
    <row r="36" spans="2:3" x14ac:dyDescent="0.3">
      <c r="C36" s="1" t="s">
        <v>492</v>
      </c>
    </row>
    <row r="37" spans="2:3" x14ac:dyDescent="0.3">
      <c r="C37" s="1" t="s">
        <v>493</v>
      </c>
    </row>
    <row r="38" spans="2:3" x14ac:dyDescent="0.3">
      <c r="C38" s="1" t="s">
        <v>515</v>
      </c>
    </row>
    <row r="39" spans="2:3" x14ac:dyDescent="0.3">
      <c r="C39" s="1"/>
    </row>
    <row r="40" spans="2:3" x14ac:dyDescent="0.3">
      <c r="B40" s="1" t="s">
        <v>603</v>
      </c>
    </row>
  </sheetData>
  <hyperlinks>
    <hyperlink ref="B18" location="'Source Files'!A1" display="Source Files" xr:uid="{00000000-0004-0000-0000-000000000000}"/>
    <hyperlink ref="B26" location="Stage1!A1" display="Stage1" xr:uid="{00000000-0004-0000-0000-000001000000}"/>
    <hyperlink ref="B2" location="'Bus Matrix'!A1" display="Bus Matrix" xr:uid="{00000000-0004-0000-0000-000002000000}"/>
    <hyperlink ref="C5" location="Date!A1" display="Date" xr:uid="{00000000-0004-0000-0000-000003000000}"/>
    <hyperlink ref="B35" location="Stage2!A1" display="Stage2 database" xr:uid="{00000000-0004-0000-0000-000004000000}"/>
    <hyperlink ref="D5" location="'Date records'!A1" display="Date Records" xr:uid="{00000000-0004-0000-0000-000005000000}"/>
    <hyperlink ref="B1" location="'Naming Conventions'!A1" display="Naming Conventions" xr:uid="{00000000-0004-0000-0000-000006000000}"/>
    <hyperlink ref="C18" location="SF_MM_Stock_Take!A1" display="SF_MM_Stock_Take" xr:uid="{00000000-0004-0000-0000-000007000000}"/>
    <hyperlink ref="C27" location="S1_MM_Stock_Take!A1" display="S1_MM_Stock_Take!A1" xr:uid="{00000000-0004-0000-0000-000008000000}"/>
    <hyperlink ref="C14" location="Stock_Take_Fact!A1" display="Stock Take Fact" xr:uid="{00000000-0004-0000-0000-000009000000}"/>
    <hyperlink ref="C6" location="Material!A1" display="Material" xr:uid="{00000000-0004-0000-0000-00000A000000}"/>
    <hyperlink ref="C36" location="S2_MM_Material_Group_Lookup!A1" display="S2_Material_Group_Lookup" xr:uid="{00000000-0004-0000-0000-00000B000000}"/>
    <hyperlink ref="C7" location="Stock_Take_Indicators!A1" display="Stock_Take_Indicators" xr:uid="{00000000-0004-0000-0000-00000C000000}"/>
    <hyperlink ref="C37" location="S2_MM_Material!A1" display="S2_MM_Material" xr:uid="{00000000-0004-0000-0000-00000D000000}"/>
    <hyperlink ref="C38" location="S2_MM_Stock_Take!A1" display="S2_MM_Stock_Take" xr:uid="{00000000-0004-0000-0000-00000E000000}"/>
    <hyperlink ref="B4" location="AtomicDW!A1" display="AtomicDW" xr:uid="{00000000-0004-0000-0000-00000F000000}"/>
    <hyperlink ref="B40" location="'Process Metadata'!A1" display="Metadata tables" xr:uid="{00000000-0004-0000-0000-000010000000}"/>
    <hyperlink ref="C28" location="S1_PW_Customer!A1" display="S1_PW_Customer" xr:uid="{66E6E416-F47A-4854-BB66-F73D2DF988F8}"/>
    <hyperlink ref="C29" location="S1_PW_Customer_Department!A1" display="S1_PW_Customer_Department" xr:uid="{587D4A1D-63B1-42FA-83EE-02F9D8873D2A}"/>
    <hyperlink ref="C30" location="S1_PW_Customer_Department_Group!A1" display="S1_PW_Customer_Department_Group" xr:uid="{6AAF89AC-AFB5-4985-A67C-5FE482423D4D}"/>
    <hyperlink ref="C19" location="SF_PW_Customer!A1" display="SF_PW_Customer" xr:uid="{9EE23235-21EA-48D9-A6C1-0625D8FD5623}"/>
    <hyperlink ref="C20" location="SF_PW_Customer_Department!A1" display="SF_PW_Customer_Department" xr:uid="{41819019-6F11-48CD-93B7-D8787CFB197C}"/>
    <hyperlink ref="C21" location="SF_PW_Customer_Department_Group!A1" display="SF_PW_Customer_Department_Group" xr:uid="{5B02B03C-F43F-48A1-B233-6F18317F4FAC}"/>
    <hyperlink ref="C22" location="SF_PW_Employees!A1" display="SF_PW_Employees" xr:uid="{C5E1F04E-5630-4DBE-BB17-84B221ED610E}"/>
    <hyperlink ref="C23" location="SF_PW_Employee_Timesheet!A1" display="SF_PW_Employee_Timesheet" xr:uid="{1BD5E5DE-F3FF-4F21-81F6-5FA56857C981}"/>
    <hyperlink ref="C31" location="S1_PW_Employees!A1" display="S1_PW_Employees" xr:uid="{D48AC2EC-6265-41CD-BD65-B2F94B269CC7}"/>
    <hyperlink ref="C32" location="S1_PW_Employee_Timesheet!A1" display="S1_PW_Employee_Timesheet" xr:uid="{466BB19D-E16F-42A4-AE1C-E4A053E1926E}"/>
    <hyperlink ref="C24" location="SF_PW_Internal_Projects!A1" display="SF_Internal_Projects" xr:uid="{D9F087CD-F9EC-4623-B94B-BC5E8B93753C}"/>
    <hyperlink ref="C33" location="S1_PW_Internal_Projects!A1" display="S1_PW_Internal_Projects" xr:uid="{B268A2EF-40A4-4BB9-8E31-B47272F6068C}"/>
    <hyperlink ref="C15" location="Employee_TimeSheet_Fact!A1" display="Employee_TimeSheet_Fact" xr:uid="{5F31B127-DF08-4479-81E8-F2171357FB9A}"/>
    <hyperlink ref="C16" location="Annual_Project_Costs_Analysis!A1" display="Annual_Project_Costs_Analysis" xr:uid="{41914469-C430-40C6-9D8C-0ED51C45B7A4}"/>
    <hyperlink ref="C8" location="Customer!A1" display="Customer" xr:uid="{A8F392FD-3021-4D4B-9595-CF9428960644}"/>
    <hyperlink ref="C9" location="Employee!A1" display="Employee" xr:uid="{B8733308-4C85-4718-B432-CC63D2521596}"/>
    <hyperlink ref="C10" location="Project!A1" display="Projects" xr:uid="{F4D8C897-22C0-4C40-B404-89005A75175D}"/>
    <hyperlink ref="C11" location="Project_Status!A1" display="Project_Status" xr:uid="{F2D980D3-CAE6-4974-80F6-E9E813937983}"/>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C35"/>
  <sheetViews>
    <sheetView workbookViewId="0">
      <selection activeCell="D19" sqref="D19"/>
    </sheetView>
  </sheetViews>
  <sheetFormatPr defaultRowHeight="14.4" x14ac:dyDescent="0.3"/>
  <cols>
    <col min="1" max="1" width="18.44140625" bestFit="1" customWidth="1"/>
    <col min="2" max="2" width="28.109375" style="100" bestFit="1" customWidth="1"/>
    <col min="3" max="3" width="62.33203125" bestFit="1" customWidth="1"/>
    <col min="4" max="4" width="26.44140625" customWidth="1"/>
  </cols>
  <sheetData>
    <row r="1" spans="1:3" x14ac:dyDescent="0.3">
      <c r="A1" s="5" t="s">
        <v>5</v>
      </c>
    </row>
    <row r="3" spans="1:3" s="101" customFormat="1" x14ac:dyDescent="0.3">
      <c r="A3" s="101" t="s">
        <v>0</v>
      </c>
      <c r="B3" s="102" t="s">
        <v>259</v>
      </c>
      <c r="C3" s="103" t="s">
        <v>457</v>
      </c>
    </row>
    <row r="4" spans="1:3" s="104" customFormat="1" x14ac:dyDescent="0.3">
      <c r="B4" s="105" t="s">
        <v>127</v>
      </c>
      <c r="C4" s="106" t="s">
        <v>266</v>
      </c>
    </row>
    <row r="6" spans="1:3" s="101" customFormat="1" x14ac:dyDescent="0.3">
      <c r="A6" s="101" t="s">
        <v>576</v>
      </c>
      <c r="B6" s="102" t="s">
        <v>259</v>
      </c>
      <c r="C6" s="103" t="s">
        <v>577</v>
      </c>
    </row>
    <row r="7" spans="1:3" s="104" customFormat="1" x14ac:dyDescent="0.3">
      <c r="B7" s="105" t="s">
        <v>127</v>
      </c>
      <c r="C7" s="106" t="s">
        <v>578</v>
      </c>
    </row>
    <row r="9" spans="1:3" s="101" customFormat="1" x14ac:dyDescent="0.3">
      <c r="A9" s="101" t="s">
        <v>579</v>
      </c>
      <c r="B9" s="102" t="s">
        <v>259</v>
      </c>
      <c r="C9" s="103" t="s">
        <v>580</v>
      </c>
    </row>
    <row r="10" spans="1:3" s="104" customFormat="1" x14ac:dyDescent="0.3">
      <c r="B10" s="105" t="s">
        <v>127</v>
      </c>
      <c r="C10" s="106" t="s">
        <v>581</v>
      </c>
    </row>
    <row r="12" spans="1:3" s="101" customFormat="1" x14ac:dyDescent="0.3">
      <c r="A12" s="101" t="s">
        <v>260</v>
      </c>
      <c r="B12" s="102" t="s">
        <v>261</v>
      </c>
      <c r="C12" s="103" t="s">
        <v>262</v>
      </c>
    </row>
    <row r="13" spans="1:3" s="67" customFormat="1" x14ac:dyDescent="0.3">
      <c r="B13" s="107" t="s">
        <v>593</v>
      </c>
      <c r="C13" s="108" t="s">
        <v>594</v>
      </c>
    </row>
    <row r="14" spans="1:3" s="67" customFormat="1" x14ac:dyDescent="0.3">
      <c r="B14" s="107" t="s">
        <v>263</v>
      </c>
      <c r="C14" s="108" t="s">
        <v>264</v>
      </c>
    </row>
    <row r="15" spans="1:3" s="104" customFormat="1" x14ac:dyDescent="0.3">
      <c r="B15" s="105" t="s">
        <v>458</v>
      </c>
      <c r="C15" s="106" t="s">
        <v>471</v>
      </c>
    </row>
    <row r="17" spans="1:3" s="101" customFormat="1" x14ac:dyDescent="0.3">
      <c r="A17" s="101" t="s">
        <v>476</v>
      </c>
      <c r="B17" s="102" t="s">
        <v>261</v>
      </c>
      <c r="C17" s="103" t="s">
        <v>475</v>
      </c>
    </row>
    <row r="18" spans="1:3" s="67" customFormat="1" x14ac:dyDescent="0.3">
      <c r="B18" s="107" t="s">
        <v>593</v>
      </c>
      <c r="C18" s="108" t="s">
        <v>595</v>
      </c>
    </row>
    <row r="19" spans="1:3" s="67" customFormat="1" x14ac:dyDescent="0.3">
      <c r="B19" s="107" t="s">
        <v>263</v>
      </c>
      <c r="C19" s="108" t="s">
        <v>483</v>
      </c>
    </row>
    <row r="20" spans="1:3" s="104" customFormat="1" x14ac:dyDescent="0.3">
      <c r="B20" s="105" t="s">
        <v>458</v>
      </c>
      <c r="C20" s="106" t="s">
        <v>484</v>
      </c>
    </row>
    <row r="22" spans="1:3" s="101" customFormat="1" x14ac:dyDescent="0.3">
      <c r="A22" s="101" t="s">
        <v>601</v>
      </c>
      <c r="B22" s="102" t="s">
        <v>261</v>
      </c>
      <c r="C22" s="103" t="s">
        <v>554</v>
      </c>
    </row>
    <row r="23" spans="1:3" s="67" customFormat="1" x14ac:dyDescent="0.3">
      <c r="A23" s="67" t="s">
        <v>602</v>
      </c>
      <c r="B23" s="107" t="s">
        <v>593</v>
      </c>
      <c r="C23" s="108" t="s">
        <v>596</v>
      </c>
    </row>
    <row r="24" spans="1:3" s="67" customFormat="1" x14ac:dyDescent="0.3">
      <c r="B24" s="107" t="s">
        <v>582</v>
      </c>
      <c r="C24" s="108" t="s">
        <v>583</v>
      </c>
    </row>
    <row r="25" spans="1:3" s="67" customFormat="1" x14ac:dyDescent="0.3">
      <c r="B25" s="107" t="s">
        <v>584</v>
      </c>
      <c r="C25" s="108" t="s">
        <v>585</v>
      </c>
    </row>
    <row r="26" spans="1:3" s="104" customFormat="1" x14ac:dyDescent="0.3">
      <c r="B26" s="105" t="s">
        <v>458</v>
      </c>
      <c r="C26" s="106" t="s">
        <v>586</v>
      </c>
    </row>
    <row r="28" spans="1:3" s="101" customFormat="1" x14ac:dyDescent="0.3">
      <c r="A28" s="101" t="s">
        <v>265</v>
      </c>
      <c r="B28" s="109" t="s">
        <v>127</v>
      </c>
      <c r="C28" s="110" t="s">
        <v>23</v>
      </c>
    </row>
    <row r="29" spans="1:3" s="67" customFormat="1" x14ac:dyDescent="0.3">
      <c r="B29" s="113" t="s">
        <v>622</v>
      </c>
      <c r="C29" s="114" t="s">
        <v>623</v>
      </c>
    </row>
    <row r="30" spans="1:3" s="104" customFormat="1" x14ac:dyDescent="0.3">
      <c r="B30" s="105" t="s">
        <v>588</v>
      </c>
      <c r="C30" s="106" t="s">
        <v>267</v>
      </c>
    </row>
    <row r="32" spans="1:3" s="101" customFormat="1" x14ac:dyDescent="0.3">
      <c r="A32" s="101" t="s">
        <v>587</v>
      </c>
      <c r="B32" s="102" t="s">
        <v>589</v>
      </c>
      <c r="C32" s="103" t="s">
        <v>590</v>
      </c>
    </row>
    <row r="33" spans="2:3" s="67" customFormat="1" x14ac:dyDescent="0.3">
      <c r="B33" s="107" t="s">
        <v>591</v>
      </c>
      <c r="C33" s="108" t="s">
        <v>592</v>
      </c>
    </row>
    <row r="34" spans="2:3" s="67" customFormat="1" x14ac:dyDescent="0.3">
      <c r="B34" s="107" t="s">
        <v>597</v>
      </c>
      <c r="C34" s="108" t="s">
        <v>598</v>
      </c>
    </row>
    <row r="35" spans="2:3" s="104" customFormat="1" x14ac:dyDescent="0.3">
      <c r="B35" s="105" t="s">
        <v>599</v>
      </c>
      <c r="C35" s="106" t="s">
        <v>600</v>
      </c>
    </row>
  </sheetData>
  <hyperlinks>
    <hyperlink ref="A1" location="Index!A1" display="Index" xr:uid="{00000000-0004-0000-0100-000000000000}"/>
  </hyperlink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92D050"/>
  </sheetPr>
  <dimension ref="B1:M9"/>
  <sheetViews>
    <sheetView workbookViewId="0">
      <pane xSplit="5" ySplit="4" topLeftCell="F5" activePane="bottomRight" state="frozen"/>
      <selection pane="topRight" activeCell="F1" sqref="F1"/>
      <selection pane="bottomLeft" activeCell="A5" sqref="A5"/>
      <selection pane="bottomRight" activeCell="G6" sqref="G6"/>
    </sheetView>
  </sheetViews>
  <sheetFormatPr defaultColWidth="9.109375" defaultRowHeight="14.4" x14ac:dyDescent="0.3"/>
  <cols>
    <col min="1" max="1" width="1.88671875" style="19" customWidth="1"/>
    <col min="2" max="2" width="13" style="19" customWidth="1"/>
    <col min="3" max="3" width="23.6640625" style="19" bestFit="1" customWidth="1"/>
    <col min="4" max="4" width="14" style="19" customWidth="1"/>
    <col min="5" max="5" width="24.109375" style="19" customWidth="1"/>
    <col min="6" max="6" width="23.44140625" style="20" customWidth="1"/>
    <col min="7" max="7" width="15.33203125" style="20" customWidth="1"/>
    <col min="8" max="8" width="12.88671875" style="20" customWidth="1"/>
    <col min="9" max="9" width="15.5546875" style="19" customWidth="1"/>
    <col min="10" max="11" width="14.6640625" style="19" customWidth="1"/>
    <col min="12" max="12" width="14.44140625" style="19" customWidth="1"/>
    <col min="13" max="16384" width="9.109375" style="19"/>
  </cols>
  <sheetData>
    <row r="1" spans="2:13" ht="30" customHeight="1" x14ac:dyDescent="0.3">
      <c r="B1" s="5" t="s">
        <v>5</v>
      </c>
      <c r="I1" s="130"/>
    </row>
    <row r="2" spans="2:13" ht="28.8" x14ac:dyDescent="0.3">
      <c r="E2" s="21" t="s">
        <v>120</v>
      </c>
      <c r="F2" s="87" t="s">
        <v>43</v>
      </c>
      <c r="G2" s="87" t="s">
        <v>121</v>
      </c>
      <c r="H2" s="87" t="s">
        <v>553</v>
      </c>
      <c r="I2" s="133" t="s">
        <v>806</v>
      </c>
      <c r="J2" s="133" t="s">
        <v>807</v>
      </c>
      <c r="K2" s="133" t="s">
        <v>809</v>
      </c>
      <c r="L2" s="133" t="s">
        <v>820</v>
      </c>
    </row>
    <row r="3" spans="2:13" ht="32.4" customHeight="1" x14ac:dyDescent="0.3">
      <c r="E3" s="21" t="s">
        <v>38</v>
      </c>
      <c r="F3" s="86" t="s">
        <v>808</v>
      </c>
      <c r="G3" s="86" t="s">
        <v>118</v>
      </c>
      <c r="H3" s="86" t="s">
        <v>400</v>
      </c>
      <c r="I3" s="20" t="s">
        <v>810</v>
      </c>
      <c r="J3" s="20" t="s">
        <v>810</v>
      </c>
      <c r="K3" s="20" t="s">
        <v>810</v>
      </c>
      <c r="L3" s="20" t="s">
        <v>661</v>
      </c>
    </row>
    <row r="4" spans="2:13" ht="28.8" x14ac:dyDescent="0.3">
      <c r="B4" s="22" t="s">
        <v>39</v>
      </c>
      <c r="C4" s="22" t="s">
        <v>122</v>
      </c>
      <c r="D4" s="22" t="s">
        <v>41</v>
      </c>
      <c r="E4" s="23" t="s">
        <v>42</v>
      </c>
      <c r="F4" s="88" t="s">
        <v>43</v>
      </c>
      <c r="G4" s="88" t="s">
        <v>123</v>
      </c>
      <c r="H4" s="88" t="s">
        <v>401</v>
      </c>
      <c r="I4" s="20" t="s">
        <v>705</v>
      </c>
      <c r="J4" s="20" t="s">
        <v>895</v>
      </c>
      <c r="K4" s="20" t="s">
        <v>739</v>
      </c>
      <c r="L4" s="20" t="s">
        <v>811</v>
      </c>
    </row>
    <row r="5" spans="2:13" ht="28.8" x14ac:dyDescent="0.3">
      <c r="B5" s="85" t="s">
        <v>125</v>
      </c>
      <c r="C5" s="112" t="s">
        <v>126</v>
      </c>
      <c r="D5" s="86" t="s">
        <v>124</v>
      </c>
      <c r="E5" s="89" t="s">
        <v>619</v>
      </c>
      <c r="F5" s="86" t="s">
        <v>158</v>
      </c>
      <c r="G5" s="86" t="s">
        <v>44</v>
      </c>
      <c r="H5" s="86" t="s">
        <v>44</v>
      </c>
      <c r="L5" s="20"/>
    </row>
    <row r="6" spans="2:13" ht="43.2" x14ac:dyDescent="0.3">
      <c r="B6" s="19" t="s">
        <v>812</v>
      </c>
      <c r="C6" s="142" t="s">
        <v>814</v>
      </c>
      <c r="D6" s="20" t="s">
        <v>124</v>
      </c>
      <c r="E6" s="131" t="s">
        <v>911</v>
      </c>
      <c r="F6" s="20" t="s">
        <v>817</v>
      </c>
      <c r="I6" s="20" t="s">
        <v>44</v>
      </c>
      <c r="J6" s="20"/>
      <c r="K6" s="20" t="s">
        <v>44</v>
      </c>
      <c r="L6" s="20"/>
    </row>
    <row r="7" spans="2:13" ht="43.2" x14ac:dyDescent="0.3">
      <c r="B7" s="19" t="s">
        <v>813</v>
      </c>
      <c r="C7" s="142" t="s">
        <v>894</v>
      </c>
      <c r="D7" s="20" t="s">
        <v>815</v>
      </c>
      <c r="E7" s="131" t="s">
        <v>816</v>
      </c>
      <c r="F7" s="20" t="s">
        <v>912</v>
      </c>
      <c r="J7" s="20" t="s">
        <v>44</v>
      </c>
      <c r="K7" s="20" t="s">
        <v>44</v>
      </c>
      <c r="L7" s="20" t="s">
        <v>44</v>
      </c>
      <c r="M7" s="20"/>
    </row>
    <row r="9" spans="2:13" ht="43.2" x14ac:dyDescent="0.3">
      <c r="B9" s="130"/>
      <c r="D9" s="130" t="s">
        <v>290</v>
      </c>
      <c r="G9" s="132" t="s">
        <v>818</v>
      </c>
      <c r="K9" s="132" t="s">
        <v>819</v>
      </c>
    </row>
  </sheetData>
  <phoneticPr fontId="19" type="noConversion"/>
  <hyperlinks>
    <hyperlink ref="F2" location="Date!A1" display="Date" xr:uid="{00000000-0004-0000-0200-000000000000}"/>
    <hyperlink ref="G2" location="Material!A1" display="Material" xr:uid="{00000000-0004-0000-0200-000001000000}"/>
    <hyperlink ref="C5" location="Stock_Take_Fact!A1" display="Stock Take Fact" xr:uid="{00000000-0004-0000-0200-000002000000}"/>
    <hyperlink ref="B1" location="Index!A1" display="Index" xr:uid="{00000000-0004-0000-0200-000003000000}"/>
    <hyperlink ref="H2" location="Stock_Take_Indicators!A1" display="Stock_Take_Indicators" xr:uid="{00000000-0004-0000-0200-000004000000}"/>
    <hyperlink ref="J2" location="Customer!A1" display="Customer" xr:uid="{E477D36E-7ED1-4E84-8216-7DEF317B33AA}"/>
    <hyperlink ref="K2" location="Project!A1" display="Project" xr:uid="{1ED0C447-A838-4002-952F-4F7A030FBBB5}"/>
    <hyperlink ref="L2" location="Project_Status!A1" display="Project_Status" xr:uid="{FA64C2A9-6C33-43C2-9078-B764224DEF42}"/>
    <hyperlink ref="C6" location="Employee_TimeSheet_Fact!A1" display="Employee_TimeSheet_Fact" xr:uid="{AEEFCD46-769E-44BA-878B-96394332E3F9}"/>
    <hyperlink ref="C7" location="Annual_Project_Costs_Analysis!A1" display="Annual_Project_Costs_Analysis" xr:uid="{B4845ACB-A817-4511-BB76-12C859B067A7}"/>
    <hyperlink ref="I2" location="Employee!A1" display="Employee" xr:uid="{B02651BA-A310-4D01-8890-018162D5C10E}"/>
  </hyperlinks>
  <pageMargins left="0.7" right="0.7" top="0.75" bottom="0.75" header="0.3" footer="0.3"/>
  <pageSetup paperSize="9" orientation="portrait" horizontalDpi="4294967293" verticalDpi="4294967293"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92D050"/>
  </sheetPr>
  <dimension ref="A1:F27"/>
  <sheetViews>
    <sheetView workbookViewId="0">
      <selection activeCell="A5" sqref="A5"/>
    </sheetView>
  </sheetViews>
  <sheetFormatPr defaultRowHeight="14.4" x14ac:dyDescent="0.3"/>
  <cols>
    <col min="1" max="1" width="31.44140625" customWidth="1"/>
    <col min="2" max="2" width="58.33203125" bestFit="1" customWidth="1"/>
    <col min="3" max="3" width="33.88671875" customWidth="1"/>
    <col min="4" max="4" width="11.44140625" bestFit="1" customWidth="1"/>
    <col min="5" max="5" width="23" bestFit="1" customWidth="1"/>
    <col min="6" max="6" width="12.5546875" bestFit="1" customWidth="1"/>
  </cols>
  <sheetData>
    <row r="1" spans="1:6" x14ac:dyDescent="0.3">
      <c r="A1" s="5" t="s">
        <v>5</v>
      </c>
    </row>
    <row r="2" spans="1:6" x14ac:dyDescent="0.3">
      <c r="A2" t="s">
        <v>555</v>
      </c>
    </row>
    <row r="3" spans="1:6" x14ac:dyDescent="0.3">
      <c r="A3" t="s">
        <v>556</v>
      </c>
    </row>
    <row r="4" spans="1:6" x14ac:dyDescent="0.3">
      <c r="A4" t="s">
        <v>557</v>
      </c>
    </row>
    <row r="7" spans="1:6" x14ac:dyDescent="0.3">
      <c r="A7" s="200" t="s">
        <v>14</v>
      </c>
      <c r="B7" s="200"/>
      <c r="C7" s="200"/>
      <c r="D7" s="200"/>
      <c r="E7" s="200"/>
      <c r="F7" s="200"/>
    </row>
    <row r="8" spans="1:6" x14ac:dyDescent="0.3">
      <c r="A8" s="11" t="s">
        <v>21</v>
      </c>
      <c r="B8" s="11" t="s">
        <v>7</v>
      </c>
      <c r="C8" s="11" t="s">
        <v>2</v>
      </c>
      <c r="D8" s="11" t="s">
        <v>22</v>
      </c>
      <c r="E8" s="6" t="s">
        <v>6</v>
      </c>
      <c r="F8" s="11"/>
    </row>
    <row r="9" spans="1:6" x14ac:dyDescent="0.3">
      <c r="A9" s="1" t="s">
        <v>43</v>
      </c>
      <c r="B9" t="s">
        <v>563</v>
      </c>
      <c r="C9" s="1" t="s">
        <v>564</v>
      </c>
      <c r="D9" t="s">
        <v>35</v>
      </c>
      <c r="E9" s="92" t="s">
        <v>43</v>
      </c>
    </row>
    <row r="10" spans="1:6" x14ac:dyDescent="0.3">
      <c r="A10" s="1" t="s">
        <v>121</v>
      </c>
      <c r="B10" t="s">
        <v>565</v>
      </c>
      <c r="C10" t="s">
        <v>475</v>
      </c>
      <c r="D10" t="s">
        <v>496</v>
      </c>
      <c r="E10" s="1" t="s">
        <v>493</v>
      </c>
    </row>
    <row r="11" spans="1:6" x14ac:dyDescent="0.3">
      <c r="A11" s="1" t="s">
        <v>399</v>
      </c>
      <c r="B11" t="s">
        <v>567</v>
      </c>
      <c r="C11" t="s">
        <v>475</v>
      </c>
      <c r="D11" t="s">
        <v>496</v>
      </c>
      <c r="E11" s="1" t="s">
        <v>515</v>
      </c>
    </row>
    <row r="12" spans="1:6" x14ac:dyDescent="0.3">
      <c r="A12" s="1" t="s">
        <v>568</v>
      </c>
      <c r="B12" t="s">
        <v>569</v>
      </c>
      <c r="C12" t="s">
        <v>475</v>
      </c>
      <c r="D12" t="s">
        <v>496</v>
      </c>
      <c r="E12" s="1" t="s">
        <v>515</v>
      </c>
    </row>
    <row r="14" spans="1:6" ht="15" thickBot="1" x14ac:dyDescent="0.35">
      <c r="A14" s="200" t="s">
        <v>485</v>
      </c>
      <c r="B14" s="200"/>
      <c r="C14" s="200"/>
      <c r="D14" s="200"/>
      <c r="E14" s="200"/>
      <c r="F14" s="200"/>
    </row>
    <row r="15" spans="1:6" ht="15" thickTop="1" x14ac:dyDescent="0.3">
      <c r="A15" s="11" t="s">
        <v>21</v>
      </c>
      <c r="B15" s="11" t="s">
        <v>7</v>
      </c>
      <c r="C15" s="199" t="s">
        <v>470</v>
      </c>
      <c r="D15" s="199"/>
      <c r="E15" s="199"/>
      <c r="F15" s="11"/>
    </row>
    <row r="16" spans="1:6" x14ac:dyDescent="0.3">
      <c r="A16" t="s">
        <v>574</v>
      </c>
      <c r="B16" t="s">
        <v>575</v>
      </c>
    </row>
    <row r="20" spans="1:6" ht="15" thickBot="1" x14ac:dyDescent="0.35">
      <c r="A20" s="201" t="s">
        <v>24</v>
      </c>
      <c r="B20" s="201"/>
      <c r="C20" s="201"/>
      <c r="D20" s="201"/>
      <c r="E20" s="201"/>
      <c r="F20" s="201"/>
    </row>
    <row r="21" spans="1:6" ht="15" thickTop="1" x14ac:dyDescent="0.3">
      <c r="A21" s="8" t="s">
        <v>21</v>
      </c>
      <c r="B21" s="8" t="s">
        <v>7</v>
      </c>
      <c r="C21" s="199" t="s">
        <v>482</v>
      </c>
      <c r="D21" s="199"/>
      <c r="E21" s="199"/>
      <c r="F21" s="8" t="s">
        <v>23</v>
      </c>
    </row>
    <row r="22" spans="1:6" x14ac:dyDescent="0.3">
      <c r="A22" s="1" t="s">
        <v>25</v>
      </c>
      <c r="B22" t="s">
        <v>33</v>
      </c>
      <c r="C22" t="s">
        <v>561</v>
      </c>
      <c r="F22" t="s">
        <v>26</v>
      </c>
    </row>
    <row r="23" spans="1:6" ht="28.8" x14ac:dyDescent="0.3">
      <c r="A23" s="1" t="s">
        <v>27</v>
      </c>
      <c r="B23" t="s">
        <v>28</v>
      </c>
      <c r="C23" s="2" t="s">
        <v>562</v>
      </c>
      <c r="F23" t="s">
        <v>29</v>
      </c>
    </row>
    <row r="24" spans="1:6" ht="72" x14ac:dyDescent="0.3">
      <c r="A24" s="1" t="s">
        <v>30</v>
      </c>
      <c r="B24" t="s">
        <v>31</v>
      </c>
      <c r="C24" s="2" t="s">
        <v>616</v>
      </c>
      <c r="F24" t="s">
        <v>32</v>
      </c>
    </row>
    <row r="26" spans="1:6" ht="15" thickBot="1" x14ac:dyDescent="0.35">
      <c r="A26" s="201" t="s">
        <v>468</v>
      </c>
      <c r="B26" s="201"/>
      <c r="C26" s="201"/>
      <c r="D26" s="201"/>
      <c r="E26" s="201"/>
      <c r="F26" s="201"/>
    </row>
    <row r="27" spans="1:6" ht="15" thickTop="1" x14ac:dyDescent="0.3">
      <c r="A27" s="8" t="s">
        <v>21</v>
      </c>
      <c r="B27" s="8" t="s">
        <v>7</v>
      </c>
      <c r="C27" s="199" t="s">
        <v>470</v>
      </c>
      <c r="D27" s="199"/>
      <c r="E27" s="199"/>
      <c r="F27" s="8"/>
    </row>
  </sheetData>
  <mergeCells count="7">
    <mergeCell ref="C27:E27"/>
    <mergeCell ref="A7:F7"/>
    <mergeCell ref="A14:F14"/>
    <mergeCell ref="C15:E15"/>
    <mergeCell ref="A20:F20"/>
    <mergeCell ref="C21:E21"/>
    <mergeCell ref="A26:F26"/>
  </mergeCells>
  <hyperlinks>
    <hyperlink ref="A1" location="Index!A1" display="Index" xr:uid="{00000000-0004-0000-0B00-000000000000}"/>
    <hyperlink ref="A22" location="'Process Metadata'!A5" display="Import_Batch" xr:uid="{00000000-0004-0000-0B00-000001000000}"/>
    <hyperlink ref="A23" location="'Process Metadata'!A16" display="Import_Batch_Process" xr:uid="{00000000-0004-0000-0B00-000002000000}"/>
    <hyperlink ref="A24" location="'Process Metadata'!A25" display="Import_Batch_Process_Task" xr:uid="{00000000-0004-0000-0B00-000003000000}"/>
    <hyperlink ref="A9" location="Date!A1" display="Date!A1" xr:uid="{00000000-0004-0000-0B00-000004000000}"/>
    <hyperlink ref="C9" location="'Date records'!A1" display="Custom created Date records" xr:uid="{00000000-0004-0000-0B00-000005000000}"/>
    <hyperlink ref="A10" location="Material!A1" display="Material" xr:uid="{00000000-0004-0000-0B00-000006000000}"/>
    <hyperlink ref="E10" location="S2_MM_Material!A1" display="S2_MM_Material" xr:uid="{00000000-0004-0000-0B00-000007000000}"/>
    <hyperlink ref="A11" location="Stock_Take_Indicators!A1" display="Stock_Take_Indicators!A1" xr:uid="{00000000-0004-0000-0B00-000008000000}"/>
    <hyperlink ref="E11" location="S2_MM_Stock_Take!A1" display="S2_MM_Stock_Take" xr:uid="{00000000-0004-0000-0B00-000009000000}"/>
    <hyperlink ref="A12" location="Stock_Take_Fact!A1" display="Stock_Take_Fact" xr:uid="{00000000-0004-0000-0B00-00000A000000}"/>
    <hyperlink ref="E12" location="S2_MM_Stock_Take!A1" display="S2_MM_Stock_Take" xr:uid="{00000000-0004-0000-0B00-00000B000000}"/>
  </hyperlink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tabColor rgb="FF92D050"/>
  </sheetPr>
  <dimension ref="A1:H27"/>
  <sheetViews>
    <sheetView zoomScaleNormal="100" workbookViewId="0"/>
  </sheetViews>
  <sheetFormatPr defaultColWidth="21.5546875" defaultRowHeight="14.4" x14ac:dyDescent="0.3"/>
  <cols>
    <col min="1" max="1" width="36.33203125" style="3" customWidth="1"/>
    <col min="2" max="2" width="14.5546875" style="3" customWidth="1"/>
    <col min="3" max="3" width="9.33203125" style="3" customWidth="1"/>
    <col min="4" max="4" width="49.109375" style="3" customWidth="1"/>
    <col min="5" max="5" width="8" style="3" customWidth="1"/>
    <col min="6" max="6" width="22.88671875" style="3" customWidth="1"/>
    <col min="7" max="7" width="10" style="3" bestFit="1" customWidth="1"/>
    <col min="8" max="8" width="70.5546875" style="3" customWidth="1"/>
    <col min="9" max="16384" width="21.5546875" style="3"/>
  </cols>
  <sheetData>
    <row r="1" spans="1:8" x14ac:dyDescent="0.3">
      <c r="A1" s="5" t="s">
        <v>5</v>
      </c>
    </row>
    <row r="2" spans="1:8" x14ac:dyDescent="0.3">
      <c r="A2" s="6" t="s">
        <v>127</v>
      </c>
      <c r="B2" s="6" t="s">
        <v>126</v>
      </c>
    </row>
    <row r="3" spans="1:8" x14ac:dyDescent="0.3">
      <c r="A3" s="6" t="s">
        <v>45</v>
      </c>
      <c r="B3" s="74" t="s">
        <v>454</v>
      </c>
      <c r="C3" s="74"/>
      <c r="D3" s="74"/>
      <c r="E3" s="74"/>
      <c r="F3" s="74"/>
      <c r="G3" s="74"/>
      <c r="H3" s="74"/>
    </row>
    <row r="4" spans="1:8" x14ac:dyDescent="0.3">
      <c r="D4" s="4"/>
    </row>
    <row r="5" spans="1:8" ht="28.8" x14ac:dyDescent="0.3">
      <c r="A5" s="25" t="s">
        <v>15</v>
      </c>
      <c r="B5" s="25" t="s">
        <v>16</v>
      </c>
      <c r="C5" s="25" t="s">
        <v>151</v>
      </c>
      <c r="D5" s="25" t="s">
        <v>7</v>
      </c>
      <c r="E5" s="25" t="s">
        <v>47</v>
      </c>
      <c r="F5" s="25" t="s">
        <v>48</v>
      </c>
      <c r="G5" s="25" t="s">
        <v>17</v>
      </c>
      <c r="H5" s="25" t="s">
        <v>52</v>
      </c>
    </row>
    <row r="6" spans="1:8" x14ac:dyDescent="0.3">
      <c r="A6" s="3" t="s">
        <v>152</v>
      </c>
      <c r="B6" s="4" t="s">
        <v>20</v>
      </c>
      <c r="C6" s="3" t="s">
        <v>155</v>
      </c>
      <c r="D6" s="49" t="s">
        <v>153</v>
      </c>
      <c r="F6" s="5" t="s">
        <v>43</v>
      </c>
      <c r="G6" s="42">
        <v>20190125</v>
      </c>
      <c r="H6" s="3" t="s">
        <v>344</v>
      </c>
    </row>
    <row r="7" spans="1:8" x14ac:dyDescent="0.3">
      <c r="A7" s="3" t="s">
        <v>236</v>
      </c>
      <c r="B7" s="4" t="s">
        <v>20</v>
      </c>
      <c r="C7" s="3" t="s">
        <v>155</v>
      </c>
      <c r="D7" s="50" t="s">
        <v>156</v>
      </c>
      <c r="F7" s="5" t="s">
        <v>121</v>
      </c>
      <c r="G7" s="42">
        <v>123</v>
      </c>
    </row>
    <row r="8" spans="1:8" x14ac:dyDescent="0.3">
      <c r="A8" s="3" t="s">
        <v>410</v>
      </c>
      <c r="B8" s="4" t="s">
        <v>20</v>
      </c>
      <c r="C8" s="3" t="s">
        <v>155</v>
      </c>
      <c r="D8" s="50" t="s">
        <v>449</v>
      </c>
      <c r="F8" s="5" t="s">
        <v>451</v>
      </c>
      <c r="G8" s="70"/>
    </row>
    <row r="9" spans="1:8" s="6" customFormat="1" x14ac:dyDescent="0.3">
      <c r="A9" s="6" t="s">
        <v>417</v>
      </c>
      <c r="B9" s="7" t="s">
        <v>61</v>
      </c>
      <c r="C9" s="6" t="s">
        <v>155</v>
      </c>
      <c r="D9" s="99" t="s">
        <v>450</v>
      </c>
      <c r="E9" s="6" t="s">
        <v>55</v>
      </c>
      <c r="G9" s="95"/>
    </row>
    <row r="10" spans="1:8" s="51" customFormat="1" x14ac:dyDescent="0.3">
      <c r="A10" s="51" t="s">
        <v>359</v>
      </c>
      <c r="B10" s="52" t="s">
        <v>310</v>
      </c>
      <c r="C10" s="51" t="s">
        <v>345</v>
      </c>
      <c r="D10" s="53" t="s">
        <v>311</v>
      </c>
      <c r="G10" s="54"/>
      <c r="H10" s="51" t="s">
        <v>346</v>
      </c>
    </row>
    <row r="11" spans="1:8" s="51" customFormat="1" x14ac:dyDescent="0.3">
      <c r="A11" s="51" t="s">
        <v>360</v>
      </c>
      <c r="B11" s="52" t="s">
        <v>310</v>
      </c>
      <c r="C11" s="51" t="s">
        <v>345</v>
      </c>
      <c r="D11" s="53" t="s">
        <v>313</v>
      </c>
      <c r="G11" s="54"/>
      <c r="H11" s="51" t="s">
        <v>347</v>
      </c>
    </row>
    <row r="12" spans="1:8" s="51" customFormat="1" x14ac:dyDescent="0.3">
      <c r="A12" s="51" t="s">
        <v>361</v>
      </c>
      <c r="B12" s="52" t="s">
        <v>67</v>
      </c>
      <c r="C12" s="51" t="s">
        <v>345</v>
      </c>
      <c r="D12" s="53" t="s">
        <v>315</v>
      </c>
      <c r="G12" s="54"/>
      <c r="H12" s="51" t="s">
        <v>348</v>
      </c>
    </row>
    <row r="13" spans="1:8" s="51" customFormat="1" x14ac:dyDescent="0.3">
      <c r="A13" s="51" t="s">
        <v>362</v>
      </c>
      <c r="B13" s="52" t="s">
        <v>138</v>
      </c>
      <c r="C13" s="51" t="s">
        <v>345</v>
      </c>
      <c r="D13" s="53" t="s">
        <v>318</v>
      </c>
      <c r="G13" s="54"/>
      <c r="H13" s="51" t="s">
        <v>349</v>
      </c>
    </row>
    <row r="14" spans="1:8" s="51" customFormat="1" x14ac:dyDescent="0.3">
      <c r="A14" s="51" t="s">
        <v>363</v>
      </c>
      <c r="B14" s="52" t="s">
        <v>300</v>
      </c>
      <c r="C14" s="51" t="s">
        <v>345</v>
      </c>
      <c r="D14" s="53" t="s">
        <v>455</v>
      </c>
      <c r="G14" s="54"/>
      <c r="H14" s="51" t="s">
        <v>350</v>
      </c>
    </row>
    <row r="15" spans="1:8" s="51" customFormat="1" x14ac:dyDescent="0.3">
      <c r="A15" s="51" t="s">
        <v>452</v>
      </c>
      <c r="B15" s="52" t="s">
        <v>300</v>
      </c>
      <c r="C15" s="51" t="s">
        <v>155</v>
      </c>
      <c r="D15" s="53" t="s">
        <v>321</v>
      </c>
      <c r="G15" s="54"/>
      <c r="H15" s="51" t="s">
        <v>352</v>
      </c>
    </row>
    <row r="16" spans="1:8" s="51" customFormat="1" ht="28.8" x14ac:dyDescent="0.3">
      <c r="A16" s="52" t="s">
        <v>364</v>
      </c>
      <c r="B16" s="52" t="s">
        <v>138</v>
      </c>
      <c r="C16" s="51" t="s">
        <v>155</v>
      </c>
      <c r="D16" s="55" t="s">
        <v>323</v>
      </c>
      <c r="G16" s="54"/>
      <c r="H16" s="51" t="s">
        <v>353</v>
      </c>
    </row>
    <row r="17" spans="1:8" s="56" customFormat="1" ht="28.8" x14ac:dyDescent="0.3">
      <c r="A17" s="56" t="s">
        <v>366</v>
      </c>
      <c r="B17" s="57" t="s">
        <v>138</v>
      </c>
      <c r="C17" s="51" t="s">
        <v>345</v>
      </c>
      <c r="D17" s="58" t="s">
        <v>367</v>
      </c>
      <c r="G17" s="59"/>
      <c r="H17" s="57" t="s">
        <v>453</v>
      </c>
    </row>
    <row r="18" spans="1:8" s="56" customFormat="1" ht="72" x14ac:dyDescent="0.3">
      <c r="A18" s="56" t="s">
        <v>354</v>
      </c>
      <c r="B18" s="57" t="s">
        <v>138</v>
      </c>
      <c r="C18" s="51" t="s">
        <v>155</v>
      </c>
      <c r="D18" s="58" t="s">
        <v>355</v>
      </c>
      <c r="G18" s="59"/>
      <c r="H18" s="57" t="s">
        <v>356</v>
      </c>
    </row>
    <row r="19" spans="1:8" s="56" customFormat="1" ht="28.8" x14ac:dyDescent="0.3">
      <c r="A19" s="56" t="s">
        <v>357</v>
      </c>
      <c r="B19" s="57" t="s">
        <v>138</v>
      </c>
      <c r="C19" s="51" t="s">
        <v>155</v>
      </c>
      <c r="D19" s="58" t="s">
        <v>358</v>
      </c>
      <c r="G19" s="59"/>
      <c r="H19" s="56" t="s">
        <v>365</v>
      </c>
    </row>
    <row r="20" spans="1:8" s="56" customFormat="1" ht="28.8" x14ac:dyDescent="0.3">
      <c r="A20" s="56" t="s">
        <v>368</v>
      </c>
      <c r="B20" s="57" t="s">
        <v>138</v>
      </c>
      <c r="C20" s="51" t="s">
        <v>155</v>
      </c>
      <c r="D20" s="58" t="s">
        <v>369</v>
      </c>
      <c r="G20" s="59"/>
      <c r="H20" s="56" t="s">
        <v>370</v>
      </c>
    </row>
    <row r="21" spans="1:8" s="56" customFormat="1" x14ac:dyDescent="0.3">
      <c r="A21" s="56" t="s">
        <v>371</v>
      </c>
      <c r="B21" s="57" t="s">
        <v>138</v>
      </c>
      <c r="C21" s="51" t="s">
        <v>155</v>
      </c>
      <c r="D21" s="58" t="s">
        <v>372</v>
      </c>
      <c r="G21" s="59"/>
      <c r="H21" s="56" t="s">
        <v>373</v>
      </c>
    </row>
    <row r="22" spans="1:8" s="60" customFormat="1" x14ac:dyDescent="0.3">
      <c r="A22" s="60" t="s">
        <v>148</v>
      </c>
      <c r="B22" s="60" t="s">
        <v>66</v>
      </c>
      <c r="C22" s="62" t="s">
        <v>155</v>
      </c>
      <c r="D22" s="61" t="s">
        <v>572</v>
      </c>
      <c r="F22" s="62"/>
      <c r="G22" s="62" t="s">
        <v>150</v>
      </c>
      <c r="H22" s="60" t="s">
        <v>141</v>
      </c>
    </row>
    <row r="23" spans="1:8" s="60" customFormat="1" x14ac:dyDescent="0.3">
      <c r="A23" s="60" t="s">
        <v>19</v>
      </c>
      <c r="B23" s="60" t="s">
        <v>20</v>
      </c>
      <c r="C23" s="62" t="s">
        <v>155</v>
      </c>
      <c r="D23" s="61" t="s">
        <v>147</v>
      </c>
      <c r="F23" s="98" t="s">
        <v>30</v>
      </c>
      <c r="G23" s="62">
        <v>1</v>
      </c>
      <c r="H23" s="60" t="s">
        <v>141</v>
      </c>
    </row>
    <row r="24" spans="1:8" s="60" customFormat="1" x14ac:dyDescent="0.3">
      <c r="C24" s="62"/>
      <c r="D24" s="61"/>
      <c r="F24" s="98"/>
      <c r="G24" s="62"/>
    </row>
    <row r="25" spans="1:8" s="60" customFormat="1" x14ac:dyDescent="0.3">
      <c r="C25" s="62"/>
      <c r="D25" s="61"/>
      <c r="F25" s="98"/>
      <c r="G25" s="62"/>
    </row>
    <row r="26" spans="1:8" x14ac:dyDescent="0.3">
      <c r="A26" s="6" t="s">
        <v>374</v>
      </c>
    </row>
    <row r="27" spans="1:8" s="63" customFormat="1" ht="28.8" x14ac:dyDescent="0.3">
      <c r="A27" s="63" t="s">
        <v>375</v>
      </c>
      <c r="B27" s="63" t="s">
        <v>138</v>
      </c>
      <c r="D27" s="64" t="s">
        <v>376</v>
      </c>
      <c r="H27" s="63" t="s">
        <v>377</v>
      </c>
    </row>
  </sheetData>
  <hyperlinks>
    <hyperlink ref="A1" location="Index!A1" display="Index" xr:uid="{00000000-0004-0000-1000-000000000000}"/>
    <hyperlink ref="F6" location="Date!A1" display="Date" xr:uid="{00000000-0004-0000-1000-000001000000}"/>
    <hyperlink ref="F7" location="Material!A1" display="Material" xr:uid="{00000000-0004-0000-1000-000002000000}"/>
    <hyperlink ref="F8" location="Stock_Take_Indicators!A1" display="Stock_Take_Indictors" xr:uid="{00000000-0004-0000-1000-000003000000}"/>
    <hyperlink ref="F23" location="'Process Metadata'!A25" display="Import_Batch_Process_Task" xr:uid="{00000000-0004-0000-1000-000004000000}"/>
  </hyperlinks>
  <pageMargins left="0.7" right="0.7" top="0.75" bottom="0.75" header="0.3" footer="0.3"/>
  <pageSetup paperSize="9" orientation="portrait" horizontalDpi="4294967293" verticalDpi="4294967293"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B9BB69-AC62-4533-A3AE-44231871AEDC}">
  <sheetPr>
    <tabColor rgb="FF92D050"/>
  </sheetPr>
  <dimension ref="A1:I25"/>
  <sheetViews>
    <sheetView workbookViewId="0">
      <selection activeCell="D23" sqref="D23"/>
    </sheetView>
  </sheetViews>
  <sheetFormatPr defaultColWidth="21.5546875" defaultRowHeight="14.4" x14ac:dyDescent="0.3"/>
  <cols>
    <col min="1" max="1" width="36.33203125" style="178" customWidth="1"/>
    <col min="2" max="2" width="14.5546875" style="178" customWidth="1"/>
    <col min="3" max="3" width="9.33203125" style="178" customWidth="1"/>
    <col min="4" max="4" width="49.109375" style="178" customWidth="1"/>
    <col min="5" max="5" width="8" style="178" customWidth="1"/>
    <col min="6" max="6" width="24.44140625" style="178" bestFit="1" customWidth="1"/>
    <col min="7" max="7" width="10" style="178" bestFit="1" customWidth="1"/>
    <col min="8" max="8" width="70.5546875" style="178" customWidth="1"/>
    <col min="9" max="16384" width="21.5546875" style="178"/>
  </cols>
  <sheetData>
    <row r="1" spans="1:9" x14ac:dyDescent="0.3">
      <c r="A1" s="98" t="s">
        <v>5</v>
      </c>
    </row>
    <row r="2" spans="1:9" x14ac:dyDescent="0.3">
      <c r="A2" s="95" t="s">
        <v>127</v>
      </c>
      <c r="B2" s="95" t="s">
        <v>814</v>
      </c>
    </row>
    <row r="3" spans="1:9" x14ac:dyDescent="0.3">
      <c r="A3" s="95" t="s">
        <v>45</v>
      </c>
      <c r="B3" s="178" t="s">
        <v>915</v>
      </c>
    </row>
    <row r="4" spans="1:9" x14ac:dyDescent="0.3">
      <c r="D4" s="179"/>
    </row>
    <row r="5" spans="1:9" ht="28.8" x14ac:dyDescent="0.3">
      <c r="A5" s="25" t="s">
        <v>15</v>
      </c>
      <c r="B5" s="25" t="s">
        <v>16</v>
      </c>
      <c r="C5" s="25" t="s">
        <v>151</v>
      </c>
      <c r="D5" s="25" t="s">
        <v>7</v>
      </c>
      <c r="E5" s="25" t="s">
        <v>47</v>
      </c>
      <c r="F5" s="25" t="s">
        <v>48</v>
      </c>
      <c r="G5" s="25" t="s">
        <v>17</v>
      </c>
      <c r="H5" s="25" t="s">
        <v>52</v>
      </c>
    </row>
    <row r="6" spans="1:9" s="197" customFormat="1" x14ac:dyDescent="0.3">
      <c r="A6" s="206" t="s">
        <v>919</v>
      </c>
      <c r="B6" s="206" t="s">
        <v>20</v>
      </c>
      <c r="C6" s="206" t="s">
        <v>155</v>
      </c>
      <c r="D6" s="206" t="s">
        <v>868</v>
      </c>
      <c r="E6" s="207" t="s">
        <v>55</v>
      </c>
      <c r="F6" s="206"/>
      <c r="G6" s="206">
        <v>112</v>
      </c>
      <c r="H6" s="206" t="s">
        <v>917</v>
      </c>
    </row>
    <row r="7" spans="1:9" x14ac:dyDescent="0.3">
      <c r="A7" s="153" t="s">
        <v>889</v>
      </c>
      <c r="B7" s="153" t="s">
        <v>20</v>
      </c>
      <c r="C7" s="95" t="s">
        <v>155</v>
      </c>
      <c r="D7" s="153" t="s">
        <v>864</v>
      </c>
      <c r="E7" s="162" t="s">
        <v>98</v>
      </c>
      <c r="F7" s="98" t="s">
        <v>806</v>
      </c>
      <c r="G7" s="153">
        <v>1</v>
      </c>
    </row>
    <row r="8" spans="1:9" x14ac:dyDescent="0.3">
      <c r="A8" s="153" t="s">
        <v>896</v>
      </c>
      <c r="B8" s="153" t="s">
        <v>20</v>
      </c>
      <c r="C8" s="95" t="s">
        <v>155</v>
      </c>
      <c r="D8" s="153" t="s">
        <v>865</v>
      </c>
      <c r="E8" s="162" t="s">
        <v>98</v>
      </c>
      <c r="F8" s="98" t="s">
        <v>43</v>
      </c>
      <c r="G8" s="153">
        <v>20200124</v>
      </c>
    </row>
    <row r="9" spans="1:9" s="95" customFormat="1" x14ac:dyDescent="0.3">
      <c r="A9" s="153" t="s">
        <v>823</v>
      </c>
      <c r="B9" s="153" t="s">
        <v>20</v>
      </c>
      <c r="C9" s="95" t="s">
        <v>155</v>
      </c>
      <c r="D9" s="153" t="s">
        <v>866</v>
      </c>
      <c r="E9" s="162" t="s">
        <v>98</v>
      </c>
      <c r="F9" s="180" t="s">
        <v>809</v>
      </c>
      <c r="G9" s="153">
        <v>88</v>
      </c>
    </row>
    <row r="10" spans="1:9" s="54" customFormat="1" x14ac:dyDescent="0.3">
      <c r="A10" s="153" t="s">
        <v>854</v>
      </c>
      <c r="B10" s="153" t="s">
        <v>772</v>
      </c>
      <c r="C10" s="95" t="s">
        <v>345</v>
      </c>
      <c r="D10" s="153" t="s">
        <v>867</v>
      </c>
      <c r="G10" s="153">
        <v>23</v>
      </c>
    </row>
    <row r="11" spans="1:9" s="54" customFormat="1" x14ac:dyDescent="0.3">
      <c r="A11" s="62" t="s">
        <v>148</v>
      </c>
      <c r="B11" s="62" t="s">
        <v>66</v>
      </c>
      <c r="C11" s="181" t="s">
        <v>155</v>
      </c>
      <c r="D11" s="156" t="s">
        <v>572</v>
      </c>
      <c r="E11" s="62"/>
      <c r="F11" s="62"/>
      <c r="G11" s="62"/>
      <c r="H11" s="62" t="s">
        <v>141</v>
      </c>
      <c r="I11" s="62"/>
    </row>
    <row r="12" spans="1:9" s="54" customFormat="1" x14ac:dyDescent="0.3">
      <c r="A12" s="62" t="s">
        <v>19</v>
      </c>
      <c r="B12" s="62" t="s">
        <v>20</v>
      </c>
      <c r="C12" s="181" t="s">
        <v>155</v>
      </c>
      <c r="D12" s="156" t="s">
        <v>147</v>
      </c>
      <c r="E12" s="62"/>
      <c r="F12" s="98" t="s">
        <v>30</v>
      </c>
      <c r="G12" s="62">
        <v>1</v>
      </c>
      <c r="H12" s="62" t="s">
        <v>141</v>
      </c>
      <c r="I12" s="62"/>
    </row>
    <row r="13" spans="1:9" s="54" customFormat="1" x14ac:dyDescent="0.3">
      <c r="A13" s="62"/>
      <c r="B13" s="62"/>
      <c r="C13" s="62"/>
      <c r="D13" s="156"/>
      <c r="E13" s="62"/>
      <c r="F13" s="98"/>
      <c r="G13" s="62"/>
      <c r="H13" s="62"/>
      <c r="I13" s="62"/>
    </row>
    <row r="14" spans="1:9" s="54" customFormat="1" x14ac:dyDescent="0.3">
      <c r="A14" s="62"/>
      <c r="B14" s="62"/>
      <c r="C14" s="62"/>
      <c r="D14" s="156"/>
      <c r="E14" s="62"/>
      <c r="F14" s="98"/>
      <c r="G14" s="62"/>
      <c r="H14" s="62"/>
      <c r="I14" s="62"/>
    </row>
    <row r="15" spans="1:9" s="59" customFormat="1" x14ac:dyDescent="0.3">
      <c r="A15" s="95" t="s">
        <v>374</v>
      </c>
      <c r="B15" s="178"/>
      <c r="C15" s="178"/>
      <c r="D15" s="178"/>
      <c r="E15" s="178"/>
      <c r="F15" s="178"/>
      <c r="G15" s="178"/>
      <c r="H15" s="178"/>
      <c r="I15" s="178"/>
    </row>
    <row r="16" spans="1:9" s="59" customFormat="1" x14ac:dyDescent="0.3">
      <c r="A16" s="157"/>
      <c r="B16" s="157"/>
      <c r="C16" s="157"/>
      <c r="D16" s="158"/>
      <c r="E16" s="157"/>
      <c r="F16" s="157"/>
      <c r="G16" s="157"/>
      <c r="H16" s="157"/>
      <c r="I16" s="157"/>
    </row>
    <row r="17" spans="1:6" s="59" customFormat="1" x14ac:dyDescent="0.3">
      <c r="B17" s="182"/>
      <c r="C17" s="54"/>
      <c r="D17" s="183"/>
    </row>
    <row r="18" spans="1:6" s="59" customFormat="1" x14ac:dyDescent="0.3">
      <c r="B18" s="182"/>
      <c r="C18" s="54"/>
      <c r="D18" s="183"/>
    </row>
    <row r="19" spans="1:6" s="59" customFormat="1" x14ac:dyDescent="0.3">
      <c r="B19" s="182"/>
      <c r="C19" s="54"/>
      <c r="D19" s="183"/>
    </row>
    <row r="20" spans="1:6" s="62" customFormat="1" x14ac:dyDescent="0.3">
      <c r="D20" s="156"/>
    </row>
    <row r="21" spans="1:6" s="62" customFormat="1" x14ac:dyDescent="0.3">
      <c r="D21" s="156"/>
      <c r="F21" s="98"/>
    </row>
    <row r="22" spans="1:6" s="62" customFormat="1" x14ac:dyDescent="0.3">
      <c r="D22" s="156"/>
      <c r="F22" s="98"/>
    </row>
    <row r="23" spans="1:6" s="62" customFormat="1" x14ac:dyDescent="0.3">
      <c r="D23" s="156"/>
      <c r="F23" s="98"/>
    </row>
    <row r="24" spans="1:6" x14ac:dyDescent="0.3">
      <c r="A24" s="95"/>
    </row>
    <row r="25" spans="1:6" s="157" customFormat="1" x14ac:dyDescent="0.3">
      <c r="D25" s="158"/>
    </row>
  </sheetData>
  <hyperlinks>
    <hyperlink ref="A1" location="Index!A1" display="Index" xr:uid="{8402A49E-D3E0-4037-920F-B02CE895AE24}"/>
    <hyperlink ref="F12" location="'Process Metadata'!A25" display="Import_Batch_Process_Task" xr:uid="{711F08C5-5B7C-4423-B885-52AEFB576C7B}"/>
    <hyperlink ref="F7" location="Employee_Dimension!A1" display="Employee" xr:uid="{6286886C-F575-44C3-BBC7-C293215BC447}"/>
    <hyperlink ref="F9" location="Project!A1" display="Project" xr:uid="{62B6770D-6301-4F22-9A86-2C8046C4CD99}"/>
    <hyperlink ref="F8" location="Date!A1" display="Date" xr:uid="{2499E08C-7C05-4603-A891-7093F76F9D53}"/>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E0790-B7A8-463A-B4B7-24495150D3B8}">
  <sheetPr>
    <tabColor rgb="FF92D050"/>
  </sheetPr>
  <dimension ref="A1:H22"/>
  <sheetViews>
    <sheetView zoomScaleNormal="100" workbookViewId="0">
      <selection activeCell="G12" sqref="G12"/>
    </sheetView>
  </sheetViews>
  <sheetFormatPr defaultColWidth="21.5546875" defaultRowHeight="14.4" x14ac:dyDescent="0.3"/>
  <cols>
    <col min="1" max="1" width="50.109375" style="145" customWidth="1"/>
    <col min="2" max="2" width="27.6640625" style="145" bestFit="1" customWidth="1"/>
    <col min="3" max="3" width="9.33203125" style="145" customWidth="1"/>
    <col min="4" max="4" width="52.5546875" style="145" bestFit="1" customWidth="1"/>
    <col min="5" max="5" width="8" style="145" customWidth="1"/>
    <col min="6" max="6" width="26" style="145" bestFit="1" customWidth="1"/>
    <col min="7" max="7" width="11.5546875" style="145" bestFit="1" customWidth="1"/>
    <col min="8" max="8" width="70.5546875" style="145" customWidth="1"/>
    <col min="9" max="16384" width="21.5546875" style="145"/>
  </cols>
  <sheetData>
    <row r="1" spans="1:8" x14ac:dyDescent="0.3">
      <c r="A1" s="98" t="s">
        <v>5</v>
      </c>
    </row>
    <row r="2" spans="1:8" x14ac:dyDescent="0.3">
      <c r="A2" s="95" t="s">
        <v>127</v>
      </c>
      <c r="B2" s="95" t="s">
        <v>894</v>
      </c>
    </row>
    <row r="3" spans="1:8" x14ac:dyDescent="0.3">
      <c r="A3" s="95" t="s">
        <v>45</v>
      </c>
      <c r="B3" s="145" t="s">
        <v>824</v>
      </c>
    </row>
    <row r="4" spans="1:8" x14ac:dyDescent="0.3">
      <c r="D4" s="146"/>
    </row>
    <row r="5" spans="1:8" ht="28.8" x14ac:dyDescent="0.3">
      <c r="A5" s="25" t="s">
        <v>15</v>
      </c>
      <c r="B5" s="25" t="s">
        <v>16</v>
      </c>
      <c r="C5" s="25" t="s">
        <v>151</v>
      </c>
      <c r="D5" s="25" t="s">
        <v>7</v>
      </c>
      <c r="E5" s="25" t="s">
        <v>47</v>
      </c>
      <c r="F5" s="25" t="s">
        <v>48</v>
      </c>
      <c r="G5" s="25" t="s">
        <v>17</v>
      </c>
      <c r="H5" s="25" t="s">
        <v>52</v>
      </c>
    </row>
    <row r="6" spans="1:8" s="197" customFormat="1" x14ac:dyDescent="0.3">
      <c r="A6" s="206" t="s">
        <v>918</v>
      </c>
      <c r="B6" s="206" t="s">
        <v>20</v>
      </c>
      <c r="C6" s="206" t="s">
        <v>155</v>
      </c>
      <c r="D6" s="206" t="s">
        <v>868</v>
      </c>
      <c r="E6" s="207" t="s">
        <v>55</v>
      </c>
      <c r="F6" s="206"/>
      <c r="G6" s="206">
        <v>341</v>
      </c>
      <c r="H6" s="206" t="s">
        <v>920</v>
      </c>
    </row>
    <row r="7" spans="1:8" x14ac:dyDescent="0.3">
      <c r="A7" s="145" t="s">
        <v>913</v>
      </c>
      <c r="B7" s="146" t="s">
        <v>20</v>
      </c>
      <c r="C7" s="145" t="s">
        <v>155</v>
      </c>
      <c r="D7" s="149" t="s">
        <v>821</v>
      </c>
      <c r="E7" s="95" t="s">
        <v>98</v>
      </c>
      <c r="F7" s="98" t="s">
        <v>43</v>
      </c>
      <c r="G7" s="145">
        <v>20190125</v>
      </c>
      <c r="H7" s="145" t="s">
        <v>344</v>
      </c>
    </row>
    <row r="8" spans="1:8" x14ac:dyDescent="0.3">
      <c r="A8" s="145" t="s">
        <v>914</v>
      </c>
      <c r="B8" s="146" t="s">
        <v>20</v>
      </c>
      <c r="C8" s="145" t="s">
        <v>155</v>
      </c>
      <c r="D8" s="150" t="s">
        <v>822</v>
      </c>
      <c r="E8" s="95" t="s">
        <v>98</v>
      </c>
      <c r="F8" s="98" t="s">
        <v>43</v>
      </c>
      <c r="G8" s="145">
        <v>20190125</v>
      </c>
    </row>
    <row r="9" spans="1:8" x14ac:dyDescent="0.3">
      <c r="A9" s="145" t="s">
        <v>823</v>
      </c>
      <c r="B9" s="146" t="s">
        <v>20</v>
      </c>
      <c r="C9" s="145" t="s">
        <v>155</v>
      </c>
      <c r="D9" s="150" t="s">
        <v>875</v>
      </c>
      <c r="E9" s="95" t="s">
        <v>98</v>
      </c>
      <c r="F9" s="151" t="s">
        <v>874</v>
      </c>
      <c r="G9" s="145" t="s">
        <v>742</v>
      </c>
    </row>
    <row r="10" spans="1:8" s="95" customFormat="1" x14ac:dyDescent="0.3">
      <c r="A10" s="152" t="s">
        <v>895</v>
      </c>
      <c r="B10" s="146" t="s">
        <v>20</v>
      </c>
      <c r="C10" s="145" t="s">
        <v>155</v>
      </c>
      <c r="D10" s="152" t="s">
        <v>838</v>
      </c>
      <c r="E10" s="95" t="s">
        <v>98</v>
      </c>
      <c r="F10" s="98" t="s">
        <v>873</v>
      </c>
      <c r="G10" s="152" t="s">
        <v>634</v>
      </c>
    </row>
    <row r="11" spans="1:8" s="54" customFormat="1" x14ac:dyDescent="0.3">
      <c r="A11" s="152" t="s">
        <v>837</v>
      </c>
      <c r="B11" s="146" t="s">
        <v>20</v>
      </c>
      <c r="C11" s="145" t="s">
        <v>155</v>
      </c>
      <c r="D11" s="152" t="s">
        <v>839</v>
      </c>
      <c r="E11" s="95" t="s">
        <v>98</v>
      </c>
      <c r="F11" s="98" t="s">
        <v>820</v>
      </c>
      <c r="G11" s="75" t="s">
        <v>840</v>
      </c>
      <c r="H11" s="152"/>
    </row>
    <row r="12" spans="1:8" s="54" customFormat="1" x14ac:dyDescent="0.3">
      <c r="A12" s="152" t="s">
        <v>755</v>
      </c>
      <c r="B12" s="198" t="s">
        <v>36</v>
      </c>
      <c r="C12" s="197" t="s">
        <v>155</v>
      </c>
      <c r="D12" s="152" t="s">
        <v>916</v>
      </c>
      <c r="E12" s="95"/>
      <c r="F12" s="98"/>
      <c r="G12" s="75">
        <v>5127095</v>
      </c>
      <c r="H12" s="152"/>
    </row>
    <row r="13" spans="1:8" s="54" customFormat="1" x14ac:dyDescent="0.3">
      <c r="A13" s="54" t="s">
        <v>825</v>
      </c>
      <c r="B13" s="153" t="s">
        <v>772</v>
      </c>
      <c r="C13" s="54" t="s">
        <v>345</v>
      </c>
      <c r="D13" s="154" t="s">
        <v>826</v>
      </c>
      <c r="G13" s="155">
        <v>12530</v>
      </c>
      <c r="H13" s="54" t="s">
        <v>830</v>
      </c>
    </row>
    <row r="14" spans="1:8" s="54" customFormat="1" x14ac:dyDescent="0.3">
      <c r="A14" s="54" t="s">
        <v>827</v>
      </c>
      <c r="B14" s="153" t="s">
        <v>772</v>
      </c>
      <c r="C14" s="54" t="s">
        <v>345</v>
      </c>
      <c r="D14" s="154" t="s">
        <v>828</v>
      </c>
      <c r="G14" s="155">
        <v>5360</v>
      </c>
      <c r="H14" s="54" t="s">
        <v>829</v>
      </c>
    </row>
    <row r="15" spans="1:8" s="54" customFormat="1" x14ac:dyDescent="0.3">
      <c r="A15" s="54" t="s">
        <v>831</v>
      </c>
      <c r="B15" s="153" t="s">
        <v>772</v>
      </c>
      <c r="C15" s="54" t="s">
        <v>345</v>
      </c>
      <c r="D15" s="154" t="s">
        <v>832</v>
      </c>
      <c r="G15" s="155">
        <v>1340</v>
      </c>
      <c r="H15" s="54" t="s">
        <v>833</v>
      </c>
    </row>
    <row r="16" spans="1:8" s="54" customFormat="1" x14ac:dyDescent="0.3">
      <c r="A16" s="54" t="s">
        <v>834</v>
      </c>
      <c r="B16" s="153" t="s">
        <v>772</v>
      </c>
      <c r="C16" s="54" t="s">
        <v>345</v>
      </c>
      <c r="D16" s="154" t="s">
        <v>835</v>
      </c>
      <c r="G16" s="54">
        <f>SUM(G13:G15)</f>
        <v>19230</v>
      </c>
      <c r="H16" s="54" t="s">
        <v>836</v>
      </c>
    </row>
    <row r="17" spans="1:8" s="62" customFormat="1" x14ac:dyDescent="0.3">
      <c r="A17" s="62" t="s">
        <v>148</v>
      </c>
      <c r="B17" s="62" t="s">
        <v>66</v>
      </c>
      <c r="C17" s="62" t="s">
        <v>155</v>
      </c>
      <c r="D17" s="156" t="s">
        <v>572</v>
      </c>
      <c r="G17" s="62" t="s">
        <v>150</v>
      </c>
      <c r="H17" s="62" t="s">
        <v>141</v>
      </c>
    </row>
    <row r="18" spans="1:8" s="62" customFormat="1" x14ac:dyDescent="0.3">
      <c r="A18" s="62" t="s">
        <v>19</v>
      </c>
      <c r="B18" s="62" t="s">
        <v>20</v>
      </c>
      <c r="C18" s="62" t="s">
        <v>155</v>
      </c>
      <c r="D18" s="156" t="s">
        <v>147</v>
      </c>
      <c r="F18" s="98" t="s">
        <v>30</v>
      </c>
      <c r="G18" s="62">
        <v>1</v>
      </c>
      <c r="H18" s="62" t="s">
        <v>141</v>
      </c>
    </row>
    <row r="19" spans="1:8" s="62" customFormat="1" x14ac:dyDescent="0.3">
      <c r="D19" s="156"/>
      <c r="F19" s="98"/>
    </row>
    <row r="20" spans="1:8" s="62" customFormat="1" x14ac:dyDescent="0.3">
      <c r="D20" s="156"/>
      <c r="F20" s="98"/>
    </row>
    <row r="21" spans="1:8" x14ac:dyDescent="0.3">
      <c r="A21" s="95" t="s">
        <v>374</v>
      </c>
    </row>
    <row r="22" spans="1:8" s="157" customFormat="1" x14ac:dyDescent="0.3">
      <c r="D22" s="158"/>
    </row>
  </sheetData>
  <hyperlinks>
    <hyperlink ref="A1" location="Index!A1" display="Index" xr:uid="{FA15B678-0793-4DFD-9F5C-81B4068420A4}"/>
    <hyperlink ref="F7" location="Date!A1" display="Date" xr:uid="{E762CFFA-CCDD-49D8-A7EA-6CD06C0933E8}"/>
    <hyperlink ref="F18" location="'Process Metadata'!A25" display="Import_Batch_Process_Task" xr:uid="{B5D440B5-0249-4B6C-84A6-F36698C87CFD}"/>
    <hyperlink ref="F8" location="Date!A1" display="Date" xr:uid="{71F31C74-0A03-4B30-9D99-0E3629062544}"/>
    <hyperlink ref="F9" location="Project!A1" display="Projects" xr:uid="{E1BB4138-E373-478E-A2A8-1CD348A831E4}"/>
    <hyperlink ref="F10" location="Customer!A1" display="Customers" xr:uid="{56D25DE4-CC5C-4C9F-98B0-894AF3FCC88D}"/>
    <hyperlink ref="F11" location="Project_Status!A1" display="Project_Status" xr:uid="{A55BCE96-86F0-434F-A6FF-8004377BA56E}"/>
  </hyperlinks>
  <pageMargins left="0.7" right="0.7" top="0.75" bottom="0.75" header="0.3" footer="0.3"/>
  <pageSetup paperSize="9" orientation="portrait" horizontalDpi="4294967293" verticalDpi="4294967293"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92D050"/>
  </sheetPr>
  <dimension ref="A1:K13"/>
  <sheetViews>
    <sheetView workbookViewId="0"/>
  </sheetViews>
  <sheetFormatPr defaultColWidth="44.109375" defaultRowHeight="14.4" x14ac:dyDescent="0.3"/>
  <cols>
    <col min="1" max="1" width="16.44140625" style="75" bestFit="1" customWidth="1"/>
    <col min="2" max="2" width="12" style="75" bestFit="1" customWidth="1"/>
    <col min="3" max="3" width="9.88671875" style="75" customWidth="1"/>
    <col min="4" max="4" width="43.6640625" style="75" bestFit="1" customWidth="1"/>
    <col min="5" max="5" width="5.33203125" style="75" bestFit="1" customWidth="1"/>
    <col min="6" max="6" width="5.44140625" style="75" bestFit="1" customWidth="1"/>
    <col min="7" max="7" width="9.109375" style="75" bestFit="1" customWidth="1"/>
    <col min="8" max="10" width="20.33203125" style="75" bestFit="1" customWidth="1"/>
    <col min="11" max="11" width="12.33203125" style="75" bestFit="1" customWidth="1"/>
    <col min="12" max="16384" width="44.109375" style="75"/>
  </cols>
  <sheetData>
    <row r="1" spans="1:11" x14ac:dyDescent="0.3">
      <c r="A1" s="98" t="s">
        <v>5</v>
      </c>
    </row>
    <row r="2" spans="1:11" x14ac:dyDescent="0.3">
      <c r="A2" s="77" t="s">
        <v>45</v>
      </c>
      <c r="B2" s="75" t="s">
        <v>46</v>
      </c>
    </row>
    <row r="4" spans="1:11" ht="28.8" x14ac:dyDescent="0.3">
      <c r="A4" s="10" t="s">
        <v>15</v>
      </c>
      <c r="B4" s="10" t="s">
        <v>16</v>
      </c>
      <c r="C4" s="10" t="s">
        <v>464</v>
      </c>
      <c r="D4" s="10" t="s">
        <v>7</v>
      </c>
      <c r="E4" s="10" t="s">
        <v>47</v>
      </c>
      <c r="F4" s="10" t="s">
        <v>48</v>
      </c>
      <c r="G4" s="10" t="s">
        <v>49</v>
      </c>
      <c r="H4" s="10" t="s">
        <v>50</v>
      </c>
      <c r="I4" s="10" t="s">
        <v>51</v>
      </c>
      <c r="J4" s="10" t="s">
        <v>17</v>
      </c>
      <c r="K4" s="10" t="s">
        <v>52</v>
      </c>
    </row>
    <row r="5" spans="1:11" x14ac:dyDescent="0.3">
      <c r="A5" s="77" t="s">
        <v>53</v>
      </c>
      <c r="B5" s="159" t="s">
        <v>20</v>
      </c>
      <c r="C5" s="77"/>
      <c r="D5" s="77" t="s">
        <v>54</v>
      </c>
      <c r="E5" s="77" t="s">
        <v>55</v>
      </c>
      <c r="F5" s="77"/>
      <c r="G5" s="77" t="s">
        <v>56</v>
      </c>
      <c r="H5" s="90">
        <v>99990101</v>
      </c>
      <c r="I5" s="90">
        <v>19000101</v>
      </c>
      <c r="J5" s="90">
        <v>20180318</v>
      </c>
      <c r="K5" s="77"/>
    </row>
    <row r="6" spans="1:11" s="161" customFormat="1" x14ac:dyDescent="0.3">
      <c r="A6" s="79" t="s">
        <v>43</v>
      </c>
      <c r="B6" s="160" t="s">
        <v>57</v>
      </c>
      <c r="C6" s="79"/>
      <c r="D6" s="160" t="s">
        <v>58</v>
      </c>
      <c r="E6" s="79" t="s">
        <v>131</v>
      </c>
      <c r="F6" s="79"/>
      <c r="G6" s="79" t="s">
        <v>56</v>
      </c>
      <c r="H6" s="91">
        <v>2958101</v>
      </c>
      <c r="I6" s="91">
        <v>1</v>
      </c>
      <c r="J6" s="91">
        <v>43177</v>
      </c>
      <c r="K6" s="79" t="s">
        <v>59</v>
      </c>
    </row>
    <row r="7" spans="1:11" x14ac:dyDescent="0.3">
      <c r="A7" s="75" t="s">
        <v>60</v>
      </c>
      <c r="B7" s="47" t="s">
        <v>61</v>
      </c>
      <c r="D7" s="47" t="s">
        <v>62</v>
      </c>
      <c r="G7" s="75" t="s">
        <v>56</v>
      </c>
      <c r="H7" s="12" t="s">
        <v>63</v>
      </c>
      <c r="I7" s="12" t="s">
        <v>64</v>
      </c>
      <c r="J7" s="13" t="s">
        <v>65</v>
      </c>
    </row>
    <row r="8" spans="1:11" ht="28.8" x14ac:dyDescent="0.3">
      <c r="A8" s="75" t="s">
        <v>68</v>
      </c>
      <c r="B8" s="47" t="s">
        <v>37</v>
      </c>
      <c r="D8" s="47" t="s">
        <v>69</v>
      </c>
      <c r="G8" s="75" t="s">
        <v>56</v>
      </c>
      <c r="H8" s="15">
        <v>1</v>
      </c>
      <c r="I8" s="15">
        <v>1</v>
      </c>
      <c r="J8" s="15">
        <v>3</v>
      </c>
    </row>
    <row r="9" spans="1:11" s="145" customFormat="1" ht="28.8" x14ac:dyDescent="0.3">
      <c r="A9" s="153" t="s">
        <v>871</v>
      </c>
      <c r="B9" s="153" t="s">
        <v>20</v>
      </c>
      <c r="C9" s="95" t="s">
        <v>345</v>
      </c>
      <c r="D9" s="153" t="s">
        <v>872</v>
      </c>
      <c r="E9" s="162"/>
      <c r="F9" s="98"/>
      <c r="G9" s="153" t="s">
        <v>56</v>
      </c>
      <c r="H9" s="145" t="s">
        <v>325</v>
      </c>
      <c r="I9" s="145" t="s">
        <v>325</v>
      </c>
      <c r="J9" s="145">
        <v>36</v>
      </c>
    </row>
    <row r="10" spans="1:11" x14ac:dyDescent="0.3">
      <c r="A10" s="75" t="s">
        <v>70</v>
      </c>
      <c r="B10" s="47" t="s">
        <v>66</v>
      </c>
      <c r="D10" s="47" t="s">
        <v>71</v>
      </c>
      <c r="G10" s="75" t="s">
        <v>56</v>
      </c>
      <c r="H10" s="15" t="s">
        <v>72</v>
      </c>
      <c r="I10" s="15" t="s">
        <v>72</v>
      </c>
      <c r="J10" s="15" t="s">
        <v>73</v>
      </c>
    </row>
    <row r="11" spans="1:11" x14ac:dyDescent="0.3">
      <c r="A11" s="75" t="s">
        <v>74</v>
      </c>
      <c r="B11" s="47" t="s">
        <v>20</v>
      </c>
      <c r="D11" s="47" t="s">
        <v>75</v>
      </c>
      <c r="G11" s="75" t="s">
        <v>56</v>
      </c>
      <c r="H11" s="12">
        <v>9999</v>
      </c>
      <c r="I11" s="12">
        <v>1900</v>
      </c>
      <c r="J11" s="12">
        <v>2018</v>
      </c>
    </row>
    <row r="12" spans="1:11" ht="43.2" x14ac:dyDescent="0.3">
      <c r="A12" s="75" t="s">
        <v>76</v>
      </c>
      <c r="B12" s="47" t="s">
        <v>77</v>
      </c>
      <c r="D12" s="47" t="s">
        <v>78</v>
      </c>
      <c r="G12" s="75" t="s">
        <v>56</v>
      </c>
      <c r="H12" s="14" t="s">
        <v>79</v>
      </c>
      <c r="I12" s="14" t="s">
        <v>80</v>
      </c>
      <c r="J12" s="14" t="s">
        <v>81</v>
      </c>
    </row>
    <row r="13" spans="1:11" x14ac:dyDescent="0.3">
      <c r="A13" s="75" t="s">
        <v>855</v>
      </c>
      <c r="B13" s="47" t="s">
        <v>57</v>
      </c>
      <c r="D13" s="47" t="s">
        <v>892</v>
      </c>
      <c r="G13" s="75" t="s">
        <v>56</v>
      </c>
      <c r="H13" s="143">
        <v>2958101</v>
      </c>
      <c r="I13" s="143">
        <v>1</v>
      </c>
      <c r="J13" s="143">
        <v>43848</v>
      </c>
    </row>
  </sheetData>
  <hyperlinks>
    <hyperlink ref="A1" location="Index!A1" display="Index" xr:uid="{00000000-0004-0000-0C00-000000000000}"/>
  </hyperlinks>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0FA924-BFFB-4266-8FCC-088D971A7225}">
  <sheetPr>
    <tabColor rgb="FF92D050"/>
  </sheetPr>
  <dimension ref="A1:I1100"/>
  <sheetViews>
    <sheetView workbookViewId="0">
      <pane ySplit="2" topLeftCell="A3" activePane="bottomLeft" state="frozen"/>
      <selection pane="bottomLeft"/>
    </sheetView>
  </sheetViews>
  <sheetFormatPr defaultColWidth="9.109375" defaultRowHeight="14.4" x14ac:dyDescent="0.3"/>
  <cols>
    <col min="1" max="1" width="13" bestFit="1" customWidth="1"/>
    <col min="2" max="2" width="11.33203125" bestFit="1" customWidth="1"/>
    <col min="3" max="3" width="21.33203125" bestFit="1" customWidth="1"/>
    <col min="4" max="4" width="19.109375" bestFit="1" customWidth="1"/>
    <col min="5" max="5" width="11.6640625" bestFit="1" customWidth="1"/>
    <col min="6" max="6" width="8.44140625" bestFit="1" customWidth="1"/>
    <col min="7" max="8" width="15.6640625" bestFit="1" customWidth="1"/>
    <col min="9" max="9" width="14.33203125" bestFit="1" customWidth="1"/>
  </cols>
  <sheetData>
    <row r="1" spans="1:9" x14ac:dyDescent="0.3">
      <c r="A1" s="5" t="s">
        <v>5</v>
      </c>
    </row>
    <row r="2" spans="1:9" x14ac:dyDescent="0.3">
      <c r="A2" t="s">
        <v>53</v>
      </c>
      <c r="B2" s="193" t="s">
        <v>43</v>
      </c>
      <c r="C2" t="s">
        <v>60</v>
      </c>
      <c r="D2" s="128" t="s">
        <v>68</v>
      </c>
      <c r="E2" t="s">
        <v>70</v>
      </c>
      <c r="F2" t="s">
        <v>74</v>
      </c>
      <c r="G2" t="s">
        <v>76</v>
      </c>
      <c r="H2" t="s">
        <v>855</v>
      </c>
      <c r="I2" t="s">
        <v>871</v>
      </c>
    </row>
    <row r="3" spans="1:9" x14ac:dyDescent="0.3">
      <c r="A3">
        <f t="shared" ref="A3:A66" si="0">YEAR(B3)*10000+MONTH(B3)*100+DAY(B3)</f>
        <v>19000101</v>
      </c>
      <c r="B3" s="193">
        <v>1</v>
      </c>
      <c r="C3" s="128" t="s">
        <v>64</v>
      </c>
      <c r="D3">
        <f t="shared" ref="D3:D66" si="1">MONTH(B3)</f>
        <v>1</v>
      </c>
      <c r="E3" t="str">
        <f t="shared" ref="E3:E66" si="2">TEXT(B3,"MMMM")</f>
        <v>January</v>
      </c>
      <c r="F3" s="128">
        <f t="shared" ref="F3:F66" si="3">YEAR(B3)</f>
        <v>1900</v>
      </c>
      <c r="G3" s="194" t="str">
        <f t="shared" ref="G3:G66" si="4">TEXT(B3,"YYYY-MM")</f>
        <v>1900-01</v>
      </c>
      <c r="H3" s="193">
        <f t="shared" ref="H3:H66" si="5">B3-WEEKDAY(B3)+7</f>
        <v>7</v>
      </c>
      <c r="I3">
        <f t="shared" ref="I3:I66" si="6">WEEKNUM(B3,2)</f>
        <v>1</v>
      </c>
    </row>
    <row r="4" spans="1:9" x14ac:dyDescent="0.3">
      <c r="A4">
        <f t="shared" si="0"/>
        <v>20200101</v>
      </c>
      <c r="B4" s="193">
        <v>43831</v>
      </c>
      <c r="C4" s="196" t="str">
        <f t="shared" ref="C4:C67" si="7">TEXT(B4,"dd MMMM YYYY")</f>
        <v>01 January 2020</v>
      </c>
      <c r="D4">
        <f t="shared" si="1"/>
        <v>1</v>
      </c>
      <c r="E4" t="str">
        <f t="shared" si="2"/>
        <v>January</v>
      </c>
      <c r="F4" s="128">
        <f t="shared" si="3"/>
        <v>2020</v>
      </c>
      <c r="G4" s="194" t="str">
        <f t="shared" si="4"/>
        <v>2020-01</v>
      </c>
      <c r="H4" s="193">
        <f t="shared" si="5"/>
        <v>43834</v>
      </c>
      <c r="I4">
        <f t="shared" si="6"/>
        <v>1</v>
      </c>
    </row>
    <row r="5" spans="1:9" x14ac:dyDescent="0.3">
      <c r="A5">
        <f t="shared" si="0"/>
        <v>20200102</v>
      </c>
      <c r="B5" s="193">
        <v>43832</v>
      </c>
      <c r="C5" s="196" t="str">
        <f t="shared" si="7"/>
        <v>02 January 2020</v>
      </c>
      <c r="D5">
        <f t="shared" si="1"/>
        <v>1</v>
      </c>
      <c r="E5" t="str">
        <f t="shared" si="2"/>
        <v>January</v>
      </c>
      <c r="F5" s="128">
        <f t="shared" si="3"/>
        <v>2020</v>
      </c>
      <c r="G5" s="194" t="str">
        <f t="shared" si="4"/>
        <v>2020-01</v>
      </c>
      <c r="H5" s="193">
        <f t="shared" si="5"/>
        <v>43834</v>
      </c>
      <c r="I5">
        <f t="shared" si="6"/>
        <v>1</v>
      </c>
    </row>
    <row r="6" spans="1:9" x14ac:dyDescent="0.3">
      <c r="A6">
        <f t="shared" si="0"/>
        <v>20200103</v>
      </c>
      <c r="B6" s="193">
        <v>43833</v>
      </c>
      <c r="C6" s="196" t="str">
        <f t="shared" si="7"/>
        <v>03 January 2020</v>
      </c>
      <c r="D6">
        <f t="shared" si="1"/>
        <v>1</v>
      </c>
      <c r="E6" t="str">
        <f t="shared" si="2"/>
        <v>January</v>
      </c>
      <c r="F6" s="128">
        <f t="shared" si="3"/>
        <v>2020</v>
      </c>
      <c r="G6" s="194" t="str">
        <f t="shared" si="4"/>
        <v>2020-01</v>
      </c>
      <c r="H6" s="193">
        <f t="shared" si="5"/>
        <v>43834</v>
      </c>
      <c r="I6">
        <f t="shared" si="6"/>
        <v>1</v>
      </c>
    </row>
    <row r="7" spans="1:9" x14ac:dyDescent="0.3">
      <c r="A7">
        <f t="shared" si="0"/>
        <v>20200104</v>
      </c>
      <c r="B7" s="193">
        <v>43834</v>
      </c>
      <c r="C7" s="196" t="str">
        <f t="shared" si="7"/>
        <v>04 January 2020</v>
      </c>
      <c r="D7">
        <f t="shared" si="1"/>
        <v>1</v>
      </c>
      <c r="E7" t="str">
        <f t="shared" si="2"/>
        <v>January</v>
      </c>
      <c r="F7" s="128">
        <f t="shared" si="3"/>
        <v>2020</v>
      </c>
      <c r="G7" s="194" t="str">
        <f t="shared" si="4"/>
        <v>2020-01</v>
      </c>
      <c r="H7" s="193">
        <f t="shared" si="5"/>
        <v>43834</v>
      </c>
      <c r="I7">
        <f t="shared" si="6"/>
        <v>1</v>
      </c>
    </row>
    <row r="8" spans="1:9" x14ac:dyDescent="0.3">
      <c r="A8">
        <f t="shared" si="0"/>
        <v>20200105</v>
      </c>
      <c r="B8" s="193">
        <v>43835</v>
      </c>
      <c r="C8" s="196" t="str">
        <f t="shared" si="7"/>
        <v>05 January 2020</v>
      </c>
      <c r="D8">
        <f t="shared" si="1"/>
        <v>1</v>
      </c>
      <c r="E8" t="str">
        <f t="shared" si="2"/>
        <v>January</v>
      </c>
      <c r="F8" s="128">
        <f t="shared" si="3"/>
        <v>2020</v>
      </c>
      <c r="G8" s="194" t="str">
        <f t="shared" si="4"/>
        <v>2020-01</v>
      </c>
      <c r="H8" s="193">
        <f t="shared" si="5"/>
        <v>43841</v>
      </c>
      <c r="I8">
        <f t="shared" si="6"/>
        <v>1</v>
      </c>
    </row>
    <row r="9" spans="1:9" x14ac:dyDescent="0.3">
      <c r="A9">
        <f t="shared" si="0"/>
        <v>20200106</v>
      </c>
      <c r="B9" s="193">
        <v>43836</v>
      </c>
      <c r="C9" s="196" t="str">
        <f t="shared" si="7"/>
        <v>06 January 2020</v>
      </c>
      <c r="D9">
        <f t="shared" si="1"/>
        <v>1</v>
      </c>
      <c r="E9" t="str">
        <f t="shared" si="2"/>
        <v>January</v>
      </c>
      <c r="F9" s="128">
        <f t="shared" si="3"/>
        <v>2020</v>
      </c>
      <c r="G9" s="194" t="str">
        <f t="shared" si="4"/>
        <v>2020-01</v>
      </c>
      <c r="H9" s="193">
        <f t="shared" si="5"/>
        <v>43841</v>
      </c>
      <c r="I9">
        <f t="shared" si="6"/>
        <v>2</v>
      </c>
    </row>
    <row r="10" spans="1:9" x14ac:dyDescent="0.3">
      <c r="A10">
        <f t="shared" si="0"/>
        <v>20200107</v>
      </c>
      <c r="B10" s="193">
        <v>43837</v>
      </c>
      <c r="C10" s="196" t="str">
        <f t="shared" si="7"/>
        <v>07 January 2020</v>
      </c>
      <c r="D10">
        <f t="shared" si="1"/>
        <v>1</v>
      </c>
      <c r="E10" t="str">
        <f t="shared" si="2"/>
        <v>January</v>
      </c>
      <c r="F10" s="128">
        <f t="shared" si="3"/>
        <v>2020</v>
      </c>
      <c r="G10" s="194" t="str">
        <f t="shared" si="4"/>
        <v>2020-01</v>
      </c>
      <c r="H10" s="193">
        <f t="shared" si="5"/>
        <v>43841</v>
      </c>
      <c r="I10">
        <f t="shared" si="6"/>
        <v>2</v>
      </c>
    </row>
    <row r="11" spans="1:9" x14ac:dyDescent="0.3">
      <c r="A11">
        <f t="shared" si="0"/>
        <v>20200108</v>
      </c>
      <c r="B11" s="193">
        <v>43838</v>
      </c>
      <c r="C11" s="196" t="str">
        <f t="shared" si="7"/>
        <v>08 January 2020</v>
      </c>
      <c r="D11">
        <f t="shared" si="1"/>
        <v>1</v>
      </c>
      <c r="E11" t="str">
        <f t="shared" si="2"/>
        <v>January</v>
      </c>
      <c r="F11" s="128">
        <f t="shared" si="3"/>
        <v>2020</v>
      </c>
      <c r="G11" s="194" t="str">
        <f t="shared" si="4"/>
        <v>2020-01</v>
      </c>
      <c r="H11" s="193">
        <f t="shared" si="5"/>
        <v>43841</v>
      </c>
      <c r="I11">
        <f t="shared" si="6"/>
        <v>2</v>
      </c>
    </row>
    <row r="12" spans="1:9" x14ac:dyDescent="0.3">
      <c r="A12">
        <f t="shared" si="0"/>
        <v>20200109</v>
      </c>
      <c r="B12" s="193">
        <v>43839</v>
      </c>
      <c r="C12" s="196" t="str">
        <f t="shared" si="7"/>
        <v>09 January 2020</v>
      </c>
      <c r="D12">
        <f t="shared" si="1"/>
        <v>1</v>
      </c>
      <c r="E12" t="str">
        <f t="shared" si="2"/>
        <v>January</v>
      </c>
      <c r="F12" s="128">
        <f t="shared" si="3"/>
        <v>2020</v>
      </c>
      <c r="G12" s="194" t="str">
        <f t="shared" si="4"/>
        <v>2020-01</v>
      </c>
      <c r="H12" s="193">
        <f t="shared" si="5"/>
        <v>43841</v>
      </c>
      <c r="I12">
        <f t="shared" si="6"/>
        <v>2</v>
      </c>
    </row>
    <row r="13" spans="1:9" x14ac:dyDescent="0.3">
      <c r="A13">
        <f t="shared" si="0"/>
        <v>20200110</v>
      </c>
      <c r="B13" s="193">
        <v>43840</v>
      </c>
      <c r="C13" s="196" t="str">
        <f t="shared" si="7"/>
        <v>10 January 2020</v>
      </c>
      <c r="D13">
        <f t="shared" si="1"/>
        <v>1</v>
      </c>
      <c r="E13" t="str">
        <f t="shared" si="2"/>
        <v>January</v>
      </c>
      <c r="F13" s="128">
        <f t="shared" si="3"/>
        <v>2020</v>
      </c>
      <c r="G13" s="194" t="str">
        <f t="shared" si="4"/>
        <v>2020-01</v>
      </c>
      <c r="H13" s="193">
        <f t="shared" si="5"/>
        <v>43841</v>
      </c>
      <c r="I13">
        <f t="shared" si="6"/>
        <v>2</v>
      </c>
    </row>
    <row r="14" spans="1:9" x14ac:dyDescent="0.3">
      <c r="A14">
        <f t="shared" si="0"/>
        <v>20200111</v>
      </c>
      <c r="B14" s="193">
        <v>43841</v>
      </c>
      <c r="C14" s="196" t="str">
        <f t="shared" si="7"/>
        <v>11 January 2020</v>
      </c>
      <c r="D14">
        <f t="shared" si="1"/>
        <v>1</v>
      </c>
      <c r="E14" t="str">
        <f t="shared" si="2"/>
        <v>January</v>
      </c>
      <c r="F14" s="128">
        <f t="shared" si="3"/>
        <v>2020</v>
      </c>
      <c r="G14" s="194" t="str">
        <f t="shared" si="4"/>
        <v>2020-01</v>
      </c>
      <c r="H14" s="193">
        <f t="shared" si="5"/>
        <v>43841</v>
      </c>
      <c r="I14">
        <f t="shared" si="6"/>
        <v>2</v>
      </c>
    </row>
    <row r="15" spans="1:9" x14ac:dyDescent="0.3">
      <c r="A15">
        <f t="shared" si="0"/>
        <v>20200112</v>
      </c>
      <c r="B15" s="193">
        <v>43842</v>
      </c>
      <c r="C15" s="196" t="str">
        <f t="shared" si="7"/>
        <v>12 January 2020</v>
      </c>
      <c r="D15">
        <f t="shared" si="1"/>
        <v>1</v>
      </c>
      <c r="E15" t="str">
        <f t="shared" si="2"/>
        <v>January</v>
      </c>
      <c r="F15" s="128">
        <f t="shared" si="3"/>
        <v>2020</v>
      </c>
      <c r="G15" s="194" t="str">
        <f t="shared" si="4"/>
        <v>2020-01</v>
      </c>
      <c r="H15" s="193">
        <f t="shared" si="5"/>
        <v>43848</v>
      </c>
      <c r="I15">
        <f t="shared" si="6"/>
        <v>2</v>
      </c>
    </row>
    <row r="16" spans="1:9" x14ac:dyDescent="0.3">
      <c r="A16">
        <f t="shared" si="0"/>
        <v>20200113</v>
      </c>
      <c r="B16" s="193">
        <v>43843</v>
      </c>
      <c r="C16" s="196" t="str">
        <f t="shared" si="7"/>
        <v>13 January 2020</v>
      </c>
      <c r="D16">
        <f t="shared" si="1"/>
        <v>1</v>
      </c>
      <c r="E16" t="str">
        <f t="shared" si="2"/>
        <v>January</v>
      </c>
      <c r="F16" s="128">
        <f t="shared" si="3"/>
        <v>2020</v>
      </c>
      <c r="G16" s="194" t="str">
        <f t="shared" si="4"/>
        <v>2020-01</v>
      </c>
      <c r="H16" s="193">
        <f t="shared" si="5"/>
        <v>43848</v>
      </c>
      <c r="I16">
        <f t="shared" si="6"/>
        <v>3</v>
      </c>
    </row>
    <row r="17" spans="1:9" x14ac:dyDescent="0.3">
      <c r="A17">
        <f t="shared" si="0"/>
        <v>20200114</v>
      </c>
      <c r="B17" s="193">
        <v>43844</v>
      </c>
      <c r="C17" s="196" t="str">
        <f t="shared" si="7"/>
        <v>14 January 2020</v>
      </c>
      <c r="D17">
        <f t="shared" si="1"/>
        <v>1</v>
      </c>
      <c r="E17" t="str">
        <f t="shared" si="2"/>
        <v>January</v>
      </c>
      <c r="F17" s="128">
        <f t="shared" si="3"/>
        <v>2020</v>
      </c>
      <c r="G17" s="194" t="str">
        <f t="shared" si="4"/>
        <v>2020-01</v>
      </c>
      <c r="H17" s="193">
        <f t="shared" si="5"/>
        <v>43848</v>
      </c>
      <c r="I17">
        <f t="shared" si="6"/>
        <v>3</v>
      </c>
    </row>
    <row r="18" spans="1:9" x14ac:dyDescent="0.3">
      <c r="A18">
        <f t="shared" si="0"/>
        <v>20200115</v>
      </c>
      <c r="B18" s="193">
        <v>43845</v>
      </c>
      <c r="C18" s="196" t="str">
        <f t="shared" si="7"/>
        <v>15 January 2020</v>
      </c>
      <c r="D18">
        <f t="shared" si="1"/>
        <v>1</v>
      </c>
      <c r="E18" t="str">
        <f t="shared" si="2"/>
        <v>January</v>
      </c>
      <c r="F18" s="128">
        <f t="shared" si="3"/>
        <v>2020</v>
      </c>
      <c r="G18" s="194" t="str">
        <f t="shared" si="4"/>
        <v>2020-01</v>
      </c>
      <c r="H18" s="193">
        <f t="shared" si="5"/>
        <v>43848</v>
      </c>
      <c r="I18">
        <f t="shared" si="6"/>
        <v>3</v>
      </c>
    </row>
    <row r="19" spans="1:9" x14ac:dyDescent="0.3">
      <c r="A19">
        <f t="shared" si="0"/>
        <v>20200116</v>
      </c>
      <c r="B19" s="193">
        <v>43846</v>
      </c>
      <c r="C19" s="196" t="str">
        <f t="shared" si="7"/>
        <v>16 January 2020</v>
      </c>
      <c r="D19">
        <f t="shared" si="1"/>
        <v>1</v>
      </c>
      <c r="E19" t="str">
        <f t="shared" si="2"/>
        <v>January</v>
      </c>
      <c r="F19" s="128">
        <f t="shared" si="3"/>
        <v>2020</v>
      </c>
      <c r="G19" s="194" t="str">
        <f t="shared" si="4"/>
        <v>2020-01</v>
      </c>
      <c r="H19" s="193">
        <f t="shared" si="5"/>
        <v>43848</v>
      </c>
      <c r="I19">
        <f t="shared" si="6"/>
        <v>3</v>
      </c>
    </row>
    <row r="20" spans="1:9" x14ac:dyDescent="0.3">
      <c r="A20">
        <f t="shared" si="0"/>
        <v>20200117</v>
      </c>
      <c r="B20" s="193">
        <v>43847</v>
      </c>
      <c r="C20" s="196" t="str">
        <f t="shared" si="7"/>
        <v>17 January 2020</v>
      </c>
      <c r="D20">
        <f t="shared" si="1"/>
        <v>1</v>
      </c>
      <c r="E20" t="str">
        <f t="shared" si="2"/>
        <v>January</v>
      </c>
      <c r="F20" s="128">
        <f t="shared" si="3"/>
        <v>2020</v>
      </c>
      <c r="G20" s="194" t="str">
        <f t="shared" si="4"/>
        <v>2020-01</v>
      </c>
      <c r="H20" s="193">
        <f t="shared" si="5"/>
        <v>43848</v>
      </c>
      <c r="I20">
        <f t="shared" si="6"/>
        <v>3</v>
      </c>
    </row>
    <row r="21" spans="1:9" x14ac:dyDescent="0.3">
      <c r="A21">
        <f t="shared" si="0"/>
        <v>20200118</v>
      </c>
      <c r="B21" s="193">
        <v>43848</v>
      </c>
      <c r="C21" s="196" t="str">
        <f t="shared" si="7"/>
        <v>18 January 2020</v>
      </c>
      <c r="D21">
        <f t="shared" si="1"/>
        <v>1</v>
      </c>
      <c r="E21" t="str">
        <f t="shared" si="2"/>
        <v>January</v>
      </c>
      <c r="F21" s="128">
        <f t="shared" si="3"/>
        <v>2020</v>
      </c>
      <c r="G21" s="194" t="str">
        <f t="shared" si="4"/>
        <v>2020-01</v>
      </c>
      <c r="H21" s="193">
        <f t="shared" si="5"/>
        <v>43848</v>
      </c>
      <c r="I21">
        <f t="shared" si="6"/>
        <v>3</v>
      </c>
    </row>
    <row r="22" spans="1:9" x14ac:dyDescent="0.3">
      <c r="A22">
        <f t="shared" si="0"/>
        <v>20200119</v>
      </c>
      <c r="B22" s="193">
        <v>43849</v>
      </c>
      <c r="C22" s="196" t="str">
        <f t="shared" si="7"/>
        <v>19 January 2020</v>
      </c>
      <c r="D22">
        <f t="shared" si="1"/>
        <v>1</v>
      </c>
      <c r="E22" t="str">
        <f t="shared" si="2"/>
        <v>January</v>
      </c>
      <c r="F22" s="128">
        <f t="shared" si="3"/>
        <v>2020</v>
      </c>
      <c r="G22" s="194" t="str">
        <f t="shared" si="4"/>
        <v>2020-01</v>
      </c>
      <c r="H22" s="193">
        <f t="shared" si="5"/>
        <v>43855</v>
      </c>
      <c r="I22">
        <f t="shared" si="6"/>
        <v>3</v>
      </c>
    </row>
    <row r="23" spans="1:9" x14ac:dyDescent="0.3">
      <c r="A23">
        <f t="shared" si="0"/>
        <v>20200120</v>
      </c>
      <c r="B23" s="193">
        <v>43850</v>
      </c>
      <c r="C23" s="196" t="str">
        <f t="shared" si="7"/>
        <v>20 January 2020</v>
      </c>
      <c r="D23">
        <f t="shared" si="1"/>
        <v>1</v>
      </c>
      <c r="E23" t="str">
        <f t="shared" si="2"/>
        <v>January</v>
      </c>
      <c r="F23" s="128">
        <f t="shared" si="3"/>
        <v>2020</v>
      </c>
      <c r="G23" s="194" t="str">
        <f t="shared" si="4"/>
        <v>2020-01</v>
      </c>
      <c r="H23" s="193">
        <f t="shared" si="5"/>
        <v>43855</v>
      </c>
      <c r="I23">
        <f t="shared" si="6"/>
        <v>4</v>
      </c>
    </row>
    <row r="24" spans="1:9" x14ac:dyDescent="0.3">
      <c r="A24">
        <f t="shared" si="0"/>
        <v>20200121</v>
      </c>
      <c r="B24" s="193">
        <v>43851</v>
      </c>
      <c r="C24" s="196" t="str">
        <f t="shared" si="7"/>
        <v>21 January 2020</v>
      </c>
      <c r="D24">
        <f t="shared" si="1"/>
        <v>1</v>
      </c>
      <c r="E24" t="str">
        <f t="shared" si="2"/>
        <v>January</v>
      </c>
      <c r="F24" s="128">
        <f t="shared" si="3"/>
        <v>2020</v>
      </c>
      <c r="G24" s="194" t="str">
        <f t="shared" si="4"/>
        <v>2020-01</v>
      </c>
      <c r="H24" s="193">
        <f t="shared" si="5"/>
        <v>43855</v>
      </c>
      <c r="I24">
        <f t="shared" si="6"/>
        <v>4</v>
      </c>
    </row>
    <row r="25" spans="1:9" x14ac:dyDescent="0.3">
      <c r="A25">
        <f t="shared" si="0"/>
        <v>20200122</v>
      </c>
      <c r="B25" s="193">
        <v>43852</v>
      </c>
      <c r="C25" s="196" t="str">
        <f t="shared" si="7"/>
        <v>22 January 2020</v>
      </c>
      <c r="D25">
        <f t="shared" si="1"/>
        <v>1</v>
      </c>
      <c r="E25" t="str">
        <f t="shared" si="2"/>
        <v>January</v>
      </c>
      <c r="F25" s="128">
        <f t="shared" si="3"/>
        <v>2020</v>
      </c>
      <c r="G25" s="194" t="str">
        <f t="shared" si="4"/>
        <v>2020-01</v>
      </c>
      <c r="H25" s="193">
        <f t="shared" si="5"/>
        <v>43855</v>
      </c>
      <c r="I25">
        <f t="shared" si="6"/>
        <v>4</v>
      </c>
    </row>
    <row r="26" spans="1:9" x14ac:dyDescent="0.3">
      <c r="A26">
        <f t="shared" si="0"/>
        <v>20200123</v>
      </c>
      <c r="B26" s="193">
        <v>43853</v>
      </c>
      <c r="C26" s="196" t="str">
        <f t="shared" si="7"/>
        <v>23 January 2020</v>
      </c>
      <c r="D26">
        <f t="shared" si="1"/>
        <v>1</v>
      </c>
      <c r="E26" t="str">
        <f t="shared" si="2"/>
        <v>January</v>
      </c>
      <c r="F26" s="128">
        <f t="shared" si="3"/>
        <v>2020</v>
      </c>
      <c r="G26" s="194" t="str">
        <f t="shared" si="4"/>
        <v>2020-01</v>
      </c>
      <c r="H26" s="193">
        <f t="shared" si="5"/>
        <v>43855</v>
      </c>
      <c r="I26">
        <f t="shared" si="6"/>
        <v>4</v>
      </c>
    </row>
    <row r="27" spans="1:9" x14ac:dyDescent="0.3">
      <c r="A27">
        <f t="shared" si="0"/>
        <v>20200124</v>
      </c>
      <c r="B27" s="193">
        <v>43854</v>
      </c>
      <c r="C27" s="196" t="str">
        <f t="shared" si="7"/>
        <v>24 January 2020</v>
      </c>
      <c r="D27">
        <f t="shared" si="1"/>
        <v>1</v>
      </c>
      <c r="E27" t="str">
        <f t="shared" si="2"/>
        <v>January</v>
      </c>
      <c r="F27" s="128">
        <f t="shared" si="3"/>
        <v>2020</v>
      </c>
      <c r="G27" s="194" t="str">
        <f t="shared" si="4"/>
        <v>2020-01</v>
      </c>
      <c r="H27" s="193">
        <f t="shared" si="5"/>
        <v>43855</v>
      </c>
      <c r="I27">
        <f t="shared" si="6"/>
        <v>4</v>
      </c>
    </row>
    <row r="28" spans="1:9" x14ac:dyDescent="0.3">
      <c r="A28">
        <f t="shared" si="0"/>
        <v>20200125</v>
      </c>
      <c r="B28" s="193">
        <v>43855</v>
      </c>
      <c r="C28" s="196" t="str">
        <f t="shared" si="7"/>
        <v>25 January 2020</v>
      </c>
      <c r="D28">
        <f t="shared" si="1"/>
        <v>1</v>
      </c>
      <c r="E28" t="str">
        <f t="shared" si="2"/>
        <v>January</v>
      </c>
      <c r="F28" s="128">
        <f t="shared" si="3"/>
        <v>2020</v>
      </c>
      <c r="G28" s="194" t="str">
        <f t="shared" si="4"/>
        <v>2020-01</v>
      </c>
      <c r="H28" s="193">
        <f t="shared" si="5"/>
        <v>43855</v>
      </c>
      <c r="I28">
        <f t="shared" si="6"/>
        <v>4</v>
      </c>
    </row>
    <row r="29" spans="1:9" x14ac:dyDescent="0.3">
      <c r="A29">
        <f t="shared" si="0"/>
        <v>20200126</v>
      </c>
      <c r="B29" s="193">
        <v>43856</v>
      </c>
      <c r="C29" s="196" t="str">
        <f t="shared" si="7"/>
        <v>26 January 2020</v>
      </c>
      <c r="D29">
        <f t="shared" si="1"/>
        <v>1</v>
      </c>
      <c r="E29" t="str">
        <f t="shared" si="2"/>
        <v>January</v>
      </c>
      <c r="F29" s="128">
        <f t="shared" si="3"/>
        <v>2020</v>
      </c>
      <c r="G29" s="194" t="str">
        <f t="shared" si="4"/>
        <v>2020-01</v>
      </c>
      <c r="H29" s="193">
        <f t="shared" si="5"/>
        <v>43862</v>
      </c>
      <c r="I29">
        <f t="shared" si="6"/>
        <v>4</v>
      </c>
    </row>
    <row r="30" spans="1:9" x14ac:dyDescent="0.3">
      <c r="A30">
        <f t="shared" si="0"/>
        <v>20200127</v>
      </c>
      <c r="B30" s="193">
        <v>43857</v>
      </c>
      <c r="C30" s="196" t="str">
        <f t="shared" si="7"/>
        <v>27 January 2020</v>
      </c>
      <c r="D30">
        <f t="shared" si="1"/>
        <v>1</v>
      </c>
      <c r="E30" t="str">
        <f t="shared" si="2"/>
        <v>January</v>
      </c>
      <c r="F30" s="128">
        <f t="shared" si="3"/>
        <v>2020</v>
      </c>
      <c r="G30" s="194" t="str">
        <f t="shared" si="4"/>
        <v>2020-01</v>
      </c>
      <c r="H30" s="193">
        <f t="shared" si="5"/>
        <v>43862</v>
      </c>
      <c r="I30">
        <f t="shared" si="6"/>
        <v>5</v>
      </c>
    </row>
    <row r="31" spans="1:9" x14ac:dyDescent="0.3">
      <c r="A31">
        <f t="shared" si="0"/>
        <v>20200128</v>
      </c>
      <c r="B31" s="193">
        <v>43858</v>
      </c>
      <c r="C31" s="196" t="str">
        <f t="shared" si="7"/>
        <v>28 January 2020</v>
      </c>
      <c r="D31">
        <f t="shared" si="1"/>
        <v>1</v>
      </c>
      <c r="E31" t="str">
        <f t="shared" si="2"/>
        <v>January</v>
      </c>
      <c r="F31" s="128">
        <f t="shared" si="3"/>
        <v>2020</v>
      </c>
      <c r="G31" s="194" t="str">
        <f t="shared" si="4"/>
        <v>2020-01</v>
      </c>
      <c r="H31" s="193">
        <f t="shared" si="5"/>
        <v>43862</v>
      </c>
      <c r="I31">
        <f t="shared" si="6"/>
        <v>5</v>
      </c>
    </row>
    <row r="32" spans="1:9" x14ac:dyDescent="0.3">
      <c r="A32">
        <f t="shared" si="0"/>
        <v>20200129</v>
      </c>
      <c r="B32" s="193">
        <v>43859</v>
      </c>
      <c r="C32" s="196" t="str">
        <f t="shared" si="7"/>
        <v>29 January 2020</v>
      </c>
      <c r="D32">
        <f t="shared" si="1"/>
        <v>1</v>
      </c>
      <c r="E32" t="str">
        <f t="shared" si="2"/>
        <v>January</v>
      </c>
      <c r="F32" s="128">
        <f t="shared" si="3"/>
        <v>2020</v>
      </c>
      <c r="G32" s="194" t="str">
        <f t="shared" si="4"/>
        <v>2020-01</v>
      </c>
      <c r="H32" s="193">
        <f t="shared" si="5"/>
        <v>43862</v>
      </c>
      <c r="I32">
        <f t="shared" si="6"/>
        <v>5</v>
      </c>
    </row>
    <row r="33" spans="1:9" x14ac:dyDescent="0.3">
      <c r="A33">
        <f t="shared" si="0"/>
        <v>20200130</v>
      </c>
      <c r="B33" s="193">
        <v>43860</v>
      </c>
      <c r="C33" s="196" t="str">
        <f t="shared" si="7"/>
        <v>30 January 2020</v>
      </c>
      <c r="D33">
        <f t="shared" si="1"/>
        <v>1</v>
      </c>
      <c r="E33" t="str">
        <f t="shared" si="2"/>
        <v>January</v>
      </c>
      <c r="F33" s="128">
        <f t="shared" si="3"/>
        <v>2020</v>
      </c>
      <c r="G33" s="194" t="str">
        <f t="shared" si="4"/>
        <v>2020-01</v>
      </c>
      <c r="H33" s="193">
        <f t="shared" si="5"/>
        <v>43862</v>
      </c>
      <c r="I33">
        <f t="shared" si="6"/>
        <v>5</v>
      </c>
    </row>
    <row r="34" spans="1:9" x14ac:dyDescent="0.3">
      <c r="A34">
        <f t="shared" si="0"/>
        <v>20200131</v>
      </c>
      <c r="B34" s="193">
        <v>43861</v>
      </c>
      <c r="C34" s="196" t="str">
        <f t="shared" si="7"/>
        <v>31 January 2020</v>
      </c>
      <c r="D34">
        <f t="shared" si="1"/>
        <v>1</v>
      </c>
      <c r="E34" t="str">
        <f t="shared" si="2"/>
        <v>January</v>
      </c>
      <c r="F34" s="128">
        <f t="shared" si="3"/>
        <v>2020</v>
      </c>
      <c r="G34" s="194" t="str">
        <f t="shared" si="4"/>
        <v>2020-01</v>
      </c>
      <c r="H34" s="193">
        <f t="shared" si="5"/>
        <v>43862</v>
      </c>
      <c r="I34">
        <f t="shared" si="6"/>
        <v>5</v>
      </c>
    </row>
    <row r="35" spans="1:9" x14ac:dyDescent="0.3">
      <c r="A35">
        <f t="shared" si="0"/>
        <v>20200201</v>
      </c>
      <c r="B35" s="193">
        <v>43862</v>
      </c>
      <c r="C35" s="196" t="str">
        <f t="shared" si="7"/>
        <v>01 February 2020</v>
      </c>
      <c r="D35">
        <f t="shared" si="1"/>
        <v>2</v>
      </c>
      <c r="E35" t="str">
        <f t="shared" si="2"/>
        <v>February</v>
      </c>
      <c r="F35" s="128">
        <f t="shared" si="3"/>
        <v>2020</v>
      </c>
      <c r="G35" s="194" t="str">
        <f t="shared" si="4"/>
        <v>2020-02</v>
      </c>
      <c r="H35" s="193">
        <f t="shared" si="5"/>
        <v>43862</v>
      </c>
      <c r="I35">
        <f t="shared" si="6"/>
        <v>5</v>
      </c>
    </row>
    <row r="36" spans="1:9" x14ac:dyDescent="0.3">
      <c r="A36">
        <f t="shared" si="0"/>
        <v>20200202</v>
      </c>
      <c r="B36" s="193">
        <v>43863</v>
      </c>
      <c r="C36" s="196" t="str">
        <f t="shared" si="7"/>
        <v>02 February 2020</v>
      </c>
      <c r="D36">
        <f t="shared" si="1"/>
        <v>2</v>
      </c>
      <c r="E36" t="str">
        <f t="shared" si="2"/>
        <v>February</v>
      </c>
      <c r="F36" s="128">
        <f t="shared" si="3"/>
        <v>2020</v>
      </c>
      <c r="G36" s="194" t="str">
        <f t="shared" si="4"/>
        <v>2020-02</v>
      </c>
      <c r="H36" s="193">
        <f t="shared" si="5"/>
        <v>43869</v>
      </c>
      <c r="I36">
        <f t="shared" si="6"/>
        <v>5</v>
      </c>
    </row>
    <row r="37" spans="1:9" x14ac:dyDescent="0.3">
      <c r="A37">
        <f t="shared" si="0"/>
        <v>20200203</v>
      </c>
      <c r="B37" s="193">
        <v>43864</v>
      </c>
      <c r="C37" s="196" t="str">
        <f t="shared" si="7"/>
        <v>03 February 2020</v>
      </c>
      <c r="D37">
        <f t="shared" si="1"/>
        <v>2</v>
      </c>
      <c r="E37" t="str">
        <f t="shared" si="2"/>
        <v>February</v>
      </c>
      <c r="F37" s="128">
        <f t="shared" si="3"/>
        <v>2020</v>
      </c>
      <c r="G37" s="194" t="str">
        <f t="shared" si="4"/>
        <v>2020-02</v>
      </c>
      <c r="H37" s="193">
        <f t="shared" si="5"/>
        <v>43869</v>
      </c>
      <c r="I37">
        <f t="shared" si="6"/>
        <v>6</v>
      </c>
    </row>
    <row r="38" spans="1:9" x14ac:dyDescent="0.3">
      <c r="A38">
        <f t="shared" si="0"/>
        <v>20200204</v>
      </c>
      <c r="B38" s="193">
        <v>43865</v>
      </c>
      <c r="C38" s="196" t="str">
        <f t="shared" si="7"/>
        <v>04 February 2020</v>
      </c>
      <c r="D38">
        <f t="shared" si="1"/>
        <v>2</v>
      </c>
      <c r="E38" t="str">
        <f t="shared" si="2"/>
        <v>February</v>
      </c>
      <c r="F38" s="128">
        <f t="shared" si="3"/>
        <v>2020</v>
      </c>
      <c r="G38" s="194" t="str">
        <f t="shared" si="4"/>
        <v>2020-02</v>
      </c>
      <c r="H38" s="193">
        <f t="shared" si="5"/>
        <v>43869</v>
      </c>
      <c r="I38">
        <f t="shared" si="6"/>
        <v>6</v>
      </c>
    </row>
    <row r="39" spans="1:9" x14ac:dyDescent="0.3">
      <c r="A39">
        <f t="shared" si="0"/>
        <v>20200205</v>
      </c>
      <c r="B39" s="193">
        <v>43866</v>
      </c>
      <c r="C39" s="196" t="str">
        <f t="shared" si="7"/>
        <v>05 February 2020</v>
      </c>
      <c r="D39">
        <f t="shared" si="1"/>
        <v>2</v>
      </c>
      <c r="E39" t="str">
        <f t="shared" si="2"/>
        <v>February</v>
      </c>
      <c r="F39" s="128">
        <f t="shared" si="3"/>
        <v>2020</v>
      </c>
      <c r="G39" s="194" t="str">
        <f t="shared" si="4"/>
        <v>2020-02</v>
      </c>
      <c r="H39" s="193">
        <f t="shared" si="5"/>
        <v>43869</v>
      </c>
      <c r="I39">
        <f t="shared" si="6"/>
        <v>6</v>
      </c>
    </row>
    <row r="40" spans="1:9" x14ac:dyDescent="0.3">
      <c r="A40">
        <f t="shared" si="0"/>
        <v>20200206</v>
      </c>
      <c r="B40" s="193">
        <v>43867</v>
      </c>
      <c r="C40" s="196" t="str">
        <f t="shared" si="7"/>
        <v>06 February 2020</v>
      </c>
      <c r="D40">
        <f t="shared" si="1"/>
        <v>2</v>
      </c>
      <c r="E40" t="str">
        <f t="shared" si="2"/>
        <v>February</v>
      </c>
      <c r="F40" s="128">
        <f t="shared" si="3"/>
        <v>2020</v>
      </c>
      <c r="G40" s="194" t="str">
        <f t="shared" si="4"/>
        <v>2020-02</v>
      </c>
      <c r="H40" s="193">
        <f t="shared" si="5"/>
        <v>43869</v>
      </c>
      <c r="I40">
        <f t="shared" si="6"/>
        <v>6</v>
      </c>
    </row>
    <row r="41" spans="1:9" x14ac:dyDescent="0.3">
      <c r="A41">
        <f t="shared" si="0"/>
        <v>20200207</v>
      </c>
      <c r="B41" s="193">
        <v>43868</v>
      </c>
      <c r="C41" s="196" t="str">
        <f t="shared" si="7"/>
        <v>07 February 2020</v>
      </c>
      <c r="D41">
        <f t="shared" si="1"/>
        <v>2</v>
      </c>
      <c r="E41" t="str">
        <f t="shared" si="2"/>
        <v>February</v>
      </c>
      <c r="F41" s="128">
        <f t="shared" si="3"/>
        <v>2020</v>
      </c>
      <c r="G41" s="194" t="str">
        <f t="shared" si="4"/>
        <v>2020-02</v>
      </c>
      <c r="H41" s="193">
        <f t="shared" si="5"/>
        <v>43869</v>
      </c>
      <c r="I41">
        <f t="shared" si="6"/>
        <v>6</v>
      </c>
    </row>
    <row r="42" spans="1:9" x14ac:dyDescent="0.3">
      <c r="A42">
        <f t="shared" si="0"/>
        <v>20200208</v>
      </c>
      <c r="B42" s="193">
        <v>43869</v>
      </c>
      <c r="C42" s="196" t="str">
        <f t="shared" si="7"/>
        <v>08 February 2020</v>
      </c>
      <c r="D42">
        <f t="shared" si="1"/>
        <v>2</v>
      </c>
      <c r="E42" t="str">
        <f t="shared" si="2"/>
        <v>February</v>
      </c>
      <c r="F42" s="128">
        <f t="shared" si="3"/>
        <v>2020</v>
      </c>
      <c r="G42" s="194" t="str">
        <f t="shared" si="4"/>
        <v>2020-02</v>
      </c>
      <c r="H42" s="193">
        <f t="shared" si="5"/>
        <v>43869</v>
      </c>
      <c r="I42">
        <f t="shared" si="6"/>
        <v>6</v>
      </c>
    </row>
    <row r="43" spans="1:9" x14ac:dyDescent="0.3">
      <c r="A43">
        <f t="shared" si="0"/>
        <v>20200209</v>
      </c>
      <c r="B43" s="193">
        <v>43870</v>
      </c>
      <c r="C43" s="196" t="str">
        <f t="shared" si="7"/>
        <v>09 February 2020</v>
      </c>
      <c r="D43">
        <f t="shared" si="1"/>
        <v>2</v>
      </c>
      <c r="E43" t="str">
        <f t="shared" si="2"/>
        <v>February</v>
      </c>
      <c r="F43" s="128">
        <f t="shared" si="3"/>
        <v>2020</v>
      </c>
      <c r="G43" s="194" t="str">
        <f t="shared" si="4"/>
        <v>2020-02</v>
      </c>
      <c r="H43" s="193">
        <f t="shared" si="5"/>
        <v>43876</v>
      </c>
      <c r="I43">
        <f t="shared" si="6"/>
        <v>6</v>
      </c>
    </row>
    <row r="44" spans="1:9" x14ac:dyDescent="0.3">
      <c r="A44">
        <f t="shared" si="0"/>
        <v>20200210</v>
      </c>
      <c r="B44" s="193">
        <v>43871</v>
      </c>
      <c r="C44" s="196" t="str">
        <f t="shared" si="7"/>
        <v>10 February 2020</v>
      </c>
      <c r="D44">
        <f t="shared" si="1"/>
        <v>2</v>
      </c>
      <c r="E44" t="str">
        <f t="shared" si="2"/>
        <v>February</v>
      </c>
      <c r="F44" s="128">
        <f t="shared" si="3"/>
        <v>2020</v>
      </c>
      <c r="G44" s="194" t="str">
        <f t="shared" si="4"/>
        <v>2020-02</v>
      </c>
      <c r="H44" s="193">
        <f t="shared" si="5"/>
        <v>43876</v>
      </c>
      <c r="I44">
        <f t="shared" si="6"/>
        <v>7</v>
      </c>
    </row>
    <row r="45" spans="1:9" x14ac:dyDescent="0.3">
      <c r="A45">
        <f t="shared" si="0"/>
        <v>20200211</v>
      </c>
      <c r="B45" s="193">
        <v>43872</v>
      </c>
      <c r="C45" s="196" t="str">
        <f t="shared" si="7"/>
        <v>11 February 2020</v>
      </c>
      <c r="D45">
        <f t="shared" si="1"/>
        <v>2</v>
      </c>
      <c r="E45" t="str">
        <f t="shared" si="2"/>
        <v>February</v>
      </c>
      <c r="F45" s="128">
        <f t="shared" si="3"/>
        <v>2020</v>
      </c>
      <c r="G45" s="194" t="str">
        <f t="shared" si="4"/>
        <v>2020-02</v>
      </c>
      <c r="H45" s="193">
        <f t="shared" si="5"/>
        <v>43876</v>
      </c>
      <c r="I45">
        <f t="shared" si="6"/>
        <v>7</v>
      </c>
    </row>
    <row r="46" spans="1:9" x14ac:dyDescent="0.3">
      <c r="A46">
        <f t="shared" si="0"/>
        <v>20200212</v>
      </c>
      <c r="B46" s="193">
        <v>43873</v>
      </c>
      <c r="C46" s="196" t="str">
        <f t="shared" si="7"/>
        <v>12 February 2020</v>
      </c>
      <c r="D46">
        <f t="shared" si="1"/>
        <v>2</v>
      </c>
      <c r="E46" t="str">
        <f t="shared" si="2"/>
        <v>February</v>
      </c>
      <c r="F46" s="128">
        <f t="shared" si="3"/>
        <v>2020</v>
      </c>
      <c r="G46" s="194" t="str">
        <f t="shared" si="4"/>
        <v>2020-02</v>
      </c>
      <c r="H46" s="193">
        <f t="shared" si="5"/>
        <v>43876</v>
      </c>
      <c r="I46">
        <f t="shared" si="6"/>
        <v>7</v>
      </c>
    </row>
    <row r="47" spans="1:9" x14ac:dyDescent="0.3">
      <c r="A47">
        <f t="shared" si="0"/>
        <v>20200213</v>
      </c>
      <c r="B47" s="193">
        <v>43874</v>
      </c>
      <c r="C47" s="196" t="str">
        <f t="shared" si="7"/>
        <v>13 February 2020</v>
      </c>
      <c r="D47">
        <f t="shared" si="1"/>
        <v>2</v>
      </c>
      <c r="E47" t="str">
        <f t="shared" si="2"/>
        <v>February</v>
      </c>
      <c r="F47" s="128">
        <f t="shared" si="3"/>
        <v>2020</v>
      </c>
      <c r="G47" s="194" t="str">
        <f t="shared" si="4"/>
        <v>2020-02</v>
      </c>
      <c r="H47" s="193">
        <f t="shared" si="5"/>
        <v>43876</v>
      </c>
      <c r="I47">
        <f t="shared" si="6"/>
        <v>7</v>
      </c>
    </row>
    <row r="48" spans="1:9" x14ac:dyDescent="0.3">
      <c r="A48">
        <f t="shared" si="0"/>
        <v>20200214</v>
      </c>
      <c r="B48" s="193">
        <v>43875</v>
      </c>
      <c r="C48" s="196" t="str">
        <f t="shared" si="7"/>
        <v>14 February 2020</v>
      </c>
      <c r="D48">
        <f t="shared" si="1"/>
        <v>2</v>
      </c>
      <c r="E48" t="str">
        <f t="shared" si="2"/>
        <v>February</v>
      </c>
      <c r="F48" s="128">
        <f t="shared" si="3"/>
        <v>2020</v>
      </c>
      <c r="G48" s="194" t="str">
        <f t="shared" si="4"/>
        <v>2020-02</v>
      </c>
      <c r="H48" s="193">
        <f t="shared" si="5"/>
        <v>43876</v>
      </c>
      <c r="I48">
        <f t="shared" si="6"/>
        <v>7</v>
      </c>
    </row>
    <row r="49" spans="1:9" x14ac:dyDescent="0.3">
      <c r="A49">
        <f t="shared" si="0"/>
        <v>20200215</v>
      </c>
      <c r="B49" s="193">
        <v>43876</v>
      </c>
      <c r="C49" s="196" t="str">
        <f t="shared" si="7"/>
        <v>15 February 2020</v>
      </c>
      <c r="D49">
        <f t="shared" si="1"/>
        <v>2</v>
      </c>
      <c r="E49" t="str">
        <f t="shared" si="2"/>
        <v>February</v>
      </c>
      <c r="F49" s="128">
        <f t="shared" si="3"/>
        <v>2020</v>
      </c>
      <c r="G49" s="194" t="str">
        <f t="shared" si="4"/>
        <v>2020-02</v>
      </c>
      <c r="H49" s="193">
        <f t="shared" si="5"/>
        <v>43876</v>
      </c>
      <c r="I49">
        <f t="shared" si="6"/>
        <v>7</v>
      </c>
    </row>
    <row r="50" spans="1:9" x14ac:dyDescent="0.3">
      <c r="A50">
        <f t="shared" si="0"/>
        <v>20200216</v>
      </c>
      <c r="B50" s="193">
        <v>43877</v>
      </c>
      <c r="C50" s="196" t="str">
        <f t="shared" si="7"/>
        <v>16 February 2020</v>
      </c>
      <c r="D50">
        <f t="shared" si="1"/>
        <v>2</v>
      </c>
      <c r="E50" t="str">
        <f t="shared" si="2"/>
        <v>February</v>
      </c>
      <c r="F50" s="128">
        <f t="shared" si="3"/>
        <v>2020</v>
      </c>
      <c r="G50" s="194" t="str">
        <f t="shared" si="4"/>
        <v>2020-02</v>
      </c>
      <c r="H50" s="193">
        <f t="shared" si="5"/>
        <v>43883</v>
      </c>
      <c r="I50">
        <f t="shared" si="6"/>
        <v>7</v>
      </c>
    </row>
    <row r="51" spans="1:9" x14ac:dyDescent="0.3">
      <c r="A51">
        <f t="shared" si="0"/>
        <v>20200217</v>
      </c>
      <c r="B51" s="193">
        <v>43878</v>
      </c>
      <c r="C51" s="196" t="str">
        <f t="shared" si="7"/>
        <v>17 February 2020</v>
      </c>
      <c r="D51">
        <f t="shared" si="1"/>
        <v>2</v>
      </c>
      <c r="E51" t="str">
        <f t="shared" si="2"/>
        <v>February</v>
      </c>
      <c r="F51" s="128">
        <f t="shared" si="3"/>
        <v>2020</v>
      </c>
      <c r="G51" s="194" t="str">
        <f t="shared" si="4"/>
        <v>2020-02</v>
      </c>
      <c r="H51" s="193">
        <f t="shared" si="5"/>
        <v>43883</v>
      </c>
      <c r="I51">
        <f t="shared" si="6"/>
        <v>8</v>
      </c>
    </row>
    <row r="52" spans="1:9" x14ac:dyDescent="0.3">
      <c r="A52">
        <f t="shared" si="0"/>
        <v>20200218</v>
      </c>
      <c r="B52" s="193">
        <v>43879</v>
      </c>
      <c r="C52" s="196" t="str">
        <f t="shared" si="7"/>
        <v>18 February 2020</v>
      </c>
      <c r="D52">
        <f t="shared" si="1"/>
        <v>2</v>
      </c>
      <c r="E52" t="str">
        <f t="shared" si="2"/>
        <v>February</v>
      </c>
      <c r="F52" s="128">
        <f t="shared" si="3"/>
        <v>2020</v>
      </c>
      <c r="G52" s="194" t="str">
        <f t="shared" si="4"/>
        <v>2020-02</v>
      </c>
      <c r="H52" s="193">
        <f t="shared" si="5"/>
        <v>43883</v>
      </c>
      <c r="I52">
        <f t="shared" si="6"/>
        <v>8</v>
      </c>
    </row>
    <row r="53" spans="1:9" x14ac:dyDescent="0.3">
      <c r="A53">
        <f t="shared" si="0"/>
        <v>20200219</v>
      </c>
      <c r="B53" s="193">
        <v>43880</v>
      </c>
      <c r="C53" s="196" t="str">
        <f t="shared" si="7"/>
        <v>19 February 2020</v>
      </c>
      <c r="D53">
        <f t="shared" si="1"/>
        <v>2</v>
      </c>
      <c r="E53" t="str">
        <f t="shared" si="2"/>
        <v>February</v>
      </c>
      <c r="F53" s="128">
        <f t="shared" si="3"/>
        <v>2020</v>
      </c>
      <c r="G53" s="194" t="str">
        <f t="shared" si="4"/>
        <v>2020-02</v>
      </c>
      <c r="H53" s="193">
        <f t="shared" si="5"/>
        <v>43883</v>
      </c>
      <c r="I53">
        <f t="shared" si="6"/>
        <v>8</v>
      </c>
    </row>
    <row r="54" spans="1:9" x14ac:dyDescent="0.3">
      <c r="A54">
        <f t="shared" si="0"/>
        <v>20200220</v>
      </c>
      <c r="B54" s="193">
        <v>43881</v>
      </c>
      <c r="C54" s="196" t="str">
        <f t="shared" si="7"/>
        <v>20 February 2020</v>
      </c>
      <c r="D54">
        <f t="shared" si="1"/>
        <v>2</v>
      </c>
      <c r="E54" t="str">
        <f t="shared" si="2"/>
        <v>February</v>
      </c>
      <c r="F54" s="128">
        <f t="shared" si="3"/>
        <v>2020</v>
      </c>
      <c r="G54" s="194" t="str">
        <f t="shared" si="4"/>
        <v>2020-02</v>
      </c>
      <c r="H54" s="193">
        <f t="shared" si="5"/>
        <v>43883</v>
      </c>
      <c r="I54">
        <f t="shared" si="6"/>
        <v>8</v>
      </c>
    </row>
    <row r="55" spans="1:9" x14ac:dyDescent="0.3">
      <c r="A55">
        <f t="shared" si="0"/>
        <v>20200221</v>
      </c>
      <c r="B55" s="193">
        <v>43882</v>
      </c>
      <c r="C55" s="196" t="str">
        <f t="shared" si="7"/>
        <v>21 February 2020</v>
      </c>
      <c r="D55">
        <f t="shared" si="1"/>
        <v>2</v>
      </c>
      <c r="E55" t="str">
        <f t="shared" si="2"/>
        <v>February</v>
      </c>
      <c r="F55" s="128">
        <f t="shared" si="3"/>
        <v>2020</v>
      </c>
      <c r="G55" s="194" t="str">
        <f t="shared" si="4"/>
        <v>2020-02</v>
      </c>
      <c r="H55" s="193">
        <f t="shared" si="5"/>
        <v>43883</v>
      </c>
      <c r="I55">
        <f t="shared" si="6"/>
        <v>8</v>
      </c>
    </row>
    <row r="56" spans="1:9" x14ac:dyDescent="0.3">
      <c r="A56">
        <f t="shared" si="0"/>
        <v>20200222</v>
      </c>
      <c r="B56" s="193">
        <v>43883</v>
      </c>
      <c r="C56" s="196" t="str">
        <f t="shared" si="7"/>
        <v>22 February 2020</v>
      </c>
      <c r="D56">
        <f t="shared" si="1"/>
        <v>2</v>
      </c>
      <c r="E56" t="str">
        <f t="shared" si="2"/>
        <v>February</v>
      </c>
      <c r="F56" s="128">
        <f t="shared" si="3"/>
        <v>2020</v>
      </c>
      <c r="G56" s="194" t="str">
        <f t="shared" si="4"/>
        <v>2020-02</v>
      </c>
      <c r="H56" s="193">
        <f t="shared" si="5"/>
        <v>43883</v>
      </c>
      <c r="I56">
        <f t="shared" si="6"/>
        <v>8</v>
      </c>
    </row>
    <row r="57" spans="1:9" x14ac:dyDescent="0.3">
      <c r="A57">
        <f t="shared" si="0"/>
        <v>20200223</v>
      </c>
      <c r="B57" s="193">
        <v>43884</v>
      </c>
      <c r="C57" s="196" t="str">
        <f t="shared" si="7"/>
        <v>23 February 2020</v>
      </c>
      <c r="D57">
        <f t="shared" si="1"/>
        <v>2</v>
      </c>
      <c r="E57" t="str">
        <f t="shared" si="2"/>
        <v>February</v>
      </c>
      <c r="F57" s="128">
        <f t="shared" si="3"/>
        <v>2020</v>
      </c>
      <c r="G57" s="194" t="str">
        <f t="shared" si="4"/>
        <v>2020-02</v>
      </c>
      <c r="H57" s="193">
        <f t="shared" si="5"/>
        <v>43890</v>
      </c>
      <c r="I57">
        <f t="shared" si="6"/>
        <v>8</v>
      </c>
    </row>
    <row r="58" spans="1:9" x14ac:dyDescent="0.3">
      <c r="A58">
        <f t="shared" si="0"/>
        <v>20200224</v>
      </c>
      <c r="B58" s="193">
        <v>43885</v>
      </c>
      <c r="C58" s="196" t="str">
        <f t="shared" si="7"/>
        <v>24 February 2020</v>
      </c>
      <c r="D58">
        <f t="shared" si="1"/>
        <v>2</v>
      </c>
      <c r="E58" t="str">
        <f t="shared" si="2"/>
        <v>February</v>
      </c>
      <c r="F58" s="128">
        <f t="shared" si="3"/>
        <v>2020</v>
      </c>
      <c r="G58" s="194" t="str">
        <f t="shared" si="4"/>
        <v>2020-02</v>
      </c>
      <c r="H58" s="193">
        <f t="shared" si="5"/>
        <v>43890</v>
      </c>
      <c r="I58">
        <f t="shared" si="6"/>
        <v>9</v>
      </c>
    </row>
    <row r="59" spans="1:9" x14ac:dyDescent="0.3">
      <c r="A59">
        <f t="shared" si="0"/>
        <v>20200225</v>
      </c>
      <c r="B59" s="193">
        <v>43886</v>
      </c>
      <c r="C59" s="196" t="str">
        <f t="shared" si="7"/>
        <v>25 February 2020</v>
      </c>
      <c r="D59">
        <f t="shared" si="1"/>
        <v>2</v>
      </c>
      <c r="E59" t="str">
        <f t="shared" si="2"/>
        <v>February</v>
      </c>
      <c r="F59" s="128">
        <f t="shared" si="3"/>
        <v>2020</v>
      </c>
      <c r="G59" s="194" t="str">
        <f t="shared" si="4"/>
        <v>2020-02</v>
      </c>
      <c r="H59" s="193">
        <f t="shared" si="5"/>
        <v>43890</v>
      </c>
      <c r="I59">
        <f t="shared" si="6"/>
        <v>9</v>
      </c>
    </row>
    <row r="60" spans="1:9" x14ac:dyDescent="0.3">
      <c r="A60">
        <f t="shared" si="0"/>
        <v>20200226</v>
      </c>
      <c r="B60" s="193">
        <v>43887</v>
      </c>
      <c r="C60" s="196" t="str">
        <f t="shared" si="7"/>
        <v>26 February 2020</v>
      </c>
      <c r="D60">
        <f t="shared" si="1"/>
        <v>2</v>
      </c>
      <c r="E60" t="str">
        <f t="shared" si="2"/>
        <v>February</v>
      </c>
      <c r="F60" s="128">
        <f t="shared" si="3"/>
        <v>2020</v>
      </c>
      <c r="G60" s="194" t="str">
        <f t="shared" si="4"/>
        <v>2020-02</v>
      </c>
      <c r="H60" s="193">
        <f t="shared" si="5"/>
        <v>43890</v>
      </c>
      <c r="I60">
        <f t="shared" si="6"/>
        <v>9</v>
      </c>
    </row>
    <row r="61" spans="1:9" x14ac:dyDescent="0.3">
      <c r="A61">
        <f t="shared" si="0"/>
        <v>20200227</v>
      </c>
      <c r="B61" s="193">
        <v>43888</v>
      </c>
      <c r="C61" s="196" t="str">
        <f t="shared" si="7"/>
        <v>27 February 2020</v>
      </c>
      <c r="D61">
        <f t="shared" si="1"/>
        <v>2</v>
      </c>
      <c r="E61" t="str">
        <f t="shared" si="2"/>
        <v>February</v>
      </c>
      <c r="F61" s="128">
        <f t="shared" si="3"/>
        <v>2020</v>
      </c>
      <c r="G61" s="194" t="str">
        <f t="shared" si="4"/>
        <v>2020-02</v>
      </c>
      <c r="H61" s="193">
        <f t="shared" si="5"/>
        <v>43890</v>
      </c>
      <c r="I61">
        <f t="shared" si="6"/>
        <v>9</v>
      </c>
    </row>
    <row r="62" spans="1:9" x14ac:dyDescent="0.3">
      <c r="A62">
        <f t="shared" si="0"/>
        <v>20200228</v>
      </c>
      <c r="B62" s="193">
        <v>43889</v>
      </c>
      <c r="C62" s="196" t="str">
        <f t="shared" si="7"/>
        <v>28 February 2020</v>
      </c>
      <c r="D62">
        <f t="shared" si="1"/>
        <v>2</v>
      </c>
      <c r="E62" t="str">
        <f t="shared" si="2"/>
        <v>February</v>
      </c>
      <c r="F62" s="128">
        <f t="shared" si="3"/>
        <v>2020</v>
      </c>
      <c r="G62" s="194" t="str">
        <f t="shared" si="4"/>
        <v>2020-02</v>
      </c>
      <c r="H62" s="193">
        <f t="shared" si="5"/>
        <v>43890</v>
      </c>
      <c r="I62">
        <f t="shared" si="6"/>
        <v>9</v>
      </c>
    </row>
    <row r="63" spans="1:9" x14ac:dyDescent="0.3">
      <c r="A63">
        <f t="shared" si="0"/>
        <v>20200229</v>
      </c>
      <c r="B63" s="193">
        <v>43890</v>
      </c>
      <c r="C63" s="196" t="str">
        <f t="shared" si="7"/>
        <v>29 February 2020</v>
      </c>
      <c r="D63">
        <f t="shared" si="1"/>
        <v>2</v>
      </c>
      <c r="E63" t="str">
        <f t="shared" si="2"/>
        <v>February</v>
      </c>
      <c r="F63" s="128">
        <f t="shared" si="3"/>
        <v>2020</v>
      </c>
      <c r="G63" s="194" t="str">
        <f t="shared" si="4"/>
        <v>2020-02</v>
      </c>
      <c r="H63" s="193">
        <f t="shared" si="5"/>
        <v>43890</v>
      </c>
      <c r="I63">
        <f t="shared" si="6"/>
        <v>9</v>
      </c>
    </row>
    <row r="64" spans="1:9" x14ac:dyDescent="0.3">
      <c r="A64">
        <f t="shared" si="0"/>
        <v>20200301</v>
      </c>
      <c r="B64" s="193">
        <v>43891</v>
      </c>
      <c r="C64" s="196" t="str">
        <f t="shared" si="7"/>
        <v>01 March 2020</v>
      </c>
      <c r="D64">
        <f t="shared" si="1"/>
        <v>3</v>
      </c>
      <c r="E64" t="str">
        <f t="shared" si="2"/>
        <v>March</v>
      </c>
      <c r="F64" s="128">
        <f t="shared" si="3"/>
        <v>2020</v>
      </c>
      <c r="G64" s="194" t="str">
        <f t="shared" si="4"/>
        <v>2020-03</v>
      </c>
      <c r="H64" s="193">
        <f t="shared" si="5"/>
        <v>43897</v>
      </c>
      <c r="I64">
        <f t="shared" si="6"/>
        <v>9</v>
      </c>
    </row>
    <row r="65" spans="1:9" x14ac:dyDescent="0.3">
      <c r="A65">
        <f t="shared" si="0"/>
        <v>20200302</v>
      </c>
      <c r="B65" s="193">
        <v>43892</v>
      </c>
      <c r="C65" s="196" t="str">
        <f t="shared" si="7"/>
        <v>02 March 2020</v>
      </c>
      <c r="D65">
        <f t="shared" si="1"/>
        <v>3</v>
      </c>
      <c r="E65" t="str">
        <f t="shared" si="2"/>
        <v>March</v>
      </c>
      <c r="F65" s="128">
        <f t="shared" si="3"/>
        <v>2020</v>
      </c>
      <c r="G65" s="194" t="str">
        <f t="shared" si="4"/>
        <v>2020-03</v>
      </c>
      <c r="H65" s="193">
        <f t="shared" si="5"/>
        <v>43897</v>
      </c>
      <c r="I65">
        <f t="shared" si="6"/>
        <v>10</v>
      </c>
    </row>
    <row r="66" spans="1:9" x14ac:dyDescent="0.3">
      <c r="A66">
        <f t="shared" si="0"/>
        <v>20200303</v>
      </c>
      <c r="B66" s="193">
        <v>43893</v>
      </c>
      <c r="C66" s="196" t="str">
        <f t="shared" si="7"/>
        <v>03 March 2020</v>
      </c>
      <c r="D66">
        <f t="shared" si="1"/>
        <v>3</v>
      </c>
      <c r="E66" t="str">
        <f t="shared" si="2"/>
        <v>March</v>
      </c>
      <c r="F66" s="128">
        <f t="shared" si="3"/>
        <v>2020</v>
      </c>
      <c r="G66" s="194" t="str">
        <f t="shared" si="4"/>
        <v>2020-03</v>
      </c>
      <c r="H66" s="193">
        <f t="shared" si="5"/>
        <v>43897</v>
      </c>
      <c r="I66">
        <f t="shared" si="6"/>
        <v>10</v>
      </c>
    </row>
    <row r="67" spans="1:9" x14ac:dyDescent="0.3">
      <c r="A67">
        <f t="shared" ref="A67:A130" si="8">YEAR(B67)*10000+MONTH(B67)*100+DAY(B67)</f>
        <v>20200304</v>
      </c>
      <c r="B67" s="193">
        <v>43894</v>
      </c>
      <c r="C67" s="196" t="str">
        <f t="shared" si="7"/>
        <v>04 March 2020</v>
      </c>
      <c r="D67">
        <f t="shared" ref="D67:D130" si="9">MONTH(B67)</f>
        <v>3</v>
      </c>
      <c r="E67" t="str">
        <f t="shared" ref="E67:E130" si="10">TEXT(B67,"MMMM")</f>
        <v>March</v>
      </c>
      <c r="F67" s="128">
        <f t="shared" ref="F67:F130" si="11">YEAR(B67)</f>
        <v>2020</v>
      </c>
      <c r="G67" s="194" t="str">
        <f t="shared" ref="G67:G130" si="12">TEXT(B67,"YYYY-MM")</f>
        <v>2020-03</v>
      </c>
      <c r="H67" s="193">
        <f t="shared" ref="H67:H130" si="13">B67-WEEKDAY(B67)+7</f>
        <v>43897</v>
      </c>
      <c r="I67">
        <f t="shared" ref="I67:I130" si="14">WEEKNUM(B67,2)</f>
        <v>10</v>
      </c>
    </row>
    <row r="68" spans="1:9" x14ac:dyDescent="0.3">
      <c r="A68">
        <f t="shared" si="8"/>
        <v>20200305</v>
      </c>
      <c r="B68" s="193">
        <v>43895</v>
      </c>
      <c r="C68" s="196" t="str">
        <f t="shared" ref="C68:C131" si="15">TEXT(B68,"dd MMMM YYYY")</f>
        <v>05 March 2020</v>
      </c>
      <c r="D68">
        <f t="shared" si="9"/>
        <v>3</v>
      </c>
      <c r="E68" t="str">
        <f t="shared" si="10"/>
        <v>March</v>
      </c>
      <c r="F68" s="128">
        <f t="shared" si="11"/>
        <v>2020</v>
      </c>
      <c r="G68" s="194" t="str">
        <f t="shared" si="12"/>
        <v>2020-03</v>
      </c>
      <c r="H68" s="193">
        <f t="shared" si="13"/>
        <v>43897</v>
      </c>
      <c r="I68">
        <f t="shared" si="14"/>
        <v>10</v>
      </c>
    </row>
    <row r="69" spans="1:9" x14ac:dyDescent="0.3">
      <c r="A69">
        <f t="shared" si="8"/>
        <v>20200306</v>
      </c>
      <c r="B69" s="193">
        <v>43896</v>
      </c>
      <c r="C69" s="196" t="str">
        <f t="shared" si="15"/>
        <v>06 March 2020</v>
      </c>
      <c r="D69">
        <f t="shared" si="9"/>
        <v>3</v>
      </c>
      <c r="E69" t="str">
        <f t="shared" si="10"/>
        <v>March</v>
      </c>
      <c r="F69" s="128">
        <f t="shared" si="11"/>
        <v>2020</v>
      </c>
      <c r="G69" s="194" t="str">
        <f t="shared" si="12"/>
        <v>2020-03</v>
      </c>
      <c r="H69" s="193">
        <f t="shared" si="13"/>
        <v>43897</v>
      </c>
      <c r="I69">
        <f t="shared" si="14"/>
        <v>10</v>
      </c>
    </row>
    <row r="70" spans="1:9" x14ac:dyDescent="0.3">
      <c r="A70">
        <f t="shared" si="8"/>
        <v>20200307</v>
      </c>
      <c r="B70" s="193">
        <v>43897</v>
      </c>
      <c r="C70" s="196" t="str">
        <f t="shared" si="15"/>
        <v>07 March 2020</v>
      </c>
      <c r="D70">
        <f t="shared" si="9"/>
        <v>3</v>
      </c>
      <c r="E70" t="str">
        <f t="shared" si="10"/>
        <v>March</v>
      </c>
      <c r="F70" s="128">
        <f t="shared" si="11"/>
        <v>2020</v>
      </c>
      <c r="G70" s="194" t="str">
        <f t="shared" si="12"/>
        <v>2020-03</v>
      </c>
      <c r="H70" s="193">
        <f t="shared" si="13"/>
        <v>43897</v>
      </c>
      <c r="I70">
        <f t="shared" si="14"/>
        <v>10</v>
      </c>
    </row>
    <row r="71" spans="1:9" x14ac:dyDescent="0.3">
      <c r="A71">
        <f t="shared" si="8"/>
        <v>20200308</v>
      </c>
      <c r="B71" s="193">
        <v>43898</v>
      </c>
      <c r="C71" s="196" t="str">
        <f t="shared" si="15"/>
        <v>08 March 2020</v>
      </c>
      <c r="D71">
        <f t="shared" si="9"/>
        <v>3</v>
      </c>
      <c r="E71" t="str">
        <f t="shared" si="10"/>
        <v>March</v>
      </c>
      <c r="F71" s="128">
        <f t="shared" si="11"/>
        <v>2020</v>
      </c>
      <c r="G71" s="194" t="str">
        <f t="shared" si="12"/>
        <v>2020-03</v>
      </c>
      <c r="H71" s="193">
        <f t="shared" si="13"/>
        <v>43904</v>
      </c>
      <c r="I71">
        <f t="shared" si="14"/>
        <v>10</v>
      </c>
    </row>
    <row r="72" spans="1:9" x14ac:dyDescent="0.3">
      <c r="A72">
        <f t="shared" si="8"/>
        <v>20200309</v>
      </c>
      <c r="B72" s="193">
        <v>43899</v>
      </c>
      <c r="C72" s="196" t="str">
        <f t="shared" si="15"/>
        <v>09 March 2020</v>
      </c>
      <c r="D72">
        <f t="shared" si="9"/>
        <v>3</v>
      </c>
      <c r="E72" t="str">
        <f t="shared" si="10"/>
        <v>March</v>
      </c>
      <c r="F72" s="128">
        <f t="shared" si="11"/>
        <v>2020</v>
      </c>
      <c r="G72" s="194" t="str">
        <f t="shared" si="12"/>
        <v>2020-03</v>
      </c>
      <c r="H72" s="193">
        <f t="shared" si="13"/>
        <v>43904</v>
      </c>
      <c r="I72">
        <f t="shared" si="14"/>
        <v>11</v>
      </c>
    </row>
    <row r="73" spans="1:9" x14ac:dyDescent="0.3">
      <c r="A73">
        <f t="shared" si="8"/>
        <v>20200310</v>
      </c>
      <c r="B73" s="193">
        <v>43900</v>
      </c>
      <c r="C73" s="196" t="str">
        <f t="shared" si="15"/>
        <v>10 March 2020</v>
      </c>
      <c r="D73">
        <f t="shared" si="9"/>
        <v>3</v>
      </c>
      <c r="E73" t="str">
        <f t="shared" si="10"/>
        <v>March</v>
      </c>
      <c r="F73" s="128">
        <f t="shared" si="11"/>
        <v>2020</v>
      </c>
      <c r="G73" s="194" t="str">
        <f t="shared" si="12"/>
        <v>2020-03</v>
      </c>
      <c r="H73" s="193">
        <f t="shared" si="13"/>
        <v>43904</v>
      </c>
      <c r="I73">
        <f t="shared" si="14"/>
        <v>11</v>
      </c>
    </row>
    <row r="74" spans="1:9" x14ac:dyDescent="0.3">
      <c r="A74">
        <f t="shared" si="8"/>
        <v>20200311</v>
      </c>
      <c r="B74" s="193">
        <v>43901</v>
      </c>
      <c r="C74" s="196" t="str">
        <f t="shared" si="15"/>
        <v>11 March 2020</v>
      </c>
      <c r="D74">
        <f t="shared" si="9"/>
        <v>3</v>
      </c>
      <c r="E74" t="str">
        <f t="shared" si="10"/>
        <v>March</v>
      </c>
      <c r="F74" s="128">
        <f t="shared" si="11"/>
        <v>2020</v>
      </c>
      <c r="G74" s="194" t="str">
        <f t="shared" si="12"/>
        <v>2020-03</v>
      </c>
      <c r="H74" s="193">
        <f t="shared" si="13"/>
        <v>43904</v>
      </c>
      <c r="I74">
        <f t="shared" si="14"/>
        <v>11</v>
      </c>
    </row>
    <row r="75" spans="1:9" x14ac:dyDescent="0.3">
      <c r="A75">
        <f t="shared" si="8"/>
        <v>20200312</v>
      </c>
      <c r="B75" s="193">
        <v>43902</v>
      </c>
      <c r="C75" s="196" t="str">
        <f t="shared" si="15"/>
        <v>12 March 2020</v>
      </c>
      <c r="D75">
        <f t="shared" si="9"/>
        <v>3</v>
      </c>
      <c r="E75" t="str">
        <f t="shared" si="10"/>
        <v>March</v>
      </c>
      <c r="F75" s="128">
        <f t="shared" si="11"/>
        <v>2020</v>
      </c>
      <c r="G75" s="194" t="str">
        <f t="shared" si="12"/>
        <v>2020-03</v>
      </c>
      <c r="H75" s="193">
        <f t="shared" si="13"/>
        <v>43904</v>
      </c>
      <c r="I75">
        <f t="shared" si="14"/>
        <v>11</v>
      </c>
    </row>
    <row r="76" spans="1:9" x14ac:dyDescent="0.3">
      <c r="A76">
        <f t="shared" si="8"/>
        <v>20200313</v>
      </c>
      <c r="B76" s="193">
        <v>43903</v>
      </c>
      <c r="C76" s="196" t="str">
        <f t="shared" si="15"/>
        <v>13 March 2020</v>
      </c>
      <c r="D76">
        <f t="shared" si="9"/>
        <v>3</v>
      </c>
      <c r="E76" t="str">
        <f t="shared" si="10"/>
        <v>March</v>
      </c>
      <c r="F76" s="128">
        <f t="shared" si="11"/>
        <v>2020</v>
      </c>
      <c r="G76" s="194" t="str">
        <f t="shared" si="12"/>
        <v>2020-03</v>
      </c>
      <c r="H76" s="193">
        <f t="shared" si="13"/>
        <v>43904</v>
      </c>
      <c r="I76">
        <f t="shared" si="14"/>
        <v>11</v>
      </c>
    </row>
    <row r="77" spans="1:9" x14ac:dyDescent="0.3">
      <c r="A77">
        <f t="shared" si="8"/>
        <v>20200314</v>
      </c>
      <c r="B77" s="193">
        <v>43904</v>
      </c>
      <c r="C77" s="196" t="str">
        <f t="shared" si="15"/>
        <v>14 March 2020</v>
      </c>
      <c r="D77">
        <f t="shared" si="9"/>
        <v>3</v>
      </c>
      <c r="E77" t="str">
        <f t="shared" si="10"/>
        <v>March</v>
      </c>
      <c r="F77" s="128">
        <f t="shared" si="11"/>
        <v>2020</v>
      </c>
      <c r="G77" s="194" t="str">
        <f t="shared" si="12"/>
        <v>2020-03</v>
      </c>
      <c r="H77" s="193">
        <f t="shared" si="13"/>
        <v>43904</v>
      </c>
      <c r="I77">
        <f t="shared" si="14"/>
        <v>11</v>
      </c>
    </row>
    <row r="78" spans="1:9" x14ac:dyDescent="0.3">
      <c r="A78">
        <f t="shared" si="8"/>
        <v>20200315</v>
      </c>
      <c r="B78" s="193">
        <v>43905</v>
      </c>
      <c r="C78" s="196" t="str">
        <f t="shared" si="15"/>
        <v>15 March 2020</v>
      </c>
      <c r="D78">
        <f t="shared" si="9"/>
        <v>3</v>
      </c>
      <c r="E78" t="str">
        <f t="shared" si="10"/>
        <v>March</v>
      </c>
      <c r="F78" s="128">
        <f t="shared" si="11"/>
        <v>2020</v>
      </c>
      <c r="G78" s="194" t="str">
        <f t="shared" si="12"/>
        <v>2020-03</v>
      </c>
      <c r="H78" s="193">
        <f t="shared" si="13"/>
        <v>43911</v>
      </c>
      <c r="I78">
        <f t="shared" si="14"/>
        <v>11</v>
      </c>
    </row>
    <row r="79" spans="1:9" x14ac:dyDescent="0.3">
      <c r="A79">
        <f t="shared" si="8"/>
        <v>20200316</v>
      </c>
      <c r="B79" s="193">
        <v>43906</v>
      </c>
      <c r="C79" s="196" t="str">
        <f t="shared" si="15"/>
        <v>16 March 2020</v>
      </c>
      <c r="D79">
        <f t="shared" si="9"/>
        <v>3</v>
      </c>
      <c r="E79" t="str">
        <f t="shared" si="10"/>
        <v>March</v>
      </c>
      <c r="F79" s="128">
        <f t="shared" si="11"/>
        <v>2020</v>
      </c>
      <c r="G79" s="194" t="str">
        <f t="shared" si="12"/>
        <v>2020-03</v>
      </c>
      <c r="H79" s="193">
        <f t="shared" si="13"/>
        <v>43911</v>
      </c>
      <c r="I79">
        <f t="shared" si="14"/>
        <v>12</v>
      </c>
    </row>
    <row r="80" spans="1:9" x14ac:dyDescent="0.3">
      <c r="A80">
        <f t="shared" si="8"/>
        <v>20200317</v>
      </c>
      <c r="B80" s="193">
        <v>43907</v>
      </c>
      <c r="C80" s="196" t="str">
        <f t="shared" si="15"/>
        <v>17 March 2020</v>
      </c>
      <c r="D80">
        <f t="shared" si="9"/>
        <v>3</v>
      </c>
      <c r="E80" t="str">
        <f t="shared" si="10"/>
        <v>March</v>
      </c>
      <c r="F80" s="128">
        <f t="shared" si="11"/>
        <v>2020</v>
      </c>
      <c r="G80" s="194" t="str">
        <f t="shared" si="12"/>
        <v>2020-03</v>
      </c>
      <c r="H80" s="193">
        <f t="shared" si="13"/>
        <v>43911</v>
      </c>
      <c r="I80">
        <f t="shared" si="14"/>
        <v>12</v>
      </c>
    </row>
    <row r="81" spans="1:9" x14ac:dyDescent="0.3">
      <c r="A81">
        <f t="shared" si="8"/>
        <v>20200318</v>
      </c>
      <c r="B81" s="193">
        <v>43908</v>
      </c>
      <c r="C81" s="196" t="str">
        <f t="shared" si="15"/>
        <v>18 March 2020</v>
      </c>
      <c r="D81">
        <f t="shared" si="9"/>
        <v>3</v>
      </c>
      <c r="E81" t="str">
        <f t="shared" si="10"/>
        <v>March</v>
      </c>
      <c r="F81" s="128">
        <f t="shared" si="11"/>
        <v>2020</v>
      </c>
      <c r="G81" s="194" t="str">
        <f t="shared" si="12"/>
        <v>2020-03</v>
      </c>
      <c r="H81" s="193">
        <f t="shared" si="13"/>
        <v>43911</v>
      </c>
      <c r="I81">
        <f t="shared" si="14"/>
        <v>12</v>
      </c>
    </row>
    <row r="82" spans="1:9" x14ac:dyDescent="0.3">
      <c r="A82">
        <f t="shared" si="8"/>
        <v>20200319</v>
      </c>
      <c r="B82" s="193">
        <v>43909</v>
      </c>
      <c r="C82" s="196" t="str">
        <f t="shared" si="15"/>
        <v>19 March 2020</v>
      </c>
      <c r="D82">
        <f t="shared" si="9"/>
        <v>3</v>
      </c>
      <c r="E82" t="str">
        <f t="shared" si="10"/>
        <v>March</v>
      </c>
      <c r="F82" s="128">
        <f t="shared" si="11"/>
        <v>2020</v>
      </c>
      <c r="G82" s="194" t="str">
        <f t="shared" si="12"/>
        <v>2020-03</v>
      </c>
      <c r="H82" s="193">
        <f t="shared" si="13"/>
        <v>43911</v>
      </c>
      <c r="I82">
        <f t="shared" si="14"/>
        <v>12</v>
      </c>
    </row>
    <row r="83" spans="1:9" x14ac:dyDescent="0.3">
      <c r="A83">
        <f t="shared" si="8"/>
        <v>20200320</v>
      </c>
      <c r="B83" s="193">
        <v>43910</v>
      </c>
      <c r="C83" s="196" t="str">
        <f t="shared" si="15"/>
        <v>20 March 2020</v>
      </c>
      <c r="D83">
        <f t="shared" si="9"/>
        <v>3</v>
      </c>
      <c r="E83" t="str">
        <f t="shared" si="10"/>
        <v>March</v>
      </c>
      <c r="F83" s="128">
        <f t="shared" si="11"/>
        <v>2020</v>
      </c>
      <c r="G83" s="194" t="str">
        <f t="shared" si="12"/>
        <v>2020-03</v>
      </c>
      <c r="H83" s="193">
        <f t="shared" si="13"/>
        <v>43911</v>
      </c>
      <c r="I83">
        <f t="shared" si="14"/>
        <v>12</v>
      </c>
    </row>
    <row r="84" spans="1:9" x14ac:dyDescent="0.3">
      <c r="A84">
        <f t="shared" si="8"/>
        <v>20200321</v>
      </c>
      <c r="B84" s="193">
        <v>43911</v>
      </c>
      <c r="C84" s="196" t="str">
        <f t="shared" si="15"/>
        <v>21 March 2020</v>
      </c>
      <c r="D84">
        <f t="shared" si="9"/>
        <v>3</v>
      </c>
      <c r="E84" t="str">
        <f t="shared" si="10"/>
        <v>March</v>
      </c>
      <c r="F84" s="128">
        <f t="shared" si="11"/>
        <v>2020</v>
      </c>
      <c r="G84" s="194" t="str">
        <f t="shared" si="12"/>
        <v>2020-03</v>
      </c>
      <c r="H84" s="193">
        <f t="shared" si="13"/>
        <v>43911</v>
      </c>
      <c r="I84">
        <f t="shared" si="14"/>
        <v>12</v>
      </c>
    </row>
    <row r="85" spans="1:9" x14ac:dyDescent="0.3">
      <c r="A85">
        <f t="shared" si="8"/>
        <v>20200322</v>
      </c>
      <c r="B85" s="193">
        <v>43912</v>
      </c>
      <c r="C85" s="196" t="str">
        <f t="shared" si="15"/>
        <v>22 March 2020</v>
      </c>
      <c r="D85">
        <f t="shared" si="9"/>
        <v>3</v>
      </c>
      <c r="E85" t="str">
        <f t="shared" si="10"/>
        <v>March</v>
      </c>
      <c r="F85" s="128">
        <f t="shared" si="11"/>
        <v>2020</v>
      </c>
      <c r="G85" s="194" t="str">
        <f t="shared" si="12"/>
        <v>2020-03</v>
      </c>
      <c r="H85" s="193">
        <f t="shared" si="13"/>
        <v>43918</v>
      </c>
      <c r="I85">
        <f t="shared" si="14"/>
        <v>12</v>
      </c>
    </row>
    <row r="86" spans="1:9" x14ac:dyDescent="0.3">
      <c r="A86">
        <f t="shared" si="8"/>
        <v>20200323</v>
      </c>
      <c r="B86" s="193">
        <v>43913</v>
      </c>
      <c r="C86" s="196" t="str">
        <f t="shared" si="15"/>
        <v>23 March 2020</v>
      </c>
      <c r="D86">
        <f t="shared" si="9"/>
        <v>3</v>
      </c>
      <c r="E86" t="str">
        <f t="shared" si="10"/>
        <v>March</v>
      </c>
      <c r="F86" s="128">
        <f t="shared" si="11"/>
        <v>2020</v>
      </c>
      <c r="G86" s="194" t="str">
        <f t="shared" si="12"/>
        <v>2020-03</v>
      </c>
      <c r="H86" s="193">
        <f t="shared" si="13"/>
        <v>43918</v>
      </c>
      <c r="I86">
        <f t="shared" si="14"/>
        <v>13</v>
      </c>
    </row>
    <row r="87" spans="1:9" x14ac:dyDescent="0.3">
      <c r="A87">
        <f t="shared" si="8"/>
        <v>20200324</v>
      </c>
      <c r="B87" s="193">
        <v>43914</v>
      </c>
      <c r="C87" s="196" t="str">
        <f t="shared" si="15"/>
        <v>24 March 2020</v>
      </c>
      <c r="D87">
        <f t="shared" si="9"/>
        <v>3</v>
      </c>
      <c r="E87" t="str">
        <f t="shared" si="10"/>
        <v>March</v>
      </c>
      <c r="F87" s="128">
        <f t="shared" si="11"/>
        <v>2020</v>
      </c>
      <c r="G87" s="194" t="str">
        <f t="shared" si="12"/>
        <v>2020-03</v>
      </c>
      <c r="H87" s="193">
        <f t="shared" si="13"/>
        <v>43918</v>
      </c>
      <c r="I87">
        <f t="shared" si="14"/>
        <v>13</v>
      </c>
    </row>
    <row r="88" spans="1:9" x14ac:dyDescent="0.3">
      <c r="A88">
        <f t="shared" si="8"/>
        <v>20200325</v>
      </c>
      <c r="B88" s="193">
        <v>43915</v>
      </c>
      <c r="C88" s="196" t="str">
        <f t="shared" si="15"/>
        <v>25 March 2020</v>
      </c>
      <c r="D88">
        <f t="shared" si="9"/>
        <v>3</v>
      </c>
      <c r="E88" t="str">
        <f t="shared" si="10"/>
        <v>March</v>
      </c>
      <c r="F88" s="128">
        <f t="shared" si="11"/>
        <v>2020</v>
      </c>
      <c r="G88" s="194" t="str">
        <f t="shared" si="12"/>
        <v>2020-03</v>
      </c>
      <c r="H88" s="193">
        <f t="shared" si="13"/>
        <v>43918</v>
      </c>
      <c r="I88">
        <f t="shared" si="14"/>
        <v>13</v>
      </c>
    </row>
    <row r="89" spans="1:9" x14ac:dyDescent="0.3">
      <c r="A89">
        <f t="shared" si="8"/>
        <v>20200326</v>
      </c>
      <c r="B89" s="193">
        <v>43916</v>
      </c>
      <c r="C89" s="196" t="str">
        <f t="shared" si="15"/>
        <v>26 March 2020</v>
      </c>
      <c r="D89">
        <f t="shared" si="9"/>
        <v>3</v>
      </c>
      <c r="E89" t="str">
        <f t="shared" si="10"/>
        <v>March</v>
      </c>
      <c r="F89" s="128">
        <f t="shared" si="11"/>
        <v>2020</v>
      </c>
      <c r="G89" s="194" t="str">
        <f t="shared" si="12"/>
        <v>2020-03</v>
      </c>
      <c r="H89" s="193">
        <f t="shared" si="13"/>
        <v>43918</v>
      </c>
      <c r="I89">
        <f t="shared" si="14"/>
        <v>13</v>
      </c>
    </row>
    <row r="90" spans="1:9" x14ac:dyDescent="0.3">
      <c r="A90">
        <f t="shared" si="8"/>
        <v>20200327</v>
      </c>
      <c r="B90" s="193">
        <v>43917</v>
      </c>
      <c r="C90" s="196" t="str">
        <f t="shared" si="15"/>
        <v>27 March 2020</v>
      </c>
      <c r="D90">
        <f t="shared" si="9"/>
        <v>3</v>
      </c>
      <c r="E90" t="str">
        <f t="shared" si="10"/>
        <v>March</v>
      </c>
      <c r="F90" s="128">
        <f t="shared" si="11"/>
        <v>2020</v>
      </c>
      <c r="G90" s="194" t="str">
        <f t="shared" si="12"/>
        <v>2020-03</v>
      </c>
      <c r="H90" s="193">
        <f t="shared" si="13"/>
        <v>43918</v>
      </c>
      <c r="I90">
        <f t="shared" si="14"/>
        <v>13</v>
      </c>
    </row>
    <row r="91" spans="1:9" x14ac:dyDescent="0.3">
      <c r="A91">
        <f t="shared" si="8"/>
        <v>20200328</v>
      </c>
      <c r="B91" s="193">
        <v>43918</v>
      </c>
      <c r="C91" s="196" t="str">
        <f t="shared" si="15"/>
        <v>28 March 2020</v>
      </c>
      <c r="D91">
        <f t="shared" si="9"/>
        <v>3</v>
      </c>
      <c r="E91" t="str">
        <f t="shared" si="10"/>
        <v>March</v>
      </c>
      <c r="F91" s="128">
        <f t="shared" si="11"/>
        <v>2020</v>
      </c>
      <c r="G91" s="194" t="str">
        <f t="shared" si="12"/>
        <v>2020-03</v>
      </c>
      <c r="H91" s="193">
        <f t="shared" si="13"/>
        <v>43918</v>
      </c>
      <c r="I91">
        <f t="shared" si="14"/>
        <v>13</v>
      </c>
    </row>
    <row r="92" spans="1:9" x14ac:dyDescent="0.3">
      <c r="A92">
        <f t="shared" si="8"/>
        <v>20200329</v>
      </c>
      <c r="B92" s="193">
        <v>43919</v>
      </c>
      <c r="C92" s="196" t="str">
        <f t="shared" si="15"/>
        <v>29 March 2020</v>
      </c>
      <c r="D92">
        <f t="shared" si="9"/>
        <v>3</v>
      </c>
      <c r="E92" t="str">
        <f t="shared" si="10"/>
        <v>March</v>
      </c>
      <c r="F92" s="128">
        <f t="shared" si="11"/>
        <v>2020</v>
      </c>
      <c r="G92" s="194" t="str">
        <f t="shared" si="12"/>
        <v>2020-03</v>
      </c>
      <c r="H92" s="193">
        <f t="shared" si="13"/>
        <v>43925</v>
      </c>
      <c r="I92">
        <f t="shared" si="14"/>
        <v>13</v>
      </c>
    </row>
    <row r="93" spans="1:9" x14ac:dyDescent="0.3">
      <c r="A93">
        <f t="shared" si="8"/>
        <v>20200330</v>
      </c>
      <c r="B93" s="193">
        <v>43920</v>
      </c>
      <c r="C93" s="196" t="str">
        <f t="shared" si="15"/>
        <v>30 March 2020</v>
      </c>
      <c r="D93">
        <f t="shared" si="9"/>
        <v>3</v>
      </c>
      <c r="E93" t="str">
        <f t="shared" si="10"/>
        <v>March</v>
      </c>
      <c r="F93" s="128">
        <f t="shared" si="11"/>
        <v>2020</v>
      </c>
      <c r="G93" s="194" t="str">
        <f t="shared" si="12"/>
        <v>2020-03</v>
      </c>
      <c r="H93" s="193">
        <f t="shared" si="13"/>
        <v>43925</v>
      </c>
      <c r="I93">
        <f t="shared" si="14"/>
        <v>14</v>
      </c>
    </row>
    <row r="94" spans="1:9" x14ac:dyDescent="0.3">
      <c r="A94">
        <f t="shared" si="8"/>
        <v>20200331</v>
      </c>
      <c r="B94" s="193">
        <v>43921</v>
      </c>
      <c r="C94" s="196" t="str">
        <f t="shared" si="15"/>
        <v>31 March 2020</v>
      </c>
      <c r="D94">
        <f t="shared" si="9"/>
        <v>3</v>
      </c>
      <c r="E94" t="str">
        <f t="shared" si="10"/>
        <v>March</v>
      </c>
      <c r="F94" s="128">
        <f t="shared" si="11"/>
        <v>2020</v>
      </c>
      <c r="G94" s="194" t="str">
        <f t="shared" si="12"/>
        <v>2020-03</v>
      </c>
      <c r="H94" s="193">
        <f t="shared" si="13"/>
        <v>43925</v>
      </c>
      <c r="I94">
        <f t="shared" si="14"/>
        <v>14</v>
      </c>
    </row>
    <row r="95" spans="1:9" x14ac:dyDescent="0.3">
      <c r="A95">
        <f t="shared" si="8"/>
        <v>20200401</v>
      </c>
      <c r="B95" s="193">
        <v>43922</v>
      </c>
      <c r="C95" s="196" t="str">
        <f t="shared" si="15"/>
        <v>01 April 2020</v>
      </c>
      <c r="D95">
        <f t="shared" si="9"/>
        <v>4</v>
      </c>
      <c r="E95" t="str">
        <f t="shared" si="10"/>
        <v>April</v>
      </c>
      <c r="F95" s="128">
        <f t="shared" si="11"/>
        <v>2020</v>
      </c>
      <c r="G95" s="194" t="str">
        <f t="shared" si="12"/>
        <v>2020-04</v>
      </c>
      <c r="H95" s="193">
        <f t="shared" si="13"/>
        <v>43925</v>
      </c>
      <c r="I95">
        <f t="shared" si="14"/>
        <v>14</v>
      </c>
    </row>
    <row r="96" spans="1:9" x14ac:dyDescent="0.3">
      <c r="A96">
        <f t="shared" si="8"/>
        <v>20200402</v>
      </c>
      <c r="B96" s="193">
        <v>43923</v>
      </c>
      <c r="C96" s="196" t="str">
        <f t="shared" si="15"/>
        <v>02 April 2020</v>
      </c>
      <c r="D96">
        <f t="shared" si="9"/>
        <v>4</v>
      </c>
      <c r="E96" t="str">
        <f t="shared" si="10"/>
        <v>April</v>
      </c>
      <c r="F96" s="128">
        <f t="shared" si="11"/>
        <v>2020</v>
      </c>
      <c r="G96" s="194" t="str">
        <f t="shared" si="12"/>
        <v>2020-04</v>
      </c>
      <c r="H96" s="193">
        <f t="shared" si="13"/>
        <v>43925</v>
      </c>
      <c r="I96">
        <f t="shared" si="14"/>
        <v>14</v>
      </c>
    </row>
    <row r="97" spans="1:9" x14ac:dyDescent="0.3">
      <c r="A97">
        <f t="shared" si="8"/>
        <v>20200403</v>
      </c>
      <c r="B97" s="193">
        <v>43924</v>
      </c>
      <c r="C97" s="196" t="str">
        <f t="shared" si="15"/>
        <v>03 April 2020</v>
      </c>
      <c r="D97">
        <f t="shared" si="9"/>
        <v>4</v>
      </c>
      <c r="E97" t="str">
        <f t="shared" si="10"/>
        <v>April</v>
      </c>
      <c r="F97" s="128">
        <f t="shared" si="11"/>
        <v>2020</v>
      </c>
      <c r="G97" s="194" t="str">
        <f t="shared" si="12"/>
        <v>2020-04</v>
      </c>
      <c r="H97" s="193">
        <f t="shared" si="13"/>
        <v>43925</v>
      </c>
      <c r="I97">
        <f t="shared" si="14"/>
        <v>14</v>
      </c>
    </row>
    <row r="98" spans="1:9" x14ac:dyDescent="0.3">
      <c r="A98">
        <f t="shared" si="8"/>
        <v>20200404</v>
      </c>
      <c r="B98" s="193">
        <v>43925</v>
      </c>
      <c r="C98" s="196" t="str">
        <f t="shared" si="15"/>
        <v>04 April 2020</v>
      </c>
      <c r="D98">
        <f t="shared" si="9"/>
        <v>4</v>
      </c>
      <c r="E98" t="str">
        <f t="shared" si="10"/>
        <v>April</v>
      </c>
      <c r="F98" s="128">
        <f t="shared" si="11"/>
        <v>2020</v>
      </c>
      <c r="G98" s="194" t="str">
        <f t="shared" si="12"/>
        <v>2020-04</v>
      </c>
      <c r="H98" s="193">
        <f t="shared" si="13"/>
        <v>43925</v>
      </c>
      <c r="I98">
        <f t="shared" si="14"/>
        <v>14</v>
      </c>
    </row>
    <row r="99" spans="1:9" x14ac:dyDescent="0.3">
      <c r="A99">
        <f t="shared" si="8"/>
        <v>20200405</v>
      </c>
      <c r="B99" s="193">
        <v>43926</v>
      </c>
      <c r="C99" s="196" t="str">
        <f t="shared" si="15"/>
        <v>05 April 2020</v>
      </c>
      <c r="D99">
        <f t="shared" si="9"/>
        <v>4</v>
      </c>
      <c r="E99" t="str">
        <f t="shared" si="10"/>
        <v>April</v>
      </c>
      <c r="F99" s="128">
        <f t="shared" si="11"/>
        <v>2020</v>
      </c>
      <c r="G99" s="194" t="str">
        <f t="shared" si="12"/>
        <v>2020-04</v>
      </c>
      <c r="H99" s="193">
        <f t="shared" si="13"/>
        <v>43932</v>
      </c>
      <c r="I99">
        <f t="shared" si="14"/>
        <v>14</v>
      </c>
    </row>
    <row r="100" spans="1:9" x14ac:dyDescent="0.3">
      <c r="A100">
        <f t="shared" si="8"/>
        <v>20200406</v>
      </c>
      <c r="B100" s="193">
        <v>43927</v>
      </c>
      <c r="C100" s="196" t="str">
        <f t="shared" si="15"/>
        <v>06 April 2020</v>
      </c>
      <c r="D100">
        <f t="shared" si="9"/>
        <v>4</v>
      </c>
      <c r="E100" t="str">
        <f t="shared" si="10"/>
        <v>April</v>
      </c>
      <c r="F100" s="128">
        <f t="shared" si="11"/>
        <v>2020</v>
      </c>
      <c r="G100" s="194" t="str">
        <f t="shared" si="12"/>
        <v>2020-04</v>
      </c>
      <c r="H100" s="193">
        <f t="shared" si="13"/>
        <v>43932</v>
      </c>
      <c r="I100">
        <f t="shared" si="14"/>
        <v>15</v>
      </c>
    </row>
    <row r="101" spans="1:9" x14ac:dyDescent="0.3">
      <c r="A101">
        <f t="shared" si="8"/>
        <v>20200407</v>
      </c>
      <c r="B101" s="193">
        <v>43928</v>
      </c>
      <c r="C101" s="196" t="str">
        <f t="shared" si="15"/>
        <v>07 April 2020</v>
      </c>
      <c r="D101">
        <f t="shared" si="9"/>
        <v>4</v>
      </c>
      <c r="E101" t="str">
        <f t="shared" si="10"/>
        <v>April</v>
      </c>
      <c r="F101" s="128">
        <f t="shared" si="11"/>
        <v>2020</v>
      </c>
      <c r="G101" s="194" t="str">
        <f t="shared" si="12"/>
        <v>2020-04</v>
      </c>
      <c r="H101" s="193">
        <f t="shared" si="13"/>
        <v>43932</v>
      </c>
      <c r="I101">
        <f t="shared" si="14"/>
        <v>15</v>
      </c>
    </row>
    <row r="102" spans="1:9" x14ac:dyDescent="0.3">
      <c r="A102">
        <f t="shared" si="8"/>
        <v>20200408</v>
      </c>
      <c r="B102" s="193">
        <v>43929</v>
      </c>
      <c r="C102" s="196" t="str">
        <f t="shared" si="15"/>
        <v>08 April 2020</v>
      </c>
      <c r="D102">
        <f t="shared" si="9"/>
        <v>4</v>
      </c>
      <c r="E102" t="str">
        <f t="shared" si="10"/>
        <v>April</v>
      </c>
      <c r="F102" s="128">
        <f t="shared" si="11"/>
        <v>2020</v>
      </c>
      <c r="G102" s="194" t="str">
        <f t="shared" si="12"/>
        <v>2020-04</v>
      </c>
      <c r="H102" s="193">
        <f t="shared" si="13"/>
        <v>43932</v>
      </c>
      <c r="I102">
        <f t="shared" si="14"/>
        <v>15</v>
      </c>
    </row>
    <row r="103" spans="1:9" x14ac:dyDescent="0.3">
      <c r="A103">
        <f t="shared" si="8"/>
        <v>20200409</v>
      </c>
      <c r="B103" s="193">
        <v>43930</v>
      </c>
      <c r="C103" s="196" t="str">
        <f t="shared" si="15"/>
        <v>09 April 2020</v>
      </c>
      <c r="D103">
        <f t="shared" si="9"/>
        <v>4</v>
      </c>
      <c r="E103" t="str">
        <f t="shared" si="10"/>
        <v>April</v>
      </c>
      <c r="F103" s="128">
        <f t="shared" si="11"/>
        <v>2020</v>
      </c>
      <c r="G103" s="194" t="str">
        <f t="shared" si="12"/>
        <v>2020-04</v>
      </c>
      <c r="H103" s="193">
        <f t="shared" si="13"/>
        <v>43932</v>
      </c>
      <c r="I103">
        <f t="shared" si="14"/>
        <v>15</v>
      </c>
    </row>
    <row r="104" spans="1:9" x14ac:dyDescent="0.3">
      <c r="A104">
        <f t="shared" si="8"/>
        <v>20200410</v>
      </c>
      <c r="B104" s="193">
        <v>43931</v>
      </c>
      <c r="C104" s="196" t="str">
        <f t="shared" si="15"/>
        <v>10 April 2020</v>
      </c>
      <c r="D104">
        <f t="shared" si="9"/>
        <v>4</v>
      </c>
      <c r="E104" t="str">
        <f t="shared" si="10"/>
        <v>April</v>
      </c>
      <c r="F104" s="128">
        <f t="shared" si="11"/>
        <v>2020</v>
      </c>
      <c r="G104" s="194" t="str">
        <f t="shared" si="12"/>
        <v>2020-04</v>
      </c>
      <c r="H104" s="193">
        <f t="shared" si="13"/>
        <v>43932</v>
      </c>
      <c r="I104">
        <f t="shared" si="14"/>
        <v>15</v>
      </c>
    </row>
    <row r="105" spans="1:9" x14ac:dyDescent="0.3">
      <c r="A105">
        <f t="shared" si="8"/>
        <v>20200411</v>
      </c>
      <c r="B105" s="193">
        <v>43932</v>
      </c>
      <c r="C105" s="196" t="str">
        <f t="shared" si="15"/>
        <v>11 April 2020</v>
      </c>
      <c r="D105">
        <f t="shared" si="9"/>
        <v>4</v>
      </c>
      <c r="E105" t="str">
        <f t="shared" si="10"/>
        <v>April</v>
      </c>
      <c r="F105" s="128">
        <f t="shared" si="11"/>
        <v>2020</v>
      </c>
      <c r="G105" s="194" t="str">
        <f t="shared" si="12"/>
        <v>2020-04</v>
      </c>
      <c r="H105" s="193">
        <f t="shared" si="13"/>
        <v>43932</v>
      </c>
      <c r="I105">
        <f t="shared" si="14"/>
        <v>15</v>
      </c>
    </row>
    <row r="106" spans="1:9" x14ac:dyDescent="0.3">
      <c r="A106">
        <f t="shared" si="8"/>
        <v>20200412</v>
      </c>
      <c r="B106" s="193">
        <v>43933</v>
      </c>
      <c r="C106" s="196" t="str">
        <f t="shared" si="15"/>
        <v>12 April 2020</v>
      </c>
      <c r="D106">
        <f t="shared" si="9"/>
        <v>4</v>
      </c>
      <c r="E106" t="str">
        <f t="shared" si="10"/>
        <v>April</v>
      </c>
      <c r="F106" s="128">
        <f t="shared" si="11"/>
        <v>2020</v>
      </c>
      <c r="G106" s="194" t="str">
        <f t="shared" si="12"/>
        <v>2020-04</v>
      </c>
      <c r="H106" s="193">
        <f t="shared" si="13"/>
        <v>43939</v>
      </c>
      <c r="I106">
        <f t="shared" si="14"/>
        <v>15</v>
      </c>
    </row>
    <row r="107" spans="1:9" x14ac:dyDescent="0.3">
      <c r="A107">
        <f t="shared" si="8"/>
        <v>20200413</v>
      </c>
      <c r="B107" s="193">
        <v>43934</v>
      </c>
      <c r="C107" s="196" t="str">
        <f t="shared" si="15"/>
        <v>13 April 2020</v>
      </c>
      <c r="D107">
        <f t="shared" si="9"/>
        <v>4</v>
      </c>
      <c r="E107" t="str">
        <f t="shared" si="10"/>
        <v>April</v>
      </c>
      <c r="F107" s="128">
        <f t="shared" si="11"/>
        <v>2020</v>
      </c>
      <c r="G107" s="194" t="str">
        <f t="shared" si="12"/>
        <v>2020-04</v>
      </c>
      <c r="H107" s="193">
        <f t="shared" si="13"/>
        <v>43939</v>
      </c>
      <c r="I107">
        <f t="shared" si="14"/>
        <v>16</v>
      </c>
    </row>
    <row r="108" spans="1:9" x14ac:dyDescent="0.3">
      <c r="A108">
        <f t="shared" si="8"/>
        <v>20200414</v>
      </c>
      <c r="B108" s="193">
        <v>43935</v>
      </c>
      <c r="C108" s="196" t="str">
        <f t="shared" si="15"/>
        <v>14 April 2020</v>
      </c>
      <c r="D108">
        <f t="shared" si="9"/>
        <v>4</v>
      </c>
      <c r="E108" t="str">
        <f t="shared" si="10"/>
        <v>April</v>
      </c>
      <c r="F108" s="128">
        <f t="shared" si="11"/>
        <v>2020</v>
      </c>
      <c r="G108" s="194" t="str">
        <f t="shared" si="12"/>
        <v>2020-04</v>
      </c>
      <c r="H108" s="193">
        <f t="shared" si="13"/>
        <v>43939</v>
      </c>
      <c r="I108">
        <f t="shared" si="14"/>
        <v>16</v>
      </c>
    </row>
    <row r="109" spans="1:9" x14ac:dyDescent="0.3">
      <c r="A109">
        <f t="shared" si="8"/>
        <v>20200415</v>
      </c>
      <c r="B109" s="193">
        <v>43936</v>
      </c>
      <c r="C109" s="196" t="str">
        <f t="shared" si="15"/>
        <v>15 April 2020</v>
      </c>
      <c r="D109">
        <f t="shared" si="9"/>
        <v>4</v>
      </c>
      <c r="E109" t="str">
        <f t="shared" si="10"/>
        <v>April</v>
      </c>
      <c r="F109" s="128">
        <f t="shared" si="11"/>
        <v>2020</v>
      </c>
      <c r="G109" s="194" t="str">
        <f t="shared" si="12"/>
        <v>2020-04</v>
      </c>
      <c r="H109" s="193">
        <f t="shared" si="13"/>
        <v>43939</v>
      </c>
      <c r="I109">
        <f t="shared" si="14"/>
        <v>16</v>
      </c>
    </row>
    <row r="110" spans="1:9" x14ac:dyDescent="0.3">
      <c r="A110">
        <f t="shared" si="8"/>
        <v>20200416</v>
      </c>
      <c r="B110" s="193">
        <v>43937</v>
      </c>
      <c r="C110" s="196" t="str">
        <f t="shared" si="15"/>
        <v>16 April 2020</v>
      </c>
      <c r="D110">
        <f t="shared" si="9"/>
        <v>4</v>
      </c>
      <c r="E110" t="str">
        <f t="shared" si="10"/>
        <v>April</v>
      </c>
      <c r="F110" s="128">
        <f t="shared" si="11"/>
        <v>2020</v>
      </c>
      <c r="G110" s="194" t="str">
        <f t="shared" si="12"/>
        <v>2020-04</v>
      </c>
      <c r="H110" s="193">
        <f t="shared" si="13"/>
        <v>43939</v>
      </c>
      <c r="I110">
        <f t="shared" si="14"/>
        <v>16</v>
      </c>
    </row>
    <row r="111" spans="1:9" x14ac:dyDescent="0.3">
      <c r="A111">
        <f t="shared" si="8"/>
        <v>20200417</v>
      </c>
      <c r="B111" s="193">
        <v>43938</v>
      </c>
      <c r="C111" s="196" t="str">
        <f t="shared" si="15"/>
        <v>17 April 2020</v>
      </c>
      <c r="D111">
        <f t="shared" si="9"/>
        <v>4</v>
      </c>
      <c r="E111" t="str">
        <f t="shared" si="10"/>
        <v>April</v>
      </c>
      <c r="F111" s="128">
        <f t="shared" si="11"/>
        <v>2020</v>
      </c>
      <c r="G111" s="194" t="str">
        <f t="shared" si="12"/>
        <v>2020-04</v>
      </c>
      <c r="H111" s="193">
        <f t="shared" si="13"/>
        <v>43939</v>
      </c>
      <c r="I111">
        <f t="shared" si="14"/>
        <v>16</v>
      </c>
    </row>
    <row r="112" spans="1:9" x14ac:dyDescent="0.3">
      <c r="A112">
        <f t="shared" si="8"/>
        <v>20200418</v>
      </c>
      <c r="B112" s="193">
        <v>43939</v>
      </c>
      <c r="C112" s="196" t="str">
        <f t="shared" si="15"/>
        <v>18 April 2020</v>
      </c>
      <c r="D112">
        <f t="shared" si="9"/>
        <v>4</v>
      </c>
      <c r="E112" t="str">
        <f t="shared" si="10"/>
        <v>April</v>
      </c>
      <c r="F112" s="128">
        <f t="shared" si="11"/>
        <v>2020</v>
      </c>
      <c r="G112" s="194" t="str">
        <f t="shared" si="12"/>
        <v>2020-04</v>
      </c>
      <c r="H112" s="193">
        <f t="shared" si="13"/>
        <v>43939</v>
      </c>
      <c r="I112">
        <f t="shared" si="14"/>
        <v>16</v>
      </c>
    </row>
    <row r="113" spans="1:9" x14ac:dyDescent="0.3">
      <c r="A113">
        <f t="shared" si="8"/>
        <v>20200419</v>
      </c>
      <c r="B113" s="193">
        <v>43940</v>
      </c>
      <c r="C113" s="196" t="str">
        <f t="shared" si="15"/>
        <v>19 April 2020</v>
      </c>
      <c r="D113">
        <f t="shared" si="9"/>
        <v>4</v>
      </c>
      <c r="E113" t="str">
        <f t="shared" si="10"/>
        <v>April</v>
      </c>
      <c r="F113" s="128">
        <f t="shared" si="11"/>
        <v>2020</v>
      </c>
      <c r="G113" s="194" t="str">
        <f t="shared" si="12"/>
        <v>2020-04</v>
      </c>
      <c r="H113" s="193">
        <f t="shared" si="13"/>
        <v>43946</v>
      </c>
      <c r="I113">
        <f t="shared" si="14"/>
        <v>16</v>
      </c>
    </row>
    <row r="114" spans="1:9" x14ac:dyDescent="0.3">
      <c r="A114">
        <f t="shared" si="8"/>
        <v>20200420</v>
      </c>
      <c r="B114" s="193">
        <v>43941</v>
      </c>
      <c r="C114" s="196" t="str">
        <f t="shared" si="15"/>
        <v>20 April 2020</v>
      </c>
      <c r="D114">
        <f t="shared" si="9"/>
        <v>4</v>
      </c>
      <c r="E114" t="str">
        <f t="shared" si="10"/>
        <v>April</v>
      </c>
      <c r="F114" s="128">
        <f t="shared" si="11"/>
        <v>2020</v>
      </c>
      <c r="G114" s="194" t="str">
        <f t="shared" si="12"/>
        <v>2020-04</v>
      </c>
      <c r="H114" s="193">
        <f t="shared" si="13"/>
        <v>43946</v>
      </c>
      <c r="I114">
        <f t="shared" si="14"/>
        <v>17</v>
      </c>
    </row>
    <row r="115" spans="1:9" x14ac:dyDescent="0.3">
      <c r="A115">
        <f t="shared" si="8"/>
        <v>20200421</v>
      </c>
      <c r="B115" s="193">
        <v>43942</v>
      </c>
      <c r="C115" s="196" t="str">
        <f t="shared" si="15"/>
        <v>21 April 2020</v>
      </c>
      <c r="D115">
        <f t="shared" si="9"/>
        <v>4</v>
      </c>
      <c r="E115" t="str">
        <f t="shared" si="10"/>
        <v>April</v>
      </c>
      <c r="F115" s="128">
        <f t="shared" si="11"/>
        <v>2020</v>
      </c>
      <c r="G115" s="194" t="str">
        <f t="shared" si="12"/>
        <v>2020-04</v>
      </c>
      <c r="H115" s="193">
        <f t="shared" si="13"/>
        <v>43946</v>
      </c>
      <c r="I115">
        <f t="shared" si="14"/>
        <v>17</v>
      </c>
    </row>
    <row r="116" spans="1:9" x14ac:dyDescent="0.3">
      <c r="A116">
        <f t="shared" si="8"/>
        <v>20200422</v>
      </c>
      <c r="B116" s="193">
        <v>43943</v>
      </c>
      <c r="C116" s="196" t="str">
        <f t="shared" si="15"/>
        <v>22 April 2020</v>
      </c>
      <c r="D116">
        <f t="shared" si="9"/>
        <v>4</v>
      </c>
      <c r="E116" t="str">
        <f t="shared" si="10"/>
        <v>April</v>
      </c>
      <c r="F116" s="128">
        <f t="shared" si="11"/>
        <v>2020</v>
      </c>
      <c r="G116" s="194" t="str">
        <f t="shared" si="12"/>
        <v>2020-04</v>
      </c>
      <c r="H116" s="193">
        <f t="shared" si="13"/>
        <v>43946</v>
      </c>
      <c r="I116">
        <f t="shared" si="14"/>
        <v>17</v>
      </c>
    </row>
    <row r="117" spans="1:9" x14ac:dyDescent="0.3">
      <c r="A117">
        <f t="shared" si="8"/>
        <v>20200423</v>
      </c>
      <c r="B117" s="193">
        <v>43944</v>
      </c>
      <c r="C117" s="196" t="str">
        <f t="shared" si="15"/>
        <v>23 April 2020</v>
      </c>
      <c r="D117">
        <f t="shared" si="9"/>
        <v>4</v>
      </c>
      <c r="E117" t="str">
        <f t="shared" si="10"/>
        <v>April</v>
      </c>
      <c r="F117" s="128">
        <f t="shared" si="11"/>
        <v>2020</v>
      </c>
      <c r="G117" s="194" t="str">
        <f t="shared" si="12"/>
        <v>2020-04</v>
      </c>
      <c r="H117" s="193">
        <f t="shared" si="13"/>
        <v>43946</v>
      </c>
      <c r="I117">
        <f t="shared" si="14"/>
        <v>17</v>
      </c>
    </row>
    <row r="118" spans="1:9" x14ac:dyDescent="0.3">
      <c r="A118">
        <f t="shared" si="8"/>
        <v>20200424</v>
      </c>
      <c r="B118" s="193">
        <v>43945</v>
      </c>
      <c r="C118" s="196" t="str">
        <f t="shared" si="15"/>
        <v>24 April 2020</v>
      </c>
      <c r="D118">
        <f t="shared" si="9"/>
        <v>4</v>
      </c>
      <c r="E118" t="str">
        <f t="shared" si="10"/>
        <v>April</v>
      </c>
      <c r="F118" s="128">
        <f t="shared" si="11"/>
        <v>2020</v>
      </c>
      <c r="G118" s="194" t="str">
        <f t="shared" si="12"/>
        <v>2020-04</v>
      </c>
      <c r="H118" s="193">
        <f t="shared" si="13"/>
        <v>43946</v>
      </c>
      <c r="I118">
        <f t="shared" si="14"/>
        <v>17</v>
      </c>
    </row>
    <row r="119" spans="1:9" x14ac:dyDescent="0.3">
      <c r="A119">
        <f t="shared" si="8"/>
        <v>20200425</v>
      </c>
      <c r="B119" s="193">
        <v>43946</v>
      </c>
      <c r="C119" s="196" t="str">
        <f t="shared" si="15"/>
        <v>25 April 2020</v>
      </c>
      <c r="D119">
        <f t="shared" si="9"/>
        <v>4</v>
      </c>
      <c r="E119" t="str">
        <f t="shared" si="10"/>
        <v>April</v>
      </c>
      <c r="F119" s="128">
        <f t="shared" si="11"/>
        <v>2020</v>
      </c>
      <c r="G119" s="194" t="str">
        <f t="shared" si="12"/>
        <v>2020-04</v>
      </c>
      <c r="H119" s="193">
        <f t="shared" si="13"/>
        <v>43946</v>
      </c>
      <c r="I119">
        <f t="shared" si="14"/>
        <v>17</v>
      </c>
    </row>
    <row r="120" spans="1:9" x14ac:dyDescent="0.3">
      <c r="A120">
        <f t="shared" si="8"/>
        <v>20200426</v>
      </c>
      <c r="B120" s="193">
        <v>43947</v>
      </c>
      <c r="C120" s="196" t="str">
        <f t="shared" si="15"/>
        <v>26 April 2020</v>
      </c>
      <c r="D120">
        <f t="shared" si="9"/>
        <v>4</v>
      </c>
      <c r="E120" t="str">
        <f t="shared" si="10"/>
        <v>April</v>
      </c>
      <c r="F120" s="128">
        <f t="shared" si="11"/>
        <v>2020</v>
      </c>
      <c r="G120" s="194" t="str">
        <f t="shared" si="12"/>
        <v>2020-04</v>
      </c>
      <c r="H120" s="193">
        <f t="shared" si="13"/>
        <v>43953</v>
      </c>
      <c r="I120">
        <f t="shared" si="14"/>
        <v>17</v>
      </c>
    </row>
    <row r="121" spans="1:9" x14ac:dyDescent="0.3">
      <c r="A121">
        <f t="shared" si="8"/>
        <v>20200427</v>
      </c>
      <c r="B121" s="193">
        <v>43948</v>
      </c>
      <c r="C121" s="196" t="str">
        <f t="shared" si="15"/>
        <v>27 April 2020</v>
      </c>
      <c r="D121">
        <f t="shared" si="9"/>
        <v>4</v>
      </c>
      <c r="E121" t="str">
        <f t="shared" si="10"/>
        <v>April</v>
      </c>
      <c r="F121" s="128">
        <f t="shared" si="11"/>
        <v>2020</v>
      </c>
      <c r="G121" s="194" t="str">
        <f t="shared" si="12"/>
        <v>2020-04</v>
      </c>
      <c r="H121" s="193">
        <f t="shared" si="13"/>
        <v>43953</v>
      </c>
      <c r="I121">
        <f t="shared" si="14"/>
        <v>18</v>
      </c>
    </row>
    <row r="122" spans="1:9" x14ac:dyDescent="0.3">
      <c r="A122">
        <f t="shared" si="8"/>
        <v>20200428</v>
      </c>
      <c r="B122" s="193">
        <v>43949</v>
      </c>
      <c r="C122" s="196" t="str">
        <f t="shared" si="15"/>
        <v>28 April 2020</v>
      </c>
      <c r="D122">
        <f t="shared" si="9"/>
        <v>4</v>
      </c>
      <c r="E122" t="str">
        <f t="shared" si="10"/>
        <v>April</v>
      </c>
      <c r="F122" s="128">
        <f t="shared" si="11"/>
        <v>2020</v>
      </c>
      <c r="G122" s="194" t="str">
        <f t="shared" si="12"/>
        <v>2020-04</v>
      </c>
      <c r="H122" s="193">
        <f t="shared" si="13"/>
        <v>43953</v>
      </c>
      <c r="I122">
        <f t="shared" si="14"/>
        <v>18</v>
      </c>
    </row>
    <row r="123" spans="1:9" x14ac:dyDescent="0.3">
      <c r="A123">
        <f t="shared" si="8"/>
        <v>20200429</v>
      </c>
      <c r="B123" s="193">
        <v>43950</v>
      </c>
      <c r="C123" s="196" t="str">
        <f t="shared" si="15"/>
        <v>29 April 2020</v>
      </c>
      <c r="D123">
        <f t="shared" si="9"/>
        <v>4</v>
      </c>
      <c r="E123" t="str">
        <f t="shared" si="10"/>
        <v>April</v>
      </c>
      <c r="F123" s="128">
        <f t="shared" si="11"/>
        <v>2020</v>
      </c>
      <c r="G123" s="194" t="str">
        <f t="shared" si="12"/>
        <v>2020-04</v>
      </c>
      <c r="H123" s="193">
        <f t="shared" si="13"/>
        <v>43953</v>
      </c>
      <c r="I123">
        <f t="shared" si="14"/>
        <v>18</v>
      </c>
    </row>
    <row r="124" spans="1:9" x14ac:dyDescent="0.3">
      <c r="A124">
        <f t="shared" si="8"/>
        <v>20200430</v>
      </c>
      <c r="B124" s="193">
        <v>43951</v>
      </c>
      <c r="C124" s="196" t="str">
        <f t="shared" si="15"/>
        <v>30 April 2020</v>
      </c>
      <c r="D124">
        <f t="shared" si="9"/>
        <v>4</v>
      </c>
      <c r="E124" t="str">
        <f t="shared" si="10"/>
        <v>April</v>
      </c>
      <c r="F124" s="128">
        <f t="shared" si="11"/>
        <v>2020</v>
      </c>
      <c r="G124" s="194" t="str">
        <f t="shared" si="12"/>
        <v>2020-04</v>
      </c>
      <c r="H124" s="193">
        <f t="shared" si="13"/>
        <v>43953</v>
      </c>
      <c r="I124">
        <f t="shared" si="14"/>
        <v>18</v>
      </c>
    </row>
    <row r="125" spans="1:9" x14ac:dyDescent="0.3">
      <c r="A125">
        <f t="shared" si="8"/>
        <v>20200501</v>
      </c>
      <c r="B125" s="193">
        <v>43952</v>
      </c>
      <c r="C125" s="196" t="str">
        <f t="shared" si="15"/>
        <v>01 May 2020</v>
      </c>
      <c r="D125">
        <f t="shared" si="9"/>
        <v>5</v>
      </c>
      <c r="E125" t="str">
        <f t="shared" si="10"/>
        <v>May</v>
      </c>
      <c r="F125" s="128">
        <f t="shared" si="11"/>
        <v>2020</v>
      </c>
      <c r="G125" s="194" t="str">
        <f t="shared" si="12"/>
        <v>2020-05</v>
      </c>
      <c r="H125" s="193">
        <f t="shared" si="13"/>
        <v>43953</v>
      </c>
      <c r="I125">
        <f t="shared" si="14"/>
        <v>18</v>
      </c>
    </row>
    <row r="126" spans="1:9" x14ac:dyDescent="0.3">
      <c r="A126">
        <f t="shared" si="8"/>
        <v>20200502</v>
      </c>
      <c r="B126" s="193">
        <v>43953</v>
      </c>
      <c r="C126" s="196" t="str">
        <f t="shared" si="15"/>
        <v>02 May 2020</v>
      </c>
      <c r="D126">
        <f t="shared" si="9"/>
        <v>5</v>
      </c>
      <c r="E126" t="str">
        <f t="shared" si="10"/>
        <v>May</v>
      </c>
      <c r="F126" s="128">
        <f t="shared" si="11"/>
        <v>2020</v>
      </c>
      <c r="G126" s="194" t="str">
        <f t="shared" si="12"/>
        <v>2020-05</v>
      </c>
      <c r="H126" s="193">
        <f t="shared" si="13"/>
        <v>43953</v>
      </c>
      <c r="I126">
        <f t="shared" si="14"/>
        <v>18</v>
      </c>
    </row>
    <row r="127" spans="1:9" x14ac:dyDescent="0.3">
      <c r="A127">
        <f t="shared" si="8"/>
        <v>20200503</v>
      </c>
      <c r="B127" s="193">
        <v>43954</v>
      </c>
      <c r="C127" s="196" t="str">
        <f t="shared" si="15"/>
        <v>03 May 2020</v>
      </c>
      <c r="D127">
        <f t="shared" si="9"/>
        <v>5</v>
      </c>
      <c r="E127" t="str">
        <f t="shared" si="10"/>
        <v>May</v>
      </c>
      <c r="F127" s="128">
        <f t="shared" si="11"/>
        <v>2020</v>
      </c>
      <c r="G127" s="194" t="str">
        <f t="shared" si="12"/>
        <v>2020-05</v>
      </c>
      <c r="H127" s="193">
        <f t="shared" si="13"/>
        <v>43960</v>
      </c>
      <c r="I127">
        <f t="shared" si="14"/>
        <v>18</v>
      </c>
    </row>
    <row r="128" spans="1:9" x14ac:dyDescent="0.3">
      <c r="A128">
        <f t="shared" si="8"/>
        <v>20200504</v>
      </c>
      <c r="B128" s="193">
        <v>43955</v>
      </c>
      <c r="C128" s="196" t="str">
        <f t="shared" si="15"/>
        <v>04 May 2020</v>
      </c>
      <c r="D128">
        <f t="shared" si="9"/>
        <v>5</v>
      </c>
      <c r="E128" t="str">
        <f t="shared" si="10"/>
        <v>May</v>
      </c>
      <c r="F128" s="128">
        <f t="shared" si="11"/>
        <v>2020</v>
      </c>
      <c r="G128" s="194" t="str">
        <f t="shared" si="12"/>
        <v>2020-05</v>
      </c>
      <c r="H128" s="193">
        <f t="shared" si="13"/>
        <v>43960</v>
      </c>
      <c r="I128">
        <f t="shared" si="14"/>
        <v>19</v>
      </c>
    </row>
    <row r="129" spans="1:9" x14ac:dyDescent="0.3">
      <c r="A129">
        <f t="shared" si="8"/>
        <v>20200505</v>
      </c>
      <c r="B129" s="193">
        <v>43956</v>
      </c>
      <c r="C129" s="196" t="str">
        <f t="shared" si="15"/>
        <v>05 May 2020</v>
      </c>
      <c r="D129">
        <f t="shared" si="9"/>
        <v>5</v>
      </c>
      <c r="E129" t="str">
        <f t="shared" si="10"/>
        <v>May</v>
      </c>
      <c r="F129" s="128">
        <f t="shared" si="11"/>
        <v>2020</v>
      </c>
      <c r="G129" s="194" t="str">
        <f t="shared" si="12"/>
        <v>2020-05</v>
      </c>
      <c r="H129" s="193">
        <f t="shared" si="13"/>
        <v>43960</v>
      </c>
      <c r="I129">
        <f t="shared" si="14"/>
        <v>19</v>
      </c>
    </row>
    <row r="130" spans="1:9" x14ac:dyDescent="0.3">
      <c r="A130">
        <f t="shared" si="8"/>
        <v>20200506</v>
      </c>
      <c r="B130" s="193">
        <v>43957</v>
      </c>
      <c r="C130" s="196" t="str">
        <f t="shared" si="15"/>
        <v>06 May 2020</v>
      </c>
      <c r="D130">
        <f t="shared" si="9"/>
        <v>5</v>
      </c>
      <c r="E130" t="str">
        <f t="shared" si="10"/>
        <v>May</v>
      </c>
      <c r="F130" s="128">
        <f t="shared" si="11"/>
        <v>2020</v>
      </c>
      <c r="G130" s="194" t="str">
        <f t="shared" si="12"/>
        <v>2020-05</v>
      </c>
      <c r="H130" s="193">
        <f t="shared" si="13"/>
        <v>43960</v>
      </c>
      <c r="I130">
        <f t="shared" si="14"/>
        <v>19</v>
      </c>
    </row>
    <row r="131" spans="1:9" x14ac:dyDescent="0.3">
      <c r="A131">
        <f t="shared" ref="A131:A194" si="16">YEAR(B131)*10000+MONTH(B131)*100+DAY(B131)</f>
        <v>20200507</v>
      </c>
      <c r="B131" s="193">
        <v>43958</v>
      </c>
      <c r="C131" s="196" t="str">
        <f t="shared" si="15"/>
        <v>07 May 2020</v>
      </c>
      <c r="D131">
        <f t="shared" ref="D131:D194" si="17">MONTH(B131)</f>
        <v>5</v>
      </c>
      <c r="E131" t="str">
        <f t="shared" ref="E131:E194" si="18">TEXT(B131,"MMMM")</f>
        <v>May</v>
      </c>
      <c r="F131" s="128">
        <f t="shared" ref="F131:F194" si="19">YEAR(B131)</f>
        <v>2020</v>
      </c>
      <c r="G131" s="194" t="str">
        <f t="shared" ref="G131:G194" si="20">TEXT(B131,"YYYY-MM")</f>
        <v>2020-05</v>
      </c>
      <c r="H131" s="193">
        <f t="shared" ref="H131:H194" si="21">B131-WEEKDAY(B131)+7</f>
        <v>43960</v>
      </c>
      <c r="I131">
        <f t="shared" ref="I131:I194" si="22">WEEKNUM(B131,2)</f>
        <v>19</v>
      </c>
    </row>
    <row r="132" spans="1:9" x14ac:dyDescent="0.3">
      <c r="A132">
        <f t="shared" si="16"/>
        <v>20200508</v>
      </c>
      <c r="B132" s="193">
        <v>43959</v>
      </c>
      <c r="C132" s="196" t="str">
        <f t="shared" ref="C132:C195" si="23">TEXT(B132,"dd MMMM YYYY")</f>
        <v>08 May 2020</v>
      </c>
      <c r="D132">
        <f t="shared" si="17"/>
        <v>5</v>
      </c>
      <c r="E132" t="str">
        <f t="shared" si="18"/>
        <v>May</v>
      </c>
      <c r="F132" s="128">
        <f t="shared" si="19"/>
        <v>2020</v>
      </c>
      <c r="G132" s="194" t="str">
        <f t="shared" si="20"/>
        <v>2020-05</v>
      </c>
      <c r="H132" s="193">
        <f t="shared" si="21"/>
        <v>43960</v>
      </c>
      <c r="I132">
        <f t="shared" si="22"/>
        <v>19</v>
      </c>
    </row>
    <row r="133" spans="1:9" x14ac:dyDescent="0.3">
      <c r="A133">
        <f t="shared" si="16"/>
        <v>20200509</v>
      </c>
      <c r="B133" s="193">
        <v>43960</v>
      </c>
      <c r="C133" s="196" t="str">
        <f t="shared" si="23"/>
        <v>09 May 2020</v>
      </c>
      <c r="D133">
        <f t="shared" si="17"/>
        <v>5</v>
      </c>
      <c r="E133" t="str">
        <f t="shared" si="18"/>
        <v>May</v>
      </c>
      <c r="F133" s="128">
        <f t="shared" si="19"/>
        <v>2020</v>
      </c>
      <c r="G133" s="194" t="str">
        <f t="shared" si="20"/>
        <v>2020-05</v>
      </c>
      <c r="H133" s="193">
        <f t="shared" si="21"/>
        <v>43960</v>
      </c>
      <c r="I133">
        <f t="shared" si="22"/>
        <v>19</v>
      </c>
    </row>
    <row r="134" spans="1:9" x14ac:dyDescent="0.3">
      <c r="A134">
        <f t="shared" si="16"/>
        <v>20200510</v>
      </c>
      <c r="B134" s="193">
        <v>43961</v>
      </c>
      <c r="C134" s="196" t="str">
        <f t="shared" si="23"/>
        <v>10 May 2020</v>
      </c>
      <c r="D134">
        <f t="shared" si="17"/>
        <v>5</v>
      </c>
      <c r="E134" t="str">
        <f t="shared" si="18"/>
        <v>May</v>
      </c>
      <c r="F134" s="128">
        <f t="shared" si="19"/>
        <v>2020</v>
      </c>
      <c r="G134" s="194" t="str">
        <f t="shared" si="20"/>
        <v>2020-05</v>
      </c>
      <c r="H134" s="193">
        <f t="shared" si="21"/>
        <v>43967</v>
      </c>
      <c r="I134">
        <f t="shared" si="22"/>
        <v>19</v>
      </c>
    </row>
    <row r="135" spans="1:9" x14ac:dyDescent="0.3">
      <c r="A135">
        <f t="shared" si="16"/>
        <v>20200511</v>
      </c>
      <c r="B135" s="193">
        <v>43962</v>
      </c>
      <c r="C135" s="196" t="str">
        <f t="shared" si="23"/>
        <v>11 May 2020</v>
      </c>
      <c r="D135">
        <f t="shared" si="17"/>
        <v>5</v>
      </c>
      <c r="E135" t="str">
        <f t="shared" si="18"/>
        <v>May</v>
      </c>
      <c r="F135" s="128">
        <f t="shared" si="19"/>
        <v>2020</v>
      </c>
      <c r="G135" s="194" t="str">
        <f t="shared" si="20"/>
        <v>2020-05</v>
      </c>
      <c r="H135" s="193">
        <f t="shared" si="21"/>
        <v>43967</v>
      </c>
      <c r="I135">
        <f t="shared" si="22"/>
        <v>20</v>
      </c>
    </row>
    <row r="136" spans="1:9" x14ac:dyDescent="0.3">
      <c r="A136">
        <f t="shared" si="16"/>
        <v>20200512</v>
      </c>
      <c r="B136" s="193">
        <v>43963</v>
      </c>
      <c r="C136" s="196" t="str">
        <f t="shared" si="23"/>
        <v>12 May 2020</v>
      </c>
      <c r="D136">
        <f t="shared" si="17"/>
        <v>5</v>
      </c>
      <c r="E136" t="str">
        <f t="shared" si="18"/>
        <v>May</v>
      </c>
      <c r="F136" s="128">
        <f t="shared" si="19"/>
        <v>2020</v>
      </c>
      <c r="G136" s="194" t="str">
        <f t="shared" si="20"/>
        <v>2020-05</v>
      </c>
      <c r="H136" s="193">
        <f t="shared" si="21"/>
        <v>43967</v>
      </c>
      <c r="I136">
        <f t="shared" si="22"/>
        <v>20</v>
      </c>
    </row>
    <row r="137" spans="1:9" x14ac:dyDescent="0.3">
      <c r="A137">
        <f t="shared" si="16"/>
        <v>20200513</v>
      </c>
      <c r="B137" s="193">
        <v>43964</v>
      </c>
      <c r="C137" s="196" t="str">
        <f t="shared" si="23"/>
        <v>13 May 2020</v>
      </c>
      <c r="D137">
        <f t="shared" si="17"/>
        <v>5</v>
      </c>
      <c r="E137" t="str">
        <f t="shared" si="18"/>
        <v>May</v>
      </c>
      <c r="F137" s="128">
        <f t="shared" si="19"/>
        <v>2020</v>
      </c>
      <c r="G137" s="194" t="str">
        <f t="shared" si="20"/>
        <v>2020-05</v>
      </c>
      <c r="H137" s="193">
        <f t="shared" si="21"/>
        <v>43967</v>
      </c>
      <c r="I137">
        <f t="shared" si="22"/>
        <v>20</v>
      </c>
    </row>
    <row r="138" spans="1:9" x14ac:dyDescent="0.3">
      <c r="A138">
        <f t="shared" si="16"/>
        <v>20200514</v>
      </c>
      <c r="B138" s="193">
        <v>43965</v>
      </c>
      <c r="C138" s="196" t="str">
        <f t="shared" si="23"/>
        <v>14 May 2020</v>
      </c>
      <c r="D138">
        <f t="shared" si="17"/>
        <v>5</v>
      </c>
      <c r="E138" t="str">
        <f t="shared" si="18"/>
        <v>May</v>
      </c>
      <c r="F138" s="128">
        <f t="shared" si="19"/>
        <v>2020</v>
      </c>
      <c r="G138" s="194" t="str">
        <f t="shared" si="20"/>
        <v>2020-05</v>
      </c>
      <c r="H138" s="193">
        <f t="shared" si="21"/>
        <v>43967</v>
      </c>
      <c r="I138">
        <f t="shared" si="22"/>
        <v>20</v>
      </c>
    </row>
    <row r="139" spans="1:9" x14ac:dyDescent="0.3">
      <c r="A139">
        <f t="shared" si="16"/>
        <v>20200515</v>
      </c>
      <c r="B139" s="193">
        <v>43966</v>
      </c>
      <c r="C139" s="196" t="str">
        <f t="shared" si="23"/>
        <v>15 May 2020</v>
      </c>
      <c r="D139">
        <f t="shared" si="17"/>
        <v>5</v>
      </c>
      <c r="E139" t="str">
        <f t="shared" si="18"/>
        <v>May</v>
      </c>
      <c r="F139" s="128">
        <f t="shared" si="19"/>
        <v>2020</v>
      </c>
      <c r="G139" s="194" t="str">
        <f t="shared" si="20"/>
        <v>2020-05</v>
      </c>
      <c r="H139" s="193">
        <f t="shared" si="21"/>
        <v>43967</v>
      </c>
      <c r="I139">
        <f t="shared" si="22"/>
        <v>20</v>
      </c>
    </row>
    <row r="140" spans="1:9" x14ac:dyDescent="0.3">
      <c r="A140">
        <f t="shared" si="16"/>
        <v>20200516</v>
      </c>
      <c r="B140" s="193">
        <v>43967</v>
      </c>
      <c r="C140" s="196" t="str">
        <f t="shared" si="23"/>
        <v>16 May 2020</v>
      </c>
      <c r="D140">
        <f t="shared" si="17"/>
        <v>5</v>
      </c>
      <c r="E140" t="str">
        <f t="shared" si="18"/>
        <v>May</v>
      </c>
      <c r="F140" s="128">
        <f t="shared" si="19"/>
        <v>2020</v>
      </c>
      <c r="G140" s="194" t="str">
        <f t="shared" si="20"/>
        <v>2020-05</v>
      </c>
      <c r="H140" s="193">
        <f t="shared" si="21"/>
        <v>43967</v>
      </c>
      <c r="I140">
        <f t="shared" si="22"/>
        <v>20</v>
      </c>
    </row>
    <row r="141" spans="1:9" x14ac:dyDescent="0.3">
      <c r="A141">
        <f t="shared" si="16"/>
        <v>20200517</v>
      </c>
      <c r="B141" s="193">
        <v>43968</v>
      </c>
      <c r="C141" s="196" t="str">
        <f t="shared" si="23"/>
        <v>17 May 2020</v>
      </c>
      <c r="D141">
        <f t="shared" si="17"/>
        <v>5</v>
      </c>
      <c r="E141" t="str">
        <f t="shared" si="18"/>
        <v>May</v>
      </c>
      <c r="F141" s="128">
        <f t="shared" si="19"/>
        <v>2020</v>
      </c>
      <c r="G141" s="194" t="str">
        <f t="shared" si="20"/>
        <v>2020-05</v>
      </c>
      <c r="H141" s="193">
        <f t="shared" si="21"/>
        <v>43974</v>
      </c>
      <c r="I141">
        <f t="shared" si="22"/>
        <v>20</v>
      </c>
    </row>
    <row r="142" spans="1:9" x14ac:dyDescent="0.3">
      <c r="A142">
        <f t="shared" si="16"/>
        <v>20200518</v>
      </c>
      <c r="B142" s="193">
        <v>43969</v>
      </c>
      <c r="C142" s="196" t="str">
        <f t="shared" si="23"/>
        <v>18 May 2020</v>
      </c>
      <c r="D142">
        <f t="shared" si="17"/>
        <v>5</v>
      </c>
      <c r="E142" t="str">
        <f t="shared" si="18"/>
        <v>May</v>
      </c>
      <c r="F142" s="128">
        <f t="shared" si="19"/>
        <v>2020</v>
      </c>
      <c r="G142" s="194" t="str">
        <f t="shared" si="20"/>
        <v>2020-05</v>
      </c>
      <c r="H142" s="193">
        <f t="shared" si="21"/>
        <v>43974</v>
      </c>
      <c r="I142">
        <f t="shared" si="22"/>
        <v>21</v>
      </c>
    </row>
    <row r="143" spans="1:9" x14ac:dyDescent="0.3">
      <c r="A143">
        <f t="shared" si="16"/>
        <v>20200519</v>
      </c>
      <c r="B143" s="193">
        <v>43970</v>
      </c>
      <c r="C143" s="196" t="str">
        <f t="shared" si="23"/>
        <v>19 May 2020</v>
      </c>
      <c r="D143">
        <f t="shared" si="17"/>
        <v>5</v>
      </c>
      <c r="E143" t="str">
        <f t="shared" si="18"/>
        <v>May</v>
      </c>
      <c r="F143" s="128">
        <f t="shared" si="19"/>
        <v>2020</v>
      </c>
      <c r="G143" s="194" t="str">
        <f t="shared" si="20"/>
        <v>2020-05</v>
      </c>
      <c r="H143" s="193">
        <f t="shared" si="21"/>
        <v>43974</v>
      </c>
      <c r="I143">
        <f t="shared" si="22"/>
        <v>21</v>
      </c>
    </row>
    <row r="144" spans="1:9" x14ac:dyDescent="0.3">
      <c r="A144">
        <f t="shared" si="16"/>
        <v>20200520</v>
      </c>
      <c r="B144" s="193">
        <v>43971</v>
      </c>
      <c r="C144" s="196" t="str">
        <f t="shared" si="23"/>
        <v>20 May 2020</v>
      </c>
      <c r="D144">
        <f t="shared" si="17"/>
        <v>5</v>
      </c>
      <c r="E144" t="str">
        <f t="shared" si="18"/>
        <v>May</v>
      </c>
      <c r="F144" s="128">
        <f t="shared" si="19"/>
        <v>2020</v>
      </c>
      <c r="G144" s="194" t="str">
        <f t="shared" si="20"/>
        <v>2020-05</v>
      </c>
      <c r="H144" s="193">
        <f t="shared" si="21"/>
        <v>43974</v>
      </c>
      <c r="I144">
        <f t="shared" si="22"/>
        <v>21</v>
      </c>
    </row>
    <row r="145" spans="1:9" x14ac:dyDescent="0.3">
      <c r="A145">
        <f t="shared" si="16"/>
        <v>20200521</v>
      </c>
      <c r="B145" s="193">
        <v>43972</v>
      </c>
      <c r="C145" s="196" t="str">
        <f t="shared" si="23"/>
        <v>21 May 2020</v>
      </c>
      <c r="D145">
        <f t="shared" si="17"/>
        <v>5</v>
      </c>
      <c r="E145" t="str">
        <f t="shared" si="18"/>
        <v>May</v>
      </c>
      <c r="F145" s="128">
        <f t="shared" si="19"/>
        <v>2020</v>
      </c>
      <c r="G145" s="194" t="str">
        <f t="shared" si="20"/>
        <v>2020-05</v>
      </c>
      <c r="H145" s="193">
        <f t="shared" si="21"/>
        <v>43974</v>
      </c>
      <c r="I145">
        <f t="shared" si="22"/>
        <v>21</v>
      </c>
    </row>
    <row r="146" spans="1:9" x14ac:dyDescent="0.3">
      <c r="A146">
        <f t="shared" si="16"/>
        <v>20200522</v>
      </c>
      <c r="B146" s="193">
        <v>43973</v>
      </c>
      <c r="C146" s="196" t="str">
        <f t="shared" si="23"/>
        <v>22 May 2020</v>
      </c>
      <c r="D146">
        <f t="shared" si="17"/>
        <v>5</v>
      </c>
      <c r="E146" t="str">
        <f t="shared" si="18"/>
        <v>May</v>
      </c>
      <c r="F146" s="128">
        <f t="shared" si="19"/>
        <v>2020</v>
      </c>
      <c r="G146" s="194" t="str">
        <f t="shared" si="20"/>
        <v>2020-05</v>
      </c>
      <c r="H146" s="193">
        <f t="shared" si="21"/>
        <v>43974</v>
      </c>
      <c r="I146">
        <f t="shared" si="22"/>
        <v>21</v>
      </c>
    </row>
    <row r="147" spans="1:9" x14ac:dyDescent="0.3">
      <c r="A147">
        <f t="shared" si="16"/>
        <v>20200523</v>
      </c>
      <c r="B147" s="193">
        <v>43974</v>
      </c>
      <c r="C147" s="196" t="str">
        <f t="shared" si="23"/>
        <v>23 May 2020</v>
      </c>
      <c r="D147">
        <f t="shared" si="17"/>
        <v>5</v>
      </c>
      <c r="E147" t="str">
        <f t="shared" si="18"/>
        <v>May</v>
      </c>
      <c r="F147" s="128">
        <f t="shared" si="19"/>
        <v>2020</v>
      </c>
      <c r="G147" s="194" t="str">
        <f t="shared" si="20"/>
        <v>2020-05</v>
      </c>
      <c r="H147" s="193">
        <f t="shared" si="21"/>
        <v>43974</v>
      </c>
      <c r="I147">
        <f t="shared" si="22"/>
        <v>21</v>
      </c>
    </row>
    <row r="148" spans="1:9" x14ac:dyDescent="0.3">
      <c r="A148">
        <f t="shared" si="16"/>
        <v>20200524</v>
      </c>
      <c r="B148" s="193">
        <v>43975</v>
      </c>
      <c r="C148" s="196" t="str">
        <f t="shared" si="23"/>
        <v>24 May 2020</v>
      </c>
      <c r="D148">
        <f t="shared" si="17"/>
        <v>5</v>
      </c>
      <c r="E148" t="str">
        <f t="shared" si="18"/>
        <v>May</v>
      </c>
      <c r="F148" s="128">
        <f t="shared" si="19"/>
        <v>2020</v>
      </c>
      <c r="G148" s="194" t="str">
        <f t="shared" si="20"/>
        <v>2020-05</v>
      </c>
      <c r="H148" s="193">
        <f t="shared" si="21"/>
        <v>43981</v>
      </c>
      <c r="I148">
        <f t="shared" si="22"/>
        <v>21</v>
      </c>
    </row>
    <row r="149" spans="1:9" x14ac:dyDescent="0.3">
      <c r="A149">
        <f t="shared" si="16"/>
        <v>20200525</v>
      </c>
      <c r="B149" s="193">
        <v>43976</v>
      </c>
      <c r="C149" s="196" t="str">
        <f t="shared" si="23"/>
        <v>25 May 2020</v>
      </c>
      <c r="D149">
        <f t="shared" si="17"/>
        <v>5</v>
      </c>
      <c r="E149" t="str">
        <f t="shared" si="18"/>
        <v>May</v>
      </c>
      <c r="F149" s="128">
        <f t="shared" si="19"/>
        <v>2020</v>
      </c>
      <c r="G149" s="194" t="str">
        <f t="shared" si="20"/>
        <v>2020-05</v>
      </c>
      <c r="H149" s="193">
        <f t="shared" si="21"/>
        <v>43981</v>
      </c>
      <c r="I149">
        <f t="shared" si="22"/>
        <v>22</v>
      </c>
    </row>
    <row r="150" spans="1:9" x14ac:dyDescent="0.3">
      <c r="A150">
        <f t="shared" si="16"/>
        <v>20200526</v>
      </c>
      <c r="B150" s="193">
        <v>43977</v>
      </c>
      <c r="C150" s="196" t="str">
        <f t="shared" si="23"/>
        <v>26 May 2020</v>
      </c>
      <c r="D150">
        <f t="shared" si="17"/>
        <v>5</v>
      </c>
      <c r="E150" t="str">
        <f t="shared" si="18"/>
        <v>May</v>
      </c>
      <c r="F150" s="128">
        <f t="shared" si="19"/>
        <v>2020</v>
      </c>
      <c r="G150" s="194" t="str">
        <f t="shared" si="20"/>
        <v>2020-05</v>
      </c>
      <c r="H150" s="193">
        <f t="shared" si="21"/>
        <v>43981</v>
      </c>
      <c r="I150">
        <f t="shared" si="22"/>
        <v>22</v>
      </c>
    </row>
    <row r="151" spans="1:9" x14ac:dyDescent="0.3">
      <c r="A151">
        <f t="shared" si="16"/>
        <v>20200527</v>
      </c>
      <c r="B151" s="193">
        <v>43978</v>
      </c>
      <c r="C151" s="196" t="str">
        <f t="shared" si="23"/>
        <v>27 May 2020</v>
      </c>
      <c r="D151">
        <f t="shared" si="17"/>
        <v>5</v>
      </c>
      <c r="E151" t="str">
        <f t="shared" si="18"/>
        <v>May</v>
      </c>
      <c r="F151" s="128">
        <f t="shared" si="19"/>
        <v>2020</v>
      </c>
      <c r="G151" s="194" t="str">
        <f t="shared" si="20"/>
        <v>2020-05</v>
      </c>
      <c r="H151" s="193">
        <f t="shared" si="21"/>
        <v>43981</v>
      </c>
      <c r="I151">
        <f t="shared" si="22"/>
        <v>22</v>
      </c>
    </row>
    <row r="152" spans="1:9" x14ac:dyDescent="0.3">
      <c r="A152">
        <f t="shared" si="16"/>
        <v>20200528</v>
      </c>
      <c r="B152" s="193">
        <v>43979</v>
      </c>
      <c r="C152" s="196" t="str">
        <f t="shared" si="23"/>
        <v>28 May 2020</v>
      </c>
      <c r="D152">
        <f t="shared" si="17"/>
        <v>5</v>
      </c>
      <c r="E152" t="str">
        <f t="shared" si="18"/>
        <v>May</v>
      </c>
      <c r="F152" s="128">
        <f t="shared" si="19"/>
        <v>2020</v>
      </c>
      <c r="G152" s="194" t="str">
        <f t="shared" si="20"/>
        <v>2020-05</v>
      </c>
      <c r="H152" s="193">
        <f t="shared" si="21"/>
        <v>43981</v>
      </c>
      <c r="I152">
        <f t="shared" si="22"/>
        <v>22</v>
      </c>
    </row>
    <row r="153" spans="1:9" x14ac:dyDescent="0.3">
      <c r="A153">
        <f t="shared" si="16"/>
        <v>20200529</v>
      </c>
      <c r="B153" s="193">
        <v>43980</v>
      </c>
      <c r="C153" s="196" t="str">
        <f t="shared" si="23"/>
        <v>29 May 2020</v>
      </c>
      <c r="D153">
        <f t="shared" si="17"/>
        <v>5</v>
      </c>
      <c r="E153" t="str">
        <f t="shared" si="18"/>
        <v>May</v>
      </c>
      <c r="F153" s="128">
        <f t="shared" si="19"/>
        <v>2020</v>
      </c>
      <c r="G153" s="194" t="str">
        <f t="shared" si="20"/>
        <v>2020-05</v>
      </c>
      <c r="H153" s="193">
        <f t="shared" si="21"/>
        <v>43981</v>
      </c>
      <c r="I153">
        <f t="shared" si="22"/>
        <v>22</v>
      </c>
    </row>
    <row r="154" spans="1:9" x14ac:dyDescent="0.3">
      <c r="A154">
        <f t="shared" si="16"/>
        <v>20200530</v>
      </c>
      <c r="B154" s="193">
        <v>43981</v>
      </c>
      <c r="C154" s="196" t="str">
        <f t="shared" si="23"/>
        <v>30 May 2020</v>
      </c>
      <c r="D154">
        <f t="shared" si="17"/>
        <v>5</v>
      </c>
      <c r="E154" t="str">
        <f t="shared" si="18"/>
        <v>May</v>
      </c>
      <c r="F154" s="128">
        <f t="shared" si="19"/>
        <v>2020</v>
      </c>
      <c r="G154" s="194" t="str">
        <f t="shared" si="20"/>
        <v>2020-05</v>
      </c>
      <c r="H154" s="193">
        <f t="shared" si="21"/>
        <v>43981</v>
      </c>
      <c r="I154">
        <f t="shared" si="22"/>
        <v>22</v>
      </c>
    </row>
    <row r="155" spans="1:9" x14ac:dyDescent="0.3">
      <c r="A155">
        <f t="shared" si="16"/>
        <v>20200531</v>
      </c>
      <c r="B155" s="193">
        <v>43982</v>
      </c>
      <c r="C155" s="196" t="str">
        <f t="shared" si="23"/>
        <v>31 May 2020</v>
      </c>
      <c r="D155">
        <f t="shared" si="17"/>
        <v>5</v>
      </c>
      <c r="E155" t="str">
        <f t="shared" si="18"/>
        <v>May</v>
      </c>
      <c r="F155" s="128">
        <f t="shared" si="19"/>
        <v>2020</v>
      </c>
      <c r="G155" s="194" t="str">
        <f t="shared" si="20"/>
        <v>2020-05</v>
      </c>
      <c r="H155" s="193">
        <f t="shared" si="21"/>
        <v>43988</v>
      </c>
      <c r="I155">
        <f t="shared" si="22"/>
        <v>22</v>
      </c>
    </row>
    <row r="156" spans="1:9" x14ac:dyDescent="0.3">
      <c r="A156">
        <f t="shared" si="16"/>
        <v>20200601</v>
      </c>
      <c r="B156" s="193">
        <v>43983</v>
      </c>
      <c r="C156" s="196" t="str">
        <f t="shared" si="23"/>
        <v>01 June 2020</v>
      </c>
      <c r="D156">
        <f t="shared" si="17"/>
        <v>6</v>
      </c>
      <c r="E156" t="str">
        <f t="shared" si="18"/>
        <v>June</v>
      </c>
      <c r="F156" s="128">
        <f t="shared" si="19"/>
        <v>2020</v>
      </c>
      <c r="G156" s="194" t="str">
        <f t="shared" si="20"/>
        <v>2020-06</v>
      </c>
      <c r="H156" s="193">
        <f t="shared" si="21"/>
        <v>43988</v>
      </c>
      <c r="I156">
        <f t="shared" si="22"/>
        <v>23</v>
      </c>
    </row>
    <row r="157" spans="1:9" x14ac:dyDescent="0.3">
      <c r="A157">
        <f t="shared" si="16"/>
        <v>20200602</v>
      </c>
      <c r="B157" s="193">
        <v>43984</v>
      </c>
      <c r="C157" s="196" t="str">
        <f t="shared" si="23"/>
        <v>02 June 2020</v>
      </c>
      <c r="D157">
        <f t="shared" si="17"/>
        <v>6</v>
      </c>
      <c r="E157" t="str">
        <f t="shared" si="18"/>
        <v>June</v>
      </c>
      <c r="F157" s="128">
        <f t="shared" si="19"/>
        <v>2020</v>
      </c>
      <c r="G157" s="194" t="str">
        <f t="shared" si="20"/>
        <v>2020-06</v>
      </c>
      <c r="H157" s="193">
        <f t="shared" si="21"/>
        <v>43988</v>
      </c>
      <c r="I157">
        <f t="shared" si="22"/>
        <v>23</v>
      </c>
    </row>
    <row r="158" spans="1:9" x14ac:dyDescent="0.3">
      <c r="A158">
        <f t="shared" si="16"/>
        <v>20200603</v>
      </c>
      <c r="B158" s="193">
        <v>43985</v>
      </c>
      <c r="C158" s="196" t="str">
        <f t="shared" si="23"/>
        <v>03 June 2020</v>
      </c>
      <c r="D158">
        <f t="shared" si="17"/>
        <v>6</v>
      </c>
      <c r="E158" t="str">
        <f t="shared" si="18"/>
        <v>June</v>
      </c>
      <c r="F158" s="128">
        <f t="shared" si="19"/>
        <v>2020</v>
      </c>
      <c r="G158" s="194" t="str">
        <f t="shared" si="20"/>
        <v>2020-06</v>
      </c>
      <c r="H158" s="193">
        <f t="shared" si="21"/>
        <v>43988</v>
      </c>
      <c r="I158">
        <f t="shared" si="22"/>
        <v>23</v>
      </c>
    </row>
    <row r="159" spans="1:9" x14ac:dyDescent="0.3">
      <c r="A159">
        <f t="shared" si="16"/>
        <v>20200604</v>
      </c>
      <c r="B159" s="193">
        <v>43986</v>
      </c>
      <c r="C159" s="196" t="str">
        <f t="shared" si="23"/>
        <v>04 June 2020</v>
      </c>
      <c r="D159">
        <f t="shared" si="17"/>
        <v>6</v>
      </c>
      <c r="E159" t="str">
        <f t="shared" si="18"/>
        <v>June</v>
      </c>
      <c r="F159" s="128">
        <f t="shared" si="19"/>
        <v>2020</v>
      </c>
      <c r="G159" s="194" t="str">
        <f t="shared" si="20"/>
        <v>2020-06</v>
      </c>
      <c r="H159" s="193">
        <f t="shared" si="21"/>
        <v>43988</v>
      </c>
      <c r="I159">
        <f t="shared" si="22"/>
        <v>23</v>
      </c>
    </row>
    <row r="160" spans="1:9" x14ac:dyDescent="0.3">
      <c r="A160">
        <f t="shared" si="16"/>
        <v>20200605</v>
      </c>
      <c r="B160" s="193">
        <v>43987</v>
      </c>
      <c r="C160" s="196" t="str">
        <f t="shared" si="23"/>
        <v>05 June 2020</v>
      </c>
      <c r="D160">
        <f t="shared" si="17"/>
        <v>6</v>
      </c>
      <c r="E160" t="str">
        <f t="shared" si="18"/>
        <v>June</v>
      </c>
      <c r="F160" s="128">
        <f t="shared" si="19"/>
        <v>2020</v>
      </c>
      <c r="G160" s="194" t="str">
        <f t="shared" si="20"/>
        <v>2020-06</v>
      </c>
      <c r="H160" s="193">
        <f t="shared" si="21"/>
        <v>43988</v>
      </c>
      <c r="I160">
        <f t="shared" si="22"/>
        <v>23</v>
      </c>
    </row>
    <row r="161" spans="1:9" x14ac:dyDescent="0.3">
      <c r="A161">
        <f t="shared" si="16"/>
        <v>20200606</v>
      </c>
      <c r="B161" s="193">
        <v>43988</v>
      </c>
      <c r="C161" s="196" t="str">
        <f t="shared" si="23"/>
        <v>06 June 2020</v>
      </c>
      <c r="D161">
        <f t="shared" si="17"/>
        <v>6</v>
      </c>
      <c r="E161" t="str">
        <f t="shared" si="18"/>
        <v>June</v>
      </c>
      <c r="F161" s="128">
        <f t="shared" si="19"/>
        <v>2020</v>
      </c>
      <c r="G161" s="194" t="str">
        <f t="shared" si="20"/>
        <v>2020-06</v>
      </c>
      <c r="H161" s="193">
        <f t="shared" si="21"/>
        <v>43988</v>
      </c>
      <c r="I161">
        <f t="shared" si="22"/>
        <v>23</v>
      </c>
    </row>
    <row r="162" spans="1:9" x14ac:dyDescent="0.3">
      <c r="A162">
        <f t="shared" si="16"/>
        <v>20200607</v>
      </c>
      <c r="B162" s="193">
        <v>43989</v>
      </c>
      <c r="C162" s="196" t="str">
        <f t="shared" si="23"/>
        <v>07 June 2020</v>
      </c>
      <c r="D162">
        <f t="shared" si="17"/>
        <v>6</v>
      </c>
      <c r="E162" t="str">
        <f t="shared" si="18"/>
        <v>June</v>
      </c>
      <c r="F162" s="128">
        <f t="shared" si="19"/>
        <v>2020</v>
      </c>
      <c r="G162" s="194" t="str">
        <f t="shared" si="20"/>
        <v>2020-06</v>
      </c>
      <c r="H162" s="193">
        <f t="shared" si="21"/>
        <v>43995</v>
      </c>
      <c r="I162">
        <f t="shared" si="22"/>
        <v>23</v>
      </c>
    </row>
    <row r="163" spans="1:9" x14ac:dyDescent="0.3">
      <c r="A163">
        <f t="shared" si="16"/>
        <v>20200608</v>
      </c>
      <c r="B163" s="193">
        <v>43990</v>
      </c>
      <c r="C163" s="196" t="str">
        <f t="shared" si="23"/>
        <v>08 June 2020</v>
      </c>
      <c r="D163">
        <f t="shared" si="17"/>
        <v>6</v>
      </c>
      <c r="E163" t="str">
        <f t="shared" si="18"/>
        <v>June</v>
      </c>
      <c r="F163" s="128">
        <f t="shared" si="19"/>
        <v>2020</v>
      </c>
      <c r="G163" s="194" t="str">
        <f t="shared" si="20"/>
        <v>2020-06</v>
      </c>
      <c r="H163" s="193">
        <f t="shared" si="21"/>
        <v>43995</v>
      </c>
      <c r="I163">
        <f t="shared" si="22"/>
        <v>24</v>
      </c>
    </row>
    <row r="164" spans="1:9" x14ac:dyDescent="0.3">
      <c r="A164">
        <f t="shared" si="16"/>
        <v>20200609</v>
      </c>
      <c r="B164" s="193">
        <v>43991</v>
      </c>
      <c r="C164" s="196" t="str">
        <f t="shared" si="23"/>
        <v>09 June 2020</v>
      </c>
      <c r="D164">
        <f t="shared" si="17"/>
        <v>6</v>
      </c>
      <c r="E164" t="str">
        <f t="shared" si="18"/>
        <v>June</v>
      </c>
      <c r="F164" s="128">
        <f t="shared" si="19"/>
        <v>2020</v>
      </c>
      <c r="G164" s="194" t="str">
        <f t="shared" si="20"/>
        <v>2020-06</v>
      </c>
      <c r="H164" s="193">
        <f t="shared" si="21"/>
        <v>43995</v>
      </c>
      <c r="I164">
        <f t="shared" si="22"/>
        <v>24</v>
      </c>
    </row>
    <row r="165" spans="1:9" x14ac:dyDescent="0.3">
      <c r="A165">
        <f t="shared" si="16"/>
        <v>20200610</v>
      </c>
      <c r="B165" s="193">
        <v>43992</v>
      </c>
      <c r="C165" s="196" t="str">
        <f t="shared" si="23"/>
        <v>10 June 2020</v>
      </c>
      <c r="D165">
        <f t="shared" si="17"/>
        <v>6</v>
      </c>
      <c r="E165" t="str">
        <f t="shared" si="18"/>
        <v>June</v>
      </c>
      <c r="F165" s="128">
        <f t="shared" si="19"/>
        <v>2020</v>
      </c>
      <c r="G165" s="194" t="str">
        <f t="shared" si="20"/>
        <v>2020-06</v>
      </c>
      <c r="H165" s="193">
        <f t="shared" si="21"/>
        <v>43995</v>
      </c>
      <c r="I165">
        <f t="shared" si="22"/>
        <v>24</v>
      </c>
    </row>
    <row r="166" spans="1:9" x14ac:dyDescent="0.3">
      <c r="A166">
        <f t="shared" si="16"/>
        <v>20200611</v>
      </c>
      <c r="B166" s="193">
        <v>43993</v>
      </c>
      <c r="C166" s="196" t="str">
        <f t="shared" si="23"/>
        <v>11 June 2020</v>
      </c>
      <c r="D166">
        <f t="shared" si="17"/>
        <v>6</v>
      </c>
      <c r="E166" t="str">
        <f t="shared" si="18"/>
        <v>June</v>
      </c>
      <c r="F166" s="128">
        <f t="shared" si="19"/>
        <v>2020</v>
      </c>
      <c r="G166" s="194" t="str">
        <f t="shared" si="20"/>
        <v>2020-06</v>
      </c>
      <c r="H166" s="193">
        <f t="shared" si="21"/>
        <v>43995</v>
      </c>
      <c r="I166">
        <f t="shared" si="22"/>
        <v>24</v>
      </c>
    </row>
    <row r="167" spans="1:9" x14ac:dyDescent="0.3">
      <c r="A167">
        <f t="shared" si="16"/>
        <v>20200612</v>
      </c>
      <c r="B167" s="193">
        <v>43994</v>
      </c>
      <c r="C167" s="196" t="str">
        <f t="shared" si="23"/>
        <v>12 June 2020</v>
      </c>
      <c r="D167">
        <f t="shared" si="17"/>
        <v>6</v>
      </c>
      <c r="E167" t="str">
        <f t="shared" si="18"/>
        <v>June</v>
      </c>
      <c r="F167" s="128">
        <f t="shared" si="19"/>
        <v>2020</v>
      </c>
      <c r="G167" s="194" t="str">
        <f t="shared" si="20"/>
        <v>2020-06</v>
      </c>
      <c r="H167" s="193">
        <f t="shared" si="21"/>
        <v>43995</v>
      </c>
      <c r="I167">
        <f t="shared" si="22"/>
        <v>24</v>
      </c>
    </row>
    <row r="168" spans="1:9" x14ac:dyDescent="0.3">
      <c r="A168">
        <f t="shared" si="16"/>
        <v>20200613</v>
      </c>
      <c r="B168" s="193">
        <v>43995</v>
      </c>
      <c r="C168" s="196" t="str">
        <f t="shared" si="23"/>
        <v>13 June 2020</v>
      </c>
      <c r="D168">
        <f t="shared" si="17"/>
        <v>6</v>
      </c>
      <c r="E168" t="str">
        <f t="shared" si="18"/>
        <v>June</v>
      </c>
      <c r="F168" s="128">
        <f t="shared" si="19"/>
        <v>2020</v>
      </c>
      <c r="G168" s="194" t="str">
        <f t="shared" si="20"/>
        <v>2020-06</v>
      </c>
      <c r="H168" s="193">
        <f t="shared" si="21"/>
        <v>43995</v>
      </c>
      <c r="I168">
        <f t="shared" si="22"/>
        <v>24</v>
      </c>
    </row>
    <row r="169" spans="1:9" x14ac:dyDescent="0.3">
      <c r="A169">
        <f t="shared" si="16"/>
        <v>20200614</v>
      </c>
      <c r="B169" s="193">
        <v>43996</v>
      </c>
      <c r="C169" s="196" t="str">
        <f t="shared" si="23"/>
        <v>14 June 2020</v>
      </c>
      <c r="D169">
        <f t="shared" si="17"/>
        <v>6</v>
      </c>
      <c r="E169" t="str">
        <f t="shared" si="18"/>
        <v>June</v>
      </c>
      <c r="F169" s="128">
        <f t="shared" si="19"/>
        <v>2020</v>
      </c>
      <c r="G169" s="194" t="str">
        <f t="shared" si="20"/>
        <v>2020-06</v>
      </c>
      <c r="H169" s="193">
        <f t="shared" si="21"/>
        <v>44002</v>
      </c>
      <c r="I169">
        <f t="shared" si="22"/>
        <v>24</v>
      </c>
    </row>
    <row r="170" spans="1:9" x14ac:dyDescent="0.3">
      <c r="A170">
        <f t="shared" si="16"/>
        <v>20200615</v>
      </c>
      <c r="B170" s="193">
        <v>43997</v>
      </c>
      <c r="C170" s="196" t="str">
        <f t="shared" si="23"/>
        <v>15 June 2020</v>
      </c>
      <c r="D170">
        <f t="shared" si="17"/>
        <v>6</v>
      </c>
      <c r="E170" t="str">
        <f t="shared" si="18"/>
        <v>June</v>
      </c>
      <c r="F170" s="128">
        <f t="shared" si="19"/>
        <v>2020</v>
      </c>
      <c r="G170" s="194" t="str">
        <f t="shared" si="20"/>
        <v>2020-06</v>
      </c>
      <c r="H170" s="193">
        <f t="shared" si="21"/>
        <v>44002</v>
      </c>
      <c r="I170">
        <f t="shared" si="22"/>
        <v>25</v>
      </c>
    </row>
    <row r="171" spans="1:9" x14ac:dyDescent="0.3">
      <c r="A171">
        <f t="shared" si="16"/>
        <v>20200616</v>
      </c>
      <c r="B171" s="193">
        <v>43998</v>
      </c>
      <c r="C171" s="196" t="str">
        <f t="shared" si="23"/>
        <v>16 June 2020</v>
      </c>
      <c r="D171">
        <f t="shared" si="17"/>
        <v>6</v>
      </c>
      <c r="E171" t="str">
        <f t="shared" si="18"/>
        <v>June</v>
      </c>
      <c r="F171" s="128">
        <f t="shared" si="19"/>
        <v>2020</v>
      </c>
      <c r="G171" s="194" t="str">
        <f t="shared" si="20"/>
        <v>2020-06</v>
      </c>
      <c r="H171" s="193">
        <f t="shared" si="21"/>
        <v>44002</v>
      </c>
      <c r="I171">
        <f t="shared" si="22"/>
        <v>25</v>
      </c>
    </row>
    <row r="172" spans="1:9" x14ac:dyDescent="0.3">
      <c r="A172">
        <f t="shared" si="16"/>
        <v>20200617</v>
      </c>
      <c r="B172" s="193">
        <v>43999</v>
      </c>
      <c r="C172" s="196" t="str">
        <f t="shared" si="23"/>
        <v>17 June 2020</v>
      </c>
      <c r="D172">
        <f t="shared" si="17"/>
        <v>6</v>
      </c>
      <c r="E172" t="str">
        <f t="shared" si="18"/>
        <v>June</v>
      </c>
      <c r="F172" s="128">
        <f t="shared" si="19"/>
        <v>2020</v>
      </c>
      <c r="G172" s="194" t="str">
        <f t="shared" si="20"/>
        <v>2020-06</v>
      </c>
      <c r="H172" s="193">
        <f t="shared" si="21"/>
        <v>44002</v>
      </c>
      <c r="I172">
        <f t="shared" si="22"/>
        <v>25</v>
      </c>
    </row>
    <row r="173" spans="1:9" x14ac:dyDescent="0.3">
      <c r="A173">
        <f t="shared" si="16"/>
        <v>20200618</v>
      </c>
      <c r="B173" s="193">
        <v>44000</v>
      </c>
      <c r="C173" s="196" t="str">
        <f t="shared" si="23"/>
        <v>18 June 2020</v>
      </c>
      <c r="D173">
        <f t="shared" si="17"/>
        <v>6</v>
      </c>
      <c r="E173" t="str">
        <f t="shared" si="18"/>
        <v>June</v>
      </c>
      <c r="F173" s="128">
        <f t="shared" si="19"/>
        <v>2020</v>
      </c>
      <c r="G173" s="194" t="str">
        <f t="shared" si="20"/>
        <v>2020-06</v>
      </c>
      <c r="H173" s="193">
        <f t="shared" si="21"/>
        <v>44002</v>
      </c>
      <c r="I173">
        <f t="shared" si="22"/>
        <v>25</v>
      </c>
    </row>
    <row r="174" spans="1:9" x14ac:dyDescent="0.3">
      <c r="A174">
        <f t="shared" si="16"/>
        <v>20200619</v>
      </c>
      <c r="B174" s="193">
        <v>44001</v>
      </c>
      <c r="C174" s="196" t="str">
        <f t="shared" si="23"/>
        <v>19 June 2020</v>
      </c>
      <c r="D174">
        <f t="shared" si="17"/>
        <v>6</v>
      </c>
      <c r="E174" t="str">
        <f t="shared" si="18"/>
        <v>June</v>
      </c>
      <c r="F174" s="128">
        <f t="shared" si="19"/>
        <v>2020</v>
      </c>
      <c r="G174" s="194" t="str">
        <f t="shared" si="20"/>
        <v>2020-06</v>
      </c>
      <c r="H174" s="193">
        <f t="shared" si="21"/>
        <v>44002</v>
      </c>
      <c r="I174">
        <f t="shared" si="22"/>
        <v>25</v>
      </c>
    </row>
    <row r="175" spans="1:9" x14ac:dyDescent="0.3">
      <c r="A175">
        <f t="shared" si="16"/>
        <v>20200620</v>
      </c>
      <c r="B175" s="193">
        <v>44002</v>
      </c>
      <c r="C175" s="196" t="str">
        <f t="shared" si="23"/>
        <v>20 June 2020</v>
      </c>
      <c r="D175">
        <f t="shared" si="17"/>
        <v>6</v>
      </c>
      <c r="E175" t="str">
        <f t="shared" si="18"/>
        <v>June</v>
      </c>
      <c r="F175" s="128">
        <f t="shared" si="19"/>
        <v>2020</v>
      </c>
      <c r="G175" s="194" t="str">
        <f t="shared" si="20"/>
        <v>2020-06</v>
      </c>
      <c r="H175" s="193">
        <f t="shared" si="21"/>
        <v>44002</v>
      </c>
      <c r="I175">
        <f t="shared" si="22"/>
        <v>25</v>
      </c>
    </row>
    <row r="176" spans="1:9" x14ac:dyDescent="0.3">
      <c r="A176">
        <f t="shared" si="16"/>
        <v>20200621</v>
      </c>
      <c r="B176" s="193">
        <v>44003</v>
      </c>
      <c r="C176" s="196" t="str">
        <f t="shared" si="23"/>
        <v>21 June 2020</v>
      </c>
      <c r="D176">
        <f t="shared" si="17"/>
        <v>6</v>
      </c>
      <c r="E176" t="str">
        <f t="shared" si="18"/>
        <v>June</v>
      </c>
      <c r="F176" s="128">
        <f t="shared" si="19"/>
        <v>2020</v>
      </c>
      <c r="G176" s="194" t="str">
        <f t="shared" si="20"/>
        <v>2020-06</v>
      </c>
      <c r="H176" s="193">
        <f t="shared" si="21"/>
        <v>44009</v>
      </c>
      <c r="I176">
        <f t="shared" si="22"/>
        <v>25</v>
      </c>
    </row>
    <row r="177" spans="1:9" x14ac:dyDescent="0.3">
      <c r="A177">
        <f t="shared" si="16"/>
        <v>20200622</v>
      </c>
      <c r="B177" s="193">
        <v>44004</v>
      </c>
      <c r="C177" s="196" t="str">
        <f t="shared" si="23"/>
        <v>22 June 2020</v>
      </c>
      <c r="D177">
        <f t="shared" si="17"/>
        <v>6</v>
      </c>
      <c r="E177" t="str">
        <f t="shared" si="18"/>
        <v>June</v>
      </c>
      <c r="F177" s="128">
        <f t="shared" si="19"/>
        <v>2020</v>
      </c>
      <c r="G177" s="194" t="str">
        <f t="shared" si="20"/>
        <v>2020-06</v>
      </c>
      <c r="H177" s="193">
        <f t="shared" si="21"/>
        <v>44009</v>
      </c>
      <c r="I177">
        <f t="shared" si="22"/>
        <v>26</v>
      </c>
    </row>
    <row r="178" spans="1:9" x14ac:dyDescent="0.3">
      <c r="A178">
        <f t="shared" si="16"/>
        <v>20200623</v>
      </c>
      <c r="B178" s="193">
        <v>44005</v>
      </c>
      <c r="C178" s="196" t="str">
        <f t="shared" si="23"/>
        <v>23 June 2020</v>
      </c>
      <c r="D178">
        <f t="shared" si="17"/>
        <v>6</v>
      </c>
      <c r="E178" t="str">
        <f t="shared" si="18"/>
        <v>June</v>
      </c>
      <c r="F178" s="128">
        <f t="shared" si="19"/>
        <v>2020</v>
      </c>
      <c r="G178" s="194" t="str">
        <f t="shared" si="20"/>
        <v>2020-06</v>
      </c>
      <c r="H178" s="193">
        <f t="shared" si="21"/>
        <v>44009</v>
      </c>
      <c r="I178">
        <f t="shared" si="22"/>
        <v>26</v>
      </c>
    </row>
    <row r="179" spans="1:9" x14ac:dyDescent="0.3">
      <c r="A179">
        <f t="shared" si="16"/>
        <v>20200624</v>
      </c>
      <c r="B179" s="193">
        <v>44006</v>
      </c>
      <c r="C179" s="196" t="str">
        <f t="shared" si="23"/>
        <v>24 June 2020</v>
      </c>
      <c r="D179">
        <f t="shared" si="17"/>
        <v>6</v>
      </c>
      <c r="E179" t="str">
        <f t="shared" si="18"/>
        <v>June</v>
      </c>
      <c r="F179" s="128">
        <f t="shared" si="19"/>
        <v>2020</v>
      </c>
      <c r="G179" s="194" t="str">
        <f t="shared" si="20"/>
        <v>2020-06</v>
      </c>
      <c r="H179" s="193">
        <f t="shared" si="21"/>
        <v>44009</v>
      </c>
      <c r="I179">
        <f t="shared" si="22"/>
        <v>26</v>
      </c>
    </row>
    <row r="180" spans="1:9" x14ac:dyDescent="0.3">
      <c r="A180">
        <f t="shared" si="16"/>
        <v>20200625</v>
      </c>
      <c r="B180" s="193">
        <v>44007</v>
      </c>
      <c r="C180" s="196" t="str">
        <f t="shared" si="23"/>
        <v>25 June 2020</v>
      </c>
      <c r="D180">
        <f t="shared" si="17"/>
        <v>6</v>
      </c>
      <c r="E180" t="str">
        <f t="shared" si="18"/>
        <v>June</v>
      </c>
      <c r="F180" s="128">
        <f t="shared" si="19"/>
        <v>2020</v>
      </c>
      <c r="G180" s="194" t="str">
        <f t="shared" si="20"/>
        <v>2020-06</v>
      </c>
      <c r="H180" s="193">
        <f t="shared" si="21"/>
        <v>44009</v>
      </c>
      <c r="I180">
        <f t="shared" si="22"/>
        <v>26</v>
      </c>
    </row>
    <row r="181" spans="1:9" x14ac:dyDescent="0.3">
      <c r="A181">
        <f t="shared" si="16"/>
        <v>20200626</v>
      </c>
      <c r="B181" s="193">
        <v>44008</v>
      </c>
      <c r="C181" s="196" t="str">
        <f t="shared" si="23"/>
        <v>26 June 2020</v>
      </c>
      <c r="D181">
        <f t="shared" si="17"/>
        <v>6</v>
      </c>
      <c r="E181" t="str">
        <f t="shared" si="18"/>
        <v>June</v>
      </c>
      <c r="F181" s="128">
        <f t="shared" si="19"/>
        <v>2020</v>
      </c>
      <c r="G181" s="194" t="str">
        <f t="shared" si="20"/>
        <v>2020-06</v>
      </c>
      <c r="H181" s="193">
        <f t="shared" si="21"/>
        <v>44009</v>
      </c>
      <c r="I181">
        <f t="shared" si="22"/>
        <v>26</v>
      </c>
    </row>
    <row r="182" spans="1:9" x14ac:dyDescent="0.3">
      <c r="A182">
        <f t="shared" si="16"/>
        <v>20200627</v>
      </c>
      <c r="B182" s="193">
        <v>44009</v>
      </c>
      <c r="C182" s="196" t="str">
        <f t="shared" si="23"/>
        <v>27 June 2020</v>
      </c>
      <c r="D182">
        <f t="shared" si="17"/>
        <v>6</v>
      </c>
      <c r="E182" t="str">
        <f t="shared" si="18"/>
        <v>June</v>
      </c>
      <c r="F182" s="128">
        <f t="shared" si="19"/>
        <v>2020</v>
      </c>
      <c r="G182" s="194" t="str">
        <f t="shared" si="20"/>
        <v>2020-06</v>
      </c>
      <c r="H182" s="193">
        <f t="shared" si="21"/>
        <v>44009</v>
      </c>
      <c r="I182">
        <f t="shared" si="22"/>
        <v>26</v>
      </c>
    </row>
    <row r="183" spans="1:9" x14ac:dyDescent="0.3">
      <c r="A183">
        <f t="shared" si="16"/>
        <v>20200628</v>
      </c>
      <c r="B183" s="193">
        <v>44010</v>
      </c>
      <c r="C183" s="196" t="str">
        <f t="shared" si="23"/>
        <v>28 June 2020</v>
      </c>
      <c r="D183">
        <f t="shared" si="17"/>
        <v>6</v>
      </c>
      <c r="E183" t="str">
        <f t="shared" si="18"/>
        <v>June</v>
      </c>
      <c r="F183" s="128">
        <f t="shared" si="19"/>
        <v>2020</v>
      </c>
      <c r="G183" s="194" t="str">
        <f t="shared" si="20"/>
        <v>2020-06</v>
      </c>
      <c r="H183" s="193">
        <f t="shared" si="21"/>
        <v>44016</v>
      </c>
      <c r="I183">
        <f t="shared" si="22"/>
        <v>26</v>
      </c>
    </row>
    <row r="184" spans="1:9" x14ac:dyDescent="0.3">
      <c r="A184">
        <f t="shared" si="16"/>
        <v>20200629</v>
      </c>
      <c r="B184" s="193">
        <v>44011</v>
      </c>
      <c r="C184" s="196" t="str">
        <f t="shared" si="23"/>
        <v>29 June 2020</v>
      </c>
      <c r="D184">
        <f t="shared" si="17"/>
        <v>6</v>
      </c>
      <c r="E184" t="str">
        <f t="shared" si="18"/>
        <v>June</v>
      </c>
      <c r="F184" s="128">
        <f t="shared" si="19"/>
        <v>2020</v>
      </c>
      <c r="G184" s="194" t="str">
        <f t="shared" si="20"/>
        <v>2020-06</v>
      </c>
      <c r="H184" s="193">
        <f t="shared" si="21"/>
        <v>44016</v>
      </c>
      <c r="I184">
        <f t="shared" si="22"/>
        <v>27</v>
      </c>
    </row>
    <row r="185" spans="1:9" x14ac:dyDescent="0.3">
      <c r="A185">
        <f t="shared" si="16"/>
        <v>20200630</v>
      </c>
      <c r="B185" s="193">
        <v>44012</v>
      </c>
      <c r="C185" s="196" t="str">
        <f t="shared" si="23"/>
        <v>30 June 2020</v>
      </c>
      <c r="D185">
        <f t="shared" si="17"/>
        <v>6</v>
      </c>
      <c r="E185" t="str">
        <f t="shared" si="18"/>
        <v>June</v>
      </c>
      <c r="F185" s="128">
        <f t="shared" si="19"/>
        <v>2020</v>
      </c>
      <c r="G185" s="194" t="str">
        <f t="shared" si="20"/>
        <v>2020-06</v>
      </c>
      <c r="H185" s="193">
        <f t="shared" si="21"/>
        <v>44016</v>
      </c>
      <c r="I185">
        <f t="shared" si="22"/>
        <v>27</v>
      </c>
    </row>
    <row r="186" spans="1:9" x14ac:dyDescent="0.3">
      <c r="A186">
        <f t="shared" si="16"/>
        <v>20200701</v>
      </c>
      <c r="B186" s="193">
        <v>44013</v>
      </c>
      <c r="C186" s="196" t="str">
        <f t="shared" si="23"/>
        <v>01 July 2020</v>
      </c>
      <c r="D186">
        <f t="shared" si="17"/>
        <v>7</v>
      </c>
      <c r="E186" t="str">
        <f t="shared" si="18"/>
        <v>July</v>
      </c>
      <c r="F186" s="128">
        <f t="shared" si="19"/>
        <v>2020</v>
      </c>
      <c r="G186" s="194" t="str">
        <f t="shared" si="20"/>
        <v>2020-07</v>
      </c>
      <c r="H186" s="193">
        <f t="shared" si="21"/>
        <v>44016</v>
      </c>
      <c r="I186">
        <f t="shared" si="22"/>
        <v>27</v>
      </c>
    </row>
    <row r="187" spans="1:9" x14ac:dyDescent="0.3">
      <c r="A187">
        <f t="shared" si="16"/>
        <v>20200702</v>
      </c>
      <c r="B187" s="193">
        <v>44014</v>
      </c>
      <c r="C187" s="196" t="str">
        <f t="shared" si="23"/>
        <v>02 July 2020</v>
      </c>
      <c r="D187">
        <f t="shared" si="17"/>
        <v>7</v>
      </c>
      <c r="E187" t="str">
        <f t="shared" si="18"/>
        <v>July</v>
      </c>
      <c r="F187" s="128">
        <f t="shared" si="19"/>
        <v>2020</v>
      </c>
      <c r="G187" s="194" t="str">
        <f t="shared" si="20"/>
        <v>2020-07</v>
      </c>
      <c r="H187" s="193">
        <f t="shared" si="21"/>
        <v>44016</v>
      </c>
      <c r="I187">
        <f t="shared" si="22"/>
        <v>27</v>
      </c>
    </row>
    <row r="188" spans="1:9" x14ac:dyDescent="0.3">
      <c r="A188">
        <f t="shared" si="16"/>
        <v>20200703</v>
      </c>
      <c r="B188" s="193">
        <v>44015</v>
      </c>
      <c r="C188" s="196" t="str">
        <f t="shared" si="23"/>
        <v>03 July 2020</v>
      </c>
      <c r="D188">
        <f t="shared" si="17"/>
        <v>7</v>
      </c>
      <c r="E188" t="str">
        <f t="shared" si="18"/>
        <v>July</v>
      </c>
      <c r="F188" s="128">
        <f t="shared" si="19"/>
        <v>2020</v>
      </c>
      <c r="G188" s="194" t="str">
        <f t="shared" si="20"/>
        <v>2020-07</v>
      </c>
      <c r="H188" s="193">
        <f t="shared" si="21"/>
        <v>44016</v>
      </c>
      <c r="I188">
        <f t="shared" si="22"/>
        <v>27</v>
      </c>
    </row>
    <row r="189" spans="1:9" x14ac:dyDescent="0.3">
      <c r="A189">
        <f t="shared" si="16"/>
        <v>20200704</v>
      </c>
      <c r="B189" s="193">
        <v>44016</v>
      </c>
      <c r="C189" s="196" t="str">
        <f t="shared" si="23"/>
        <v>04 July 2020</v>
      </c>
      <c r="D189">
        <f t="shared" si="17"/>
        <v>7</v>
      </c>
      <c r="E189" t="str">
        <f t="shared" si="18"/>
        <v>July</v>
      </c>
      <c r="F189" s="128">
        <f t="shared" si="19"/>
        <v>2020</v>
      </c>
      <c r="G189" s="194" t="str">
        <f t="shared" si="20"/>
        <v>2020-07</v>
      </c>
      <c r="H189" s="193">
        <f t="shared" si="21"/>
        <v>44016</v>
      </c>
      <c r="I189">
        <f t="shared" si="22"/>
        <v>27</v>
      </c>
    </row>
    <row r="190" spans="1:9" x14ac:dyDescent="0.3">
      <c r="A190">
        <f t="shared" si="16"/>
        <v>20200705</v>
      </c>
      <c r="B190" s="193">
        <v>44017</v>
      </c>
      <c r="C190" s="196" t="str">
        <f t="shared" si="23"/>
        <v>05 July 2020</v>
      </c>
      <c r="D190">
        <f t="shared" si="17"/>
        <v>7</v>
      </c>
      <c r="E190" t="str">
        <f t="shared" si="18"/>
        <v>July</v>
      </c>
      <c r="F190" s="128">
        <f t="shared" si="19"/>
        <v>2020</v>
      </c>
      <c r="G190" s="194" t="str">
        <f t="shared" si="20"/>
        <v>2020-07</v>
      </c>
      <c r="H190" s="193">
        <f t="shared" si="21"/>
        <v>44023</v>
      </c>
      <c r="I190">
        <f t="shared" si="22"/>
        <v>27</v>
      </c>
    </row>
    <row r="191" spans="1:9" x14ac:dyDescent="0.3">
      <c r="A191">
        <f t="shared" si="16"/>
        <v>20200706</v>
      </c>
      <c r="B191" s="193">
        <v>44018</v>
      </c>
      <c r="C191" s="196" t="str">
        <f t="shared" si="23"/>
        <v>06 July 2020</v>
      </c>
      <c r="D191">
        <f t="shared" si="17"/>
        <v>7</v>
      </c>
      <c r="E191" t="str">
        <f t="shared" si="18"/>
        <v>July</v>
      </c>
      <c r="F191" s="128">
        <f t="shared" si="19"/>
        <v>2020</v>
      </c>
      <c r="G191" s="194" t="str">
        <f t="shared" si="20"/>
        <v>2020-07</v>
      </c>
      <c r="H191" s="193">
        <f t="shared" si="21"/>
        <v>44023</v>
      </c>
      <c r="I191">
        <f t="shared" si="22"/>
        <v>28</v>
      </c>
    </row>
    <row r="192" spans="1:9" x14ac:dyDescent="0.3">
      <c r="A192">
        <f t="shared" si="16"/>
        <v>20200707</v>
      </c>
      <c r="B192" s="193">
        <v>44019</v>
      </c>
      <c r="C192" s="196" t="str">
        <f t="shared" si="23"/>
        <v>07 July 2020</v>
      </c>
      <c r="D192">
        <f t="shared" si="17"/>
        <v>7</v>
      </c>
      <c r="E192" t="str">
        <f t="shared" si="18"/>
        <v>July</v>
      </c>
      <c r="F192" s="128">
        <f t="shared" si="19"/>
        <v>2020</v>
      </c>
      <c r="G192" s="194" t="str">
        <f t="shared" si="20"/>
        <v>2020-07</v>
      </c>
      <c r="H192" s="193">
        <f t="shared" si="21"/>
        <v>44023</v>
      </c>
      <c r="I192">
        <f t="shared" si="22"/>
        <v>28</v>
      </c>
    </row>
    <row r="193" spans="1:9" x14ac:dyDescent="0.3">
      <c r="A193">
        <f t="shared" si="16"/>
        <v>20200708</v>
      </c>
      <c r="B193" s="193">
        <v>44020</v>
      </c>
      <c r="C193" s="196" t="str">
        <f t="shared" si="23"/>
        <v>08 July 2020</v>
      </c>
      <c r="D193">
        <f t="shared" si="17"/>
        <v>7</v>
      </c>
      <c r="E193" t="str">
        <f t="shared" si="18"/>
        <v>July</v>
      </c>
      <c r="F193" s="128">
        <f t="shared" si="19"/>
        <v>2020</v>
      </c>
      <c r="G193" s="194" t="str">
        <f t="shared" si="20"/>
        <v>2020-07</v>
      </c>
      <c r="H193" s="193">
        <f t="shared" si="21"/>
        <v>44023</v>
      </c>
      <c r="I193">
        <f t="shared" si="22"/>
        <v>28</v>
      </c>
    </row>
    <row r="194" spans="1:9" x14ac:dyDescent="0.3">
      <c r="A194">
        <f t="shared" si="16"/>
        <v>20200709</v>
      </c>
      <c r="B194" s="193">
        <v>44021</v>
      </c>
      <c r="C194" s="196" t="str">
        <f t="shared" si="23"/>
        <v>09 July 2020</v>
      </c>
      <c r="D194">
        <f t="shared" si="17"/>
        <v>7</v>
      </c>
      <c r="E194" t="str">
        <f t="shared" si="18"/>
        <v>July</v>
      </c>
      <c r="F194" s="128">
        <f t="shared" si="19"/>
        <v>2020</v>
      </c>
      <c r="G194" s="194" t="str">
        <f t="shared" si="20"/>
        <v>2020-07</v>
      </c>
      <c r="H194" s="193">
        <f t="shared" si="21"/>
        <v>44023</v>
      </c>
      <c r="I194">
        <f t="shared" si="22"/>
        <v>28</v>
      </c>
    </row>
    <row r="195" spans="1:9" x14ac:dyDescent="0.3">
      <c r="A195">
        <f t="shared" ref="A195:A258" si="24">YEAR(B195)*10000+MONTH(B195)*100+DAY(B195)</f>
        <v>20200710</v>
      </c>
      <c r="B195" s="193">
        <v>44022</v>
      </c>
      <c r="C195" s="196" t="str">
        <f t="shared" si="23"/>
        <v>10 July 2020</v>
      </c>
      <c r="D195">
        <f t="shared" ref="D195:D258" si="25">MONTH(B195)</f>
        <v>7</v>
      </c>
      <c r="E195" t="str">
        <f t="shared" ref="E195:E258" si="26">TEXT(B195,"MMMM")</f>
        <v>July</v>
      </c>
      <c r="F195" s="128">
        <f t="shared" ref="F195:F258" si="27">YEAR(B195)</f>
        <v>2020</v>
      </c>
      <c r="G195" s="194" t="str">
        <f t="shared" ref="G195:G258" si="28">TEXT(B195,"YYYY-MM")</f>
        <v>2020-07</v>
      </c>
      <c r="H195" s="193">
        <f t="shared" ref="H195:H258" si="29">B195-WEEKDAY(B195)+7</f>
        <v>44023</v>
      </c>
      <c r="I195">
        <f t="shared" ref="I195:I258" si="30">WEEKNUM(B195,2)</f>
        <v>28</v>
      </c>
    </row>
    <row r="196" spans="1:9" x14ac:dyDescent="0.3">
      <c r="A196">
        <f t="shared" si="24"/>
        <v>20200711</v>
      </c>
      <c r="B196" s="193">
        <v>44023</v>
      </c>
      <c r="C196" s="196" t="str">
        <f t="shared" ref="C196:C259" si="31">TEXT(B196,"dd MMMM YYYY")</f>
        <v>11 July 2020</v>
      </c>
      <c r="D196">
        <f t="shared" si="25"/>
        <v>7</v>
      </c>
      <c r="E196" t="str">
        <f t="shared" si="26"/>
        <v>July</v>
      </c>
      <c r="F196" s="128">
        <f t="shared" si="27"/>
        <v>2020</v>
      </c>
      <c r="G196" s="194" t="str">
        <f t="shared" si="28"/>
        <v>2020-07</v>
      </c>
      <c r="H196" s="193">
        <f t="shared" si="29"/>
        <v>44023</v>
      </c>
      <c r="I196">
        <f t="shared" si="30"/>
        <v>28</v>
      </c>
    </row>
    <row r="197" spans="1:9" x14ac:dyDescent="0.3">
      <c r="A197">
        <f t="shared" si="24"/>
        <v>20200712</v>
      </c>
      <c r="B197" s="193">
        <v>44024</v>
      </c>
      <c r="C197" s="196" t="str">
        <f t="shared" si="31"/>
        <v>12 July 2020</v>
      </c>
      <c r="D197">
        <f t="shared" si="25"/>
        <v>7</v>
      </c>
      <c r="E197" t="str">
        <f t="shared" si="26"/>
        <v>July</v>
      </c>
      <c r="F197" s="128">
        <f t="shared" si="27"/>
        <v>2020</v>
      </c>
      <c r="G197" s="194" t="str">
        <f t="shared" si="28"/>
        <v>2020-07</v>
      </c>
      <c r="H197" s="193">
        <f t="shared" si="29"/>
        <v>44030</v>
      </c>
      <c r="I197">
        <f t="shared" si="30"/>
        <v>28</v>
      </c>
    </row>
    <row r="198" spans="1:9" x14ac:dyDescent="0.3">
      <c r="A198">
        <f t="shared" si="24"/>
        <v>20200713</v>
      </c>
      <c r="B198" s="193">
        <v>44025</v>
      </c>
      <c r="C198" s="196" t="str">
        <f t="shared" si="31"/>
        <v>13 July 2020</v>
      </c>
      <c r="D198">
        <f t="shared" si="25"/>
        <v>7</v>
      </c>
      <c r="E198" t="str">
        <f t="shared" si="26"/>
        <v>July</v>
      </c>
      <c r="F198" s="128">
        <f t="shared" si="27"/>
        <v>2020</v>
      </c>
      <c r="G198" s="194" t="str">
        <f t="shared" si="28"/>
        <v>2020-07</v>
      </c>
      <c r="H198" s="193">
        <f t="shared" si="29"/>
        <v>44030</v>
      </c>
      <c r="I198">
        <f t="shared" si="30"/>
        <v>29</v>
      </c>
    </row>
    <row r="199" spans="1:9" x14ac:dyDescent="0.3">
      <c r="A199">
        <f t="shared" si="24"/>
        <v>20200714</v>
      </c>
      <c r="B199" s="193">
        <v>44026</v>
      </c>
      <c r="C199" s="196" t="str">
        <f t="shared" si="31"/>
        <v>14 July 2020</v>
      </c>
      <c r="D199">
        <f t="shared" si="25"/>
        <v>7</v>
      </c>
      <c r="E199" t="str">
        <f t="shared" si="26"/>
        <v>July</v>
      </c>
      <c r="F199" s="128">
        <f t="shared" si="27"/>
        <v>2020</v>
      </c>
      <c r="G199" s="194" t="str">
        <f t="shared" si="28"/>
        <v>2020-07</v>
      </c>
      <c r="H199" s="193">
        <f t="shared" si="29"/>
        <v>44030</v>
      </c>
      <c r="I199">
        <f t="shared" si="30"/>
        <v>29</v>
      </c>
    </row>
    <row r="200" spans="1:9" x14ac:dyDescent="0.3">
      <c r="A200">
        <f t="shared" si="24"/>
        <v>20200715</v>
      </c>
      <c r="B200" s="193">
        <v>44027</v>
      </c>
      <c r="C200" s="196" t="str">
        <f t="shared" si="31"/>
        <v>15 July 2020</v>
      </c>
      <c r="D200">
        <f t="shared" si="25"/>
        <v>7</v>
      </c>
      <c r="E200" t="str">
        <f t="shared" si="26"/>
        <v>July</v>
      </c>
      <c r="F200" s="128">
        <f t="shared" si="27"/>
        <v>2020</v>
      </c>
      <c r="G200" s="194" t="str">
        <f t="shared" si="28"/>
        <v>2020-07</v>
      </c>
      <c r="H200" s="193">
        <f t="shared" si="29"/>
        <v>44030</v>
      </c>
      <c r="I200">
        <f t="shared" si="30"/>
        <v>29</v>
      </c>
    </row>
    <row r="201" spans="1:9" x14ac:dyDescent="0.3">
      <c r="A201">
        <f t="shared" si="24"/>
        <v>20200716</v>
      </c>
      <c r="B201" s="193">
        <v>44028</v>
      </c>
      <c r="C201" s="196" t="str">
        <f t="shared" si="31"/>
        <v>16 July 2020</v>
      </c>
      <c r="D201">
        <f t="shared" si="25"/>
        <v>7</v>
      </c>
      <c r="E201" t="str">
        <f t="shared" si="26"/>
        <v>July</v>
      </c>
      <c r="F201" s="128">
        <f t="shared" si="27"/>
        <v>2020</v>
      </c>
      <c r="G201" s="194" t="str">
        <f t="shared" si="28"/>
        <v>2020-07</v>
      </c>
      <c r="H201" s="193">
        <f t="shared" si="29"/>
        <v>44030</v>
      </c>
      <c r="I201">
        <f t="shared" si="30"/>
        <v>29</v>
      </c>
    </row>
    <row r="202" spans="1:9" x14ac:dyDescent="0.3">
      <c r="A202">
        <f t="shared" si="24"/>
        <v>20200717</v>
      </c>
      <c r="B202" s="193">
        <v>44029</v>
      </c>
      <c r="C202" s="196" t="str">
        <f t="shared" si="31"/>
        <v>17 July 2020</v>
      </c>
      <c r="D202">
        <f t="shared" si="25"/>
        <v>7</v>
      </c>
      <c r="E202" t="str">
        <f t="shared" si="26"/>
        <v>July</v>
      </c>
      <c r="F202" s="128">
        <f t="shared" si="27"/>
        <v>2020</v>
      </c>
      <c r="G202" s="194" t="str">
        <f t="shared" si="28"/>
        <v>2020-07</v>
      </c>
      <c r="H202" s="193">
        <f t="shared" si="29"/>
        <v>44030</v>
      </c>
      <c r="I202">
        <f t="shared" si="30"/>
        <v>29</v>
      </c>
    </row>
    <row r="203" spans="1:9" x14ac:dyDescent="0.3">
      <c r="A203">
        <f t="shared" si="24"/>
        <v>20200718</v>
      </c>
      <c r="B203" s="193">
        <v>44030</v>
      </c>
      <c r="C203" s="196" t="str">
        <f t="shared" si="31"/>
        <v>18 July 2020</v>
      </c>
      <c r="D203">
        <f t="shared" si="25"/>
        <v>7</v>
      </c>
      <c r="E203" t="str">
        <f t="shared" si="26"/>
        <v>July</v>
      </c>
      <c r="F203" s="128">
        <f t="shared" si="27"/>
        <v>2020</v>
      </c>
      <c r="G203" s="194" t="str">
        <f t="shared" si="28"/>
        <v>2020-07</v>
      </c>
      <c r="H203" s="193">
        <f t="shared" si="29"/>
        <v>44030</v>
      </c>
      <c r="I203">
        <f t="shared" si="30"/>
        <v>29</v>
      </c>
    </row>
    <row r="204" spans="1:9" x14ac:dyDescent="0.3">
      <c r="A204">
        <f t="shared" si="24"/>
        <v>20200719</v>
      </c>
      <c r="B204" s="193">
        <v>44031</v>
      </c>
      <c r="C204" s="196" t="str">
        <f t="shared" si="31"/>
        <v>19 July 2020</v>
      </c>
      <c r="D204">
        <f t="shared" si="25"/>
        <v>7</v>
      </c>
      <c r="E204" t="str">
        <f t="shared" si="26"/>
        <v>July</v>
      </c>
      <c r="F204" s="128">
        <f t="shared" si="27"/>
        <v>2020</v>
      </c>
      <c r="G204" s="194" t="str">
        <f t="shared" si="28"/>
        <v>2020-07</v>
      </c>
      <c r="H204" s="193">
        <f t="shared" si="29"/>
        <v>44037</v>
      </c>
      <c r="I204">
        <f t="shared" si="30"/>
        <v>29</v>
      </c>
    </row>
    <row r="205" spans="1:9" x14ac:dyDescent="0.3">
      <c r="A205">
        <f t="shared" si="24"/>
        <v>20200720</v>
      </c>
      <c r="B205" s="193">
        <v>44032</v>
      </c>
      <c r="C205" s="196" t="str">
        <f t="shared" si="31"/>
        <v>20 July 2020</v>
      </c>
      <c r="D205">
        <f t="shared" si="25"/>
        <v>7</v>
      </c>
      <c r="E205" t="str">
        <f t="shared" si="26"/>
        <v>July</v>
      </c>
      <c r="F205" s="128">
        <f t="shared" si="27"/>
        <v>2020</v>
      </c>
      <c r="G205" s="194" t="str">
        <f t="shared" si="28"/>
        <v>2020-07</v>
      </c>
      <c r="H205" s="193">
        <f t="shared" si="29"/>
        <v>44037</v>
      </c>
      <c r="I205">
        <f t="shared" si="30"/>
        <v>30</v>
      </c>
    </row>
    <row r="206" spans="1:9" x14ac:dyDescent="0.3">
      <c r="A206">
        <f t="shared" si="24"/>
        <v>20200721</v>
      </c>
      <c r="B206" s="193">
        <v>44033</v>
      </c>
      <c r="C206" s="196" t="str">
        <f t="shared" si="31"/>
        <v>21 July 2020</v>
      </c>
      <c r="D206">
        <f t="shared" si="25"/>
        <v>7</v>
      </c>
      <c r="E206" t="str">
        <f t="shared" si="26"/>
        <v>July</v>
      </c>
      <c r="F206" s="128">
        <f t="shared" si="27"/>
        <v>2020</v>
      </c>
      <c r="G206" s="194" t="str">
        <f t="shared" si="28"/>
        <v>2020-07</v>
      </c>
      <c r="H206" s="193">
        <f t="shared" si="29"/>
        <v>44037</v>
      </c>
      <c r="I206">
        <f t="shared" si="30"/>
        <v>30</v>
      </c>
    </row>
    <row r="207" spans="1:9" x14ac:dyDescent="0.3">
      <c r="A207">
        <f t="shared" si="24"/>
        <v>20200722</v>
      </c>
      <c r="B207" s="193">
        <v>44034</v>
      </c>
      <c r="C207" s="196" t="str">
        <f t="shared" si="31"/>
        <v>22 July 2020</v>
      </c>
      <c r="D207">
        <f t="shared" si="25"/>
        <v>7</v>
      </c>
      <c r="E207" t="str">
        <f t="shared" si="26"/>
        <v>July</v>
      </c>
      <c r="F207" s="128">
        <f t="shared" si="27"/>
        <v>2020</v>
      </c>
      <c r="G207" s="194" t="str">
        <f t="shared" si="28"/>
        <v>2020-07</v>
      </c>
      <c r="H207" s="193">
        <f t="shared" si="29"/>
        <v>44037</v>
      </c>
      <c r="I207">
        <f t="shared" si="30"/>
        <v>30</v>
      </c>
    </row>
    <row r="208" spans="1:9" x14ac:dyDescent="0.3">
      <c r="A208">
        <f t="shared" si="24"/>
        <v>20200723</v>
      </c>
      <c r="B208" s="193">
        <v>44035</v>
      </c>
      <c r="C208" s="196" t="str">
        <f t="shared" si="31"/>
        <v>23 July 2020</v>
      </c>
      <c r="D208">
        <f t="shared" si="25"/>
        <v>7</v>
      </c>
      <c r="E208" t="str">
        <f t="shared" si="26"/>
        <v>July</v>
      </c>
      <c r="F208" s="128">
        <f t="shared" si="27"/>
        <v>2020</v>
      </c>
      <c r="G208" s="194" t="str">
        <f t="shared" si="28"/>
        <v>2020-07</v>
      </c>
      <c r="H208" s="193">
        <f t="shared" si="29"/>
        <v>44037</v>
      </c>
      <c r="I208">
        <f t="shared" si="30"/>
        <v>30</v>
      </c>
    </row>
    <row r="209" spans="1:9" x14ac:dyDescent="0.3">
      <c r="A209">
        <f t="shared" si="24"/>
        <v>20200724</v>
      </c>
      <c r="B209" s="193">
        <v>44036</v>
      </c>
      <c r="C209" s="196" t="str">
        <f t="shared" si="31"/>
        <v>24 July 2020</v>
      </c>
      <c r="D209">
        <f t="shared" si="25"/>
        <v>7</v>
      </c>
      <c r="E209" t="str">
        <f t="shared" si="26"/>
        <v>July</v>
      </c>
      <c r="F209" s="128">
        <f t="shared" si="27"/>
        <v>2020</v>
      </c>
      <c r="G209" s="194" t="str">
        <f t="shared" si="28"/>
        <v>2020-07</v>
      </c>
      <c r="H209" s="193">
        <f t="shared" si="29"/>
        <v>44037</v>
      </c>
      <c r="I209">
        <f t="shared" si="30"/>
        <v>30</v>
      </c>
    </row>
    <row r="210" spans="1:9" x14ac:dyDescent="0.3">
      <c r="A210">
        <f t="shared" si="24"/>
        <v>20200725</v>
      </c>
      <c r="B210" s="193">
        <v>44037</v>
      </c>
      <c r="C210" s="196" t="str">
        <f t="shared" si="31"/>
        <v>25 July 2020</v>
      </c>
      <c r="D210">
        <f t="shared" si="25"/>
        <v>7</v>
      </c>
      <c r="E210" t="str">
        <f t="shared" si="26"/>
        <v>July</v>
      </c>
      <c r="F210" s="128">
        <f t="shared" si="27"/>
        <v>2020</v>
      </c>
      <c r="G210" s="194" t="str">
        <f t="shared" si="28"/>
        <v>2020-07</v>
      </c>
      <c r="H210" s="193">
        <f t="shared" si="29"/>
        <v>44037</v>
      </c>
      <c r="I210">
        <f t="shared" si="30"/>
        <v>30</v>
      </c>
    </row>
    <row r="211" spans="1:9" x14ac:dyDescent="0.3">
      <c r="A211">
        <f t="shared" si="24"/>
        <v>20200726</v>
      </c>
      <c r="B211" s="193">
        <v>44038</v>
      </c>
      <c r="C211" s="196" t="str">
        <f t="shared" si="31"/>
        <v>26 July 2020</v>
      </c>
      <c r="D211">
        <f t="shared" si="25"/>
        <v>7</v>
      </c>
      <c r="E211" t="str">
        <f t="shared" si="26"/>
        <v>July</v>
      </c>
      <c r="F211" s="128">
        <f t="shared" si="27"/>
        <v>2020</v>
      </c>
      <c r="G211" s="194" t="str">
        <f t="shared" si="28"/>
        <v>2020-07</v>
      </c>
      <c r="H211" s="193">
        <f t="shared" si="29"/>
        <v>44044</v>
      </c>
      <c r="I211">
        <f t="shared" si="30"/>
        <v>30</v>
      </c>
    </row>
    <row r="212" spans="1:9" x14ac:dyDescent="0.3">
      <c r="A212">
        <f t="shared" si="24"/>
        <v>20200727</v>
      </c>
      <c r="B212" s="193">
        <v>44039</v>
      </c>
      <c r="C212" s="196" t="str">
        <f t="shared" si="31"/>
        <v>27 July 2020</v>
      </c>
      <c r="D212">
        <f t="shared" si="25"/>
        <v>7</v>
      </c>
      <c r="E212" t="str">
        <f t="shared" si="26"/>
        <v>July</v>
      </c>
      <c r="F212" s="128">
        <f t="shared" si="27"/>
        <v>2020</v>
      </c>
      <c r="G212" s="194" t="str">
        <f t="shared" si="28"/>
        <v>2020-07</v>
      </c>
      <c r="H212" s="193">
        <f t="shared" si="29"/>
        <v>44044</v>
      </c>
      <c r="I212">
        <f t="shared" si="30"/>
        <v>31</v>
      </c>
    </row>
    <row r="213" spans="1:9" x14ac:dyDescent="0.3">
      <c r="A213">
        <f t="shared" si="24"/>
        <v>20200728</v>
      </c>
      <c r="B213" s="193">
        <v>44040</v>
      </c>
      <c r="C213" s="196" t="str">
        <f t="shared" si="31"/>
        <v>28 July 2020</v>
      </c>
      <c r="D213">
        <f t="shared" si="25"/>
        <v>7</v>
      </c>
      <c r="E213" t="str">
        <f t="shared" si="26"/>
        <v>July</v>
      </c>
      <c r="F213" s="128">
        <f t="shared" si="27"/>
        <v>2020</v>
      </c>
      <c r="G213" s="194" t="str">
        <f t="shared" si="28"/>
        <v>2020-07</v>
      </c>
      <c r="H213" s="193">
        <f t="shared" si="29"/>
        <v>44044</v>
      </c>
      <c r="I213">
        <f t="shared" si="30"/>
        <v>31</v>
      </c>
    </row>
    <row r="214" spans="1:9" x14ac:dyDescent="0.3">
      <c r="A214">
        <f t="shared" si="24"/>
        <v>20200729</v>
      </c>
      <c r="B214" s="193">
        <v>44041</v>
      </c>
      <c r="C214" s="196" t="str">
        <f t="shared" si="31"/>
        <v>29 July 2020</v>
      </c>
      <c r="D214">
        <f t="shared" si="25"/>
        <v>7</v>
      </c>
      <c r="E214" t="str">
        <f t="shared" si="26"/>
        <v>July</v>
      </c>
      <c r="F214" s="128">
        <f t="shared" si="27"/>
        <v>2020</v>
      </c>
      <c r="G214" s="194" t="str">
        <f t="shared" si="28"/>
        <v>2020-07</v>
      </c>
      <c r="H214" s="193">
        <f t="shared" si="29"/>
        <v>44044</v>
      </c>
      <c r="I214">
        <f t="shared" si="30"/>
        <v>31</v>
      </c>
    </row>
    <row r="215" spans="1:9" x14ac:dyDescent="0.3">
      <c r="A215">
        <f t="shared" si="24"/>
        <v>20200730</v>
      </c>
      <c r="B215" s="193">
        <v>44042</v>
      </c>
      <c r="C215" s="196" t="str">
        <f t="shared" si="31"/>
        <v>30 July 2020</v>
      </c>
      <c r="D215">
        <f t="shared" si="25"/>
        <v>7</v>
      </c>
      <c r="E215" t="str">
        <f t="shared" si="26"/>
        <v>July</v>
      </c>
      <c r="F215" s="128">
        <f t="shared" si="27"/>
        <v>2020</v>
      </c>
      <c r="G215" s="194" t="str">
        <f t="shared" si="28"/>
        <v>2020-07</v>
      </c>
      <c r="H215" s="193">
        <f t="shared" si="29"/>
        <v>44044</v>
      </c>
      <c r="I215">
        <f t="shared" si="30"/>
        <v>31</v>
      </c>
    </row>
    <row r="216" spans="1:9" x14ac:dyDescent="0.3">
      <c r="A216">
        <f t="shared" si="24"/>
        <v>20200731</v>
      </c>
      <c r="B216" s="193">
        <v>44043</v>
      </c>
      <c r="C216" s="196" t="str">
        <f t="shared" si="31"/>
        <v>31 July 2020</v>
      </c>
      <c r="D216">
        <f t="shared" si="25"/>
        <v>7</v>
      </c>
      <c r="E216" t="str">
        <f t="shared" si="26"/>
        <v>July</v>
      </c>
      <c r="F216" s="128">
        <f t="shared" si="27"/>
        <v>2020</v>
      </c>
      <c r="G216" s="194" t="str">
        <f t="shared" si="28"/>
        <v>2020-07</v>
      </c>
      <c r="H216" s="193">
        <f t="shared" si="29"/>
        <v>44044</v>
      </c>
      <c r="I216">
        <f t="shared" si="30"/>
        <v>31</v>
      </c>
    </row>
    <row r="217" spans="1:9" x14ac:dyDescent="0.3">
      <c r="A217">
        <f t="shared" si="24"/>
        <v>20200801</v>
      </c>
      <c r="B217" s="193">
        <v>44044</v>
      </c>
      <c r="C217" s="196" t="str">
        <f t="shared" si="31"/>
        <v>01 August 2020</v>
      </c>
      <c r="D217">
        <f t="shared" si="25"/>
        <v>8</v>
      </c>
      <c r="E217" t="str">
        <f t="shared" si="26"/>
        <v>August</v>
      </c>
      <c r="F217" s="128">
        <f t="shared" si="27"/>
        <v>2020</v>
      </c>
      <c r="G217" s="194" t="str">
        <f t="shared" si="28"/>
        <v>2020-08</v>
      </c>
      <c r="H217" s="193">
        <f t="shared" si="29"/>
        <v>44044</v>
      </c>
      <c r="I217">
        <f t="shared" si="30"/>
        <v>31</v>
      </c>
    </row>
    <row r="218" spans="1:9" x14ac:dyDescent="0.3">
      <c r="A218">
        <f t="shared" si="24"/>
        <v>20200802</v>
      </c>
      <c r="B218" s="193">
        <v>44045</v>
      </c>
      <c r="C218" s="196" t="str">
        <f t="shared" si="31"/>
        <v>02 August 2020</v>
      </c>
      <c r="D218">
        <f t="shared" si="25"/>
        <v>8</v>
      </c>
      <c r="E218" t="str">
        <f t="shared" si="26"/>
        <v>August</v>
      </c>
      <c r="F218" s="128">
        <f t="shared" si="27"/>
        <v>2020</v>
      </c>
      <c r="G218" s="194" t="str">
        <f t="shared" si="28"/>
        <v>2020-08</v>
      </c>
      <c r="H218" s="193">
        <f t="shared" si="29"/>
        <v>44051</v>
      </c>
      <c r="I218">
        <f t="shared" si="30"/>
        <v>31</v>
      </c>
    </row>
    <row r="219" spans="1:9" x14ac:dyDescent="0.3">
      <c r="A219">
        <f t="shared" si="24"/>
        <v>20200803</v>
      </c>
      <c r="B219" s="193">
        <v>44046</v>
      </c>
      <c r="C219" s="196" t="str">
        <f t="shared" si="31"/>
        <v>03 August 2020</v>
      </c>
      <c r="D219">
        <f t="shared" si="25"/>
        <v>8</v>
      </c>
      <c r="E219" t="str">
        <f t="shared" si="26"/>
        <v>August</v>
      </c>
      <c r="F219" s="128">
        <f t="shared" si="27"/>
        <v>2020</v>
      </c>
      <c r="G219" s="194" t="str">
        <f t="shared" si="28"/>
        <v>2020-08</v>
      </c>
      <c r="H219" s="193">
        <f t="shared" si="29"/>
        <v>44051</v>
      </c>
      <c r="I219">
        <f t="shared" si="30"/>
        <v>32</v>
      </c>
    </row>
    <row r="220" spans="1:9" x14ac:dyDescent="0.3">
      <c r="A220">
        <f t="shared" si="24"/>
        <v>20200804</v>
      </c>
      <c r="B220" s="193">
        <v>44047</v>
      </c>
      <c r="C220" s="196" t="str">
        <f t="shared" si="31"/>
        <v>04 August 2020</v>
      </c>
      <c r="D220">
        <f t="shared" si="25"/>
        <v>8</v>
      </c>
      <c r="E220" t="str">
        <f t="shared" si="26"/>
        <v>August</v>
      </c>
      <c r="F220" s="128">
        <f t="shared" si="27"/>
        <v>2020</v>
      </c>
      <c r="G220" s="194" t="str">
        <f t="shared" si="28"/>
        <v>2020-08</v>
      </c>
      <c r="H220" s="193">
        <f t="shared" si="29"/>
        <v>44051</v>
      </c>
      <c r="I220">
        <f t="shared" si="30"/>
        <v>32</v>
      </c>
    </row>
    <row r="221" spans="1:9" x14ac:dyDescent="0.3">
      <c r="A221">
        <f t="shared" si="24"/>
        <v>20200805</v>
      </c>
      <c r="B221" s="193">
        <v>44048</v>
      </c>
      <c r="C221" s="196" t="str">
        <f t="shared" si="31"/>
        <v>05 August 2020</v>
      </c>
      <c r="D221">
        <f t="shared" si="25"/>
        <v>8</v>
      </c>
      <c r="E221" t="str">
        <f t="shared" si="26"/>
        <v>August</v>
      </c>
      <c r="F221" s="128">
        <f t="shared" si="27"/>
        <v>2020</v>
      </c>
      <c r="G221" s="194" t="str">
        <f t="shared" si="28"/>
        <v>2020-08</v>
      </c>
      <c r="H221" s="193">
        <f t="shared" si="29"/>
        <v>44051</v>
      </c>
      <c r="I221">
        <f t="shared" si="30"/>
        <v>32</v>
      </c>
    </row>
    <row r="222" spans="1:9" x14ac:dyDescent="0.3">
      <c r="A222">
        <f t="shared" si="24"/>
        <v>20200806</v>
      </c>
      <c r="B222" s="193">
        <v>44049</v>
      </c>
      <c r="C222" s="196" t="str">
        <f t="shared" si="31"/>
        <v>06 August 2020</v>
      </c>
      <c r="D222">
        <f t="shared" si="25"/>
        <v>8</v>
      </c>
      <c r="E222" t="str">
        <f t="shared" si="26"/>
        <v>August</v>
      </c>
      <c r="F222" s="128">
        <f t="shared" si="27"/>
        <v>2020</v>
      </c>
      <c r="G222" s="194" t="str">
        <f t="shared" si="28"/>
        <v>2020-08</v>
      </c>
      <c r="H222" s="193">
        <f t="shared" si="29"/>
        <v>44051</v>
      </c>
      <c r="I222">
        <f t="shared" si="30"/>
        <v>32</v>
      </c>
    </row>
    <row r="223" spans="1:9" x14ac:dyDescent="0.3">
      <c r="A223">
        <f t="shared" si="24"/>
        <v>20200807</v>
      </c>
      <c r="B223" s="193">
        <v>44050</v>
      </c>
      <c r="C223" s="196" t="str">
        <f t="shared" si="31"/>
        <v>07 August 2020</v>
      </c>
      <c r="D223">
        <f t="shared" si="25"/>
        <v>8</v>
      </c>
      <c r="E223" t="str">
        <f t="shared" si="26"/>
        <v>August</v>
      </c>
      <c r="F223" s="128">
        <f t="shared" si="27"/>
        <v>2020</v>
      </c>
      <c r="G223" s="194" t="str">
        <f t="shared" si="28"/>
        <v>2020-08</v>
      </c>
      <c r="H223" s="193">
        <f t="shared" si="29"/>
        <v>44051</v>
      </c>
      <c r="I223">
        <f t="shared" si="30"/>
        <v>32</v>
      </c>
    </row>
    <row r="224" spans="1:9" x14ac:dyDescent="0.3">
      <c r="A224">
        <f t="shared" si="24"/>
        <v>20200808</v>
      </c>
      <c r="B224" s="193">
        <v>44051</v>
      </c>
      <c r="C224" s="196" t="str">
        <f t="shared" si="31"/>
        <v>08 August 2020</v>
      </c>
      <c r="D224">
        <f t="shared" si="25"/>
        <v>8</v>
      </c>
      <c r="E224" t="str">
        <f t="shared" si="26"/>
        <v>August</v>
      </c>
      <c r="F224" s="128">
        <f t="shared" si="27"/>
        <v>2020</v>
      </c>
      <c r="G224" s="194" t="str">
        <f t="shared" si="28"/>
        <v>2020-08</v>
      </c>
      <c r="H224" s="193">
        <f t="shared" si="29"/>
        <v>44051</v>
      </c>
      <c r="I224">
        <f t="shared" si="30"/>
        <v>32</v>
      </c>
    </row>
    <row r="225" spans="1:9" x14ac:dyDescent="0.3">
      <c r="A225">
        <f t="shared" si="24"/>
        <v>20200809</v>
      </c>
      <c r="B225" s="193">
        <v>44052</v>
      </c>
      <c r="C225" s="196" t="str">
        <f t="shared" si="31"/>
        <v>09 August 2020</v>
      </c>
      <c r="D225">
        <f t="shared" si="25"/>
        <v>8</v>
      </c>
      <c r="E225" t="str">
        <f t="shared" si="26"/>
        <v>August</v>
      </c>
      <c r="F225" s="128">
        <f t="shared" si="27"/>
        <v>2020</v>
      </c>
      <c r="G225" s="194" t="str">
        <f t="shared" si="28"/>
        <v>2020-08</v>
      </c>
      <c r="H225" s="193">
        <f t="shared" si="29"/>
        <v>44058</v>
      </c>
      <c r="I225">
        <f t="shared" si="30"/>
        <v>32</v>
      </c>
    </row>
    <row r="226" spans="1:9" x14ac:dyDescent="0.3">
      <c r="A226">
        <f t="shared" si="24"/>
        <v>20200810</v>
      </c>
      <c r="B226" s="193">
        <v>44053</v>
      </c>
      <c r="C226" s="196" t="str">
        <f t="shared" si="31"/>
        <v>10 August 2020</v>
      </c>
      <c r="D226">
        <f t="shared" si="25"/>
        <v>8</v>
      </c>
      <c r="E226" t="str">
        <f t="shared" si="26"/>
        <v>August</v>
      </c>
      <c r="F226" s="128">
        <f t="shared" si="27"/>
        <v>2020</v>
      </c>
      <c r="G226" s="194" t="str">
        <f t="shared" si="28"/>
        <v>2020-08</v>
      </c>
      <c r="H226" s="193">
        <f t="shared" si="29"/>
        <v>44058</v>
      </c>
      <c r="I226">
        <f t="shared" si="30"/>
        <v>33</v>
      </c>
    </row>
    <row r="227" spans="1:9" x14ac:dyDescent="0.3">
      <c r="A227">
        <f t="shared" si="24"/>
        <v>20200811</v>
      </c>
      <c r="B227" s="193">
        <v>44054</v>
      </c>
      <c r="C227" s="196" t="str">
        <f t="shared" si="31"/>
        <v>11 August 2020</v>
      </c>
      <c r="D227">
        <f t="shared" si="25"/>
        <v>8</v>
      </c>
      <c r="E227" t="str">
        <f t="shared" si="26"/>
        <v>August</v>
      </c>
      <c r="F227" s="128">
        <f t="shared" si="27"/>
        <v>2020</v>
      </c>
      <c r="G227" s="194" t="str">
        <f t="shared" si="28"/>
        <v>2020-08</v>
      </c>
      <c r="H227" s="193">
        <f t="shared" si="29"/>
        <v>44058</v>
      </c>
      <c r="I227">
        <f t="shared" si="30"/>
        <v>33</v>
      </c>
    </row>
    <row r="228" spans="1:9" x14ac:dyDescent="0.3">
      <c r="A228">
        <f t="shared" si="24"/>
        <v>20200812</v>
      </c>
      <c r="B228" s="193">
        <v>44055</v>
      </c>
      <c r="C228" s="196" t="str">
        <f t="shared" si="31"/>
        <v>12 August 2020</v>
      </c>
      <c r="D228">
        <f t="shared" si="25"/>
        <v>8</v>
      </c>
      <c r="E228" t="str">
        <f t="shared" si="26"/>
        <v>August</v>
      </c>
      <c r="F228" s="128">
        <f t="shared" si="27"/>
        <v>2020</v>
      </c>
      <c r="G228" s="194" t="str">
        <f t="shared" si="28"/>
        <v>2020-08</v>
      </c>
      <c r="H228" s="193">
        <f t="shared" si="29"/>
        <v>44058</v>
      </c>
      <c r="I228">
        <f t="shared" si="30"/>
        <v>33</v>
      </c>
    </row>
    <row r="229" spans="1:9" x14ac:dyDescent="0.3">
      <c r="A229">
        <f t="shared" si="24"/>
        <v>20200813</v>
      </c>
      <c r="B229" s="193">
        <v>44056</v>
      </c>
      <c r="C229" s="196" t="str">
        <f t="shared" si="31"/>
        <v>13 August 2020</v>
      </c>
      <c r="D229">
        <f t="shared" si="25"/>
        <v>8</v>
      </c>
      <c r="E229" t="str">
        <f t="shared" si="26"/>
        <v>August</v>
      </c>
      <c r="F229" s="128">
        <f t="shared" si="27"/>
        <v>2020</v>
      </c>
      <c r="G229" s="194" t="str">
        <f t="shared" si="28"/>
        <v>2020-08</v>
      </c>
      <c r="H229" s="193">
        <f t="shared" si="29"/>
        <v>44058</v>
      </c>
      <c r="I229">
        <f t="shared" si="30"/>
        <v>33</v>
      </c>
    </row>
    <row r="230" spans="1:9" x14ac:dyDescent="0.3">
      <c r="A230">
        <f t="shared" si="24"/>
        <v>20200814</v>
      </c>
      <c r="B230" s="193">
        <v>44057</v>
      </c>
      <c r="C230" s="196" t="str">
        <f t="shared" si="31"/>
        <v>14 August 2020</v>
      </c>
      <c r="D230">
        <f t="shared" si="25"/>
        <v>8</v>
      </c>
      <c r="E230" t="str">
        <f t="shared" si="26"/>
        <v>August</v>
      </c>
      <c r="F230" s="128">
        <f t="shared" si="27"/>
        <v>2020</v>
      </c>
      <c r="G230" s="194" t="str">
        <f t="shared" si="28"/>
        <v>2020-08</v>
      </c>
      <c r="H230" s="193">
        <f t="shared" si="29"/>
        <v>44058</v>
      </c>
      <c r="I230">
        <f t="shared" si="30"/>
        <v>33</v>
      </c>
    </row>
    <row r="231" spans="1:9" x14ac:dyDescent="0.3">
      <c r="A231">
        <f t="shared" si="24"/>
        <v>20200815</v>
      </c>
      <c r="B231" s="193">
        <v>44058</v>
      </c>
      <c r="C231" s="196" t="str">
        <f t="shared" si="31"/>
        <v>15 August 2020</v>
      </c>
      <c r="D231">
        <f t="shared" si="25"/>
        <v>8</v>
      </c>
      <c r="E231" t="str">
        <f t="shared" si="26"/>
        <v>August</v>
      </c>
      <c r="F231" s="128">
        <f t="shared" si="27"/>
        <v>2020</v>
      </c>
      <c r="G231" s="194" t="str">
        <f t="shared" si="28"/>
        <v>2020-08</v>
      </c>
      <c r="H231" s="193">
        <f t="shared" si="29"/>
        <v>44058</v>
      </c>
      <c r="I231">
        <f t="shared" si="30"/>
        <v>33</v>
      </c>
    </row>
    <row r="232" spans="1:9" x14ac:dyDescent="0.3">
      <c r="A232">
        <f t="shared" si="24"/>
        <v>20200816</v>
      </c>
      <c r="B232" s="193">
        <v>44059</v>
      </c>
      <c r="C232" s="196" t="str">
        <f t="shared" si="31"/>
        <v>16 August 2020</v>
      </c>
      <c r="D232">
        <f t="shared" si="25"/>
        <v>8</v>
      </c>
      <c r="E232" t="str">
        <f t="shared" si="26"/>
        <v>August</v>
      </c>
      <c r="F232" s="128">
        <f t="shared" si="27"/>
        <v>2020</v>
      </c>
      <c r="G232" s="194" t="str">
        <f t="shared" si="28"/>
        <v>2020-08</v>
      </c>
      <c r="H232" s="193">
        <f t="shared" si="29"/>
        <v>44065</v>
      </c>
      <c r="I232">
        <f t="shared" si="30"/>
        <v>33</v>
      </c>
    </row>
    <row r="233" spans="1:9" x14ac:dyDescent="0.3">
      <c r="A233">
        <f t="shared" si="24"/>
        <v>20200817</v>
      </c>
      <c r="B233" s="193">
        <v>44060</v>
      </c>
      <c r="C233" s="196" t="str">
        <f t="shared" si="31"/>
        <v>17 August 2020</v>
      </c>
      <c r="D233">
        <f t="shared" si="25"/>
        <v>8</v>
      </c>
      <c r="E233" t="str">
        <f t="shared" si="26"/>
        <v>August</v>
      </c>
      <c r="F233" s="128">
        <f t="shared" si="27"/>
        <v>2020</v>
      </c>
      <c r="G233" s="194" t="str">
        <f t="shared" si="28"/>
        <v>2020-08</v>
      </c>
      <c r="H233" s="193">
        <f t="shared" si="29"/>
        <v>44065</v>
      </c>
      <c r="I233">
        <f t="shared" si="30"/>
        <v>34</v>
      </c>
    </row>
    <row r="234" spans="1:9" x14ac:dyDescent="0.3">
      <c r="A234">
        <f t="shared" si="24"/>
        <v>20200818</v>
      </c>
      <c r="B234" s="193">
        <v>44061</v>
      </c>
      <c r="C234" s="196" t="str">
        <f t="shared" si="31"/>
        <v>18 August 2020</v>
      </c>
      <c r="D234">
        <f t="shared" si="25"/>
        <v>8</v>
      </c>
      <c r="E234" t="str">
        <f t="shared" si="26"/>
        <v>August</v>
      </c>
      <c r="F234" s="128">
        <f t="shared" si="27"/>
        <v>2020</v>
      </c>
      <c r="G234" s="194" t="str">
        <f t="shared" si="28"/>
        <v>2020-08</v>
      </c>
      <c r="H234" s="193">
        <f t="shared" si="29"/>
        <v>44065</v>
      </c>
      <c r="I234">
        <f t="shared" si="30"/>
        <v>34</v>
      </c>
    </row>
    <row r="235" spans="1:9" x14ac:dyDescent="0.3">
      <c r="A235">
        <f t="shared" si="24"/>
        <v>20200819</v>
      </c>
      <c r="B235" s="193">
        <v>44062</v>
      </c>
      <c r="C235" s="196" t="str">
        <f t="shared" si="31"/>
        <v>19 August 2020</v>
      </c>
      <c r="D235">
        <f t="shared" si="25"/>
        <v>8</v>
      </c>
      <c r="E235" t="str">
        <f t="shared" si="26"/>
        <v>August</v>
      </c>
      <c r="F235" s="128">
        <f t="shared" si="27"/>
        <v>2020</v>
      </c>
      <c r="G235" s="194" t="str">
        <f t="shared" si="28"/>
        <v>2020-08</v>
      </c>
      <c r="H235" s="193">
        <f t="shared" si="29"/>
        <v>44065</v>
      </c>
      <c r="I235">
        <f t="shared" si="30"/>
        <v>34</v>
      </c>
    </row>
    <row r="236" spans="1:9" x14ac:dyDescent="0.3">
      <c r="A236">
        <f t="shared" si="24"/>
        <v>20200820</v>
      </c>
      <c r="B236" s="193">
        <v>44063</v>
      </c>
      <c r="C236" s="196" t="str">
        <f t="shared" si="31"/>
        <v>20 August 2020</v>
      </c>
      <c r="D236">
        <f t="shared" si="25"/>
        <v>8</v>
      </c>
      <c r="E236" t="str">
        <f t="shared" si="26"/>
        <v>August</v>
      </c>
      <c r="F236" s="128">
        <f t="shared" si="27"/>
        <v>2020</v>
      </c>
      <c r="G236" s="194" t="str">
        <f t="shared" si="28"/>
        <v>2020-08</v>
      </c>
      <c r="H236" s="193">
        <f t="shared" si="29"/>
        <v>44065</v>
      </c>
      <c r="I236">
        <f t="shared" si="30"/>
        <v>34</v>
      </c>
    </row>
    <row r="237" spans="1:9" x14ac:dyDescent="0.3">
      <c r="A237">
        <f t="shared" si="24"/>
        <v>20200821</v>
      </c>
      <c r="B237" s="193">
        <v>44064</v>
      </c>
      <c r="C237" s="196" t="str">
        <f t="shared" si="31"/>
        <v>21 August 2020</v>
      </c>
      <c r="D237">
        <f t="shared" si="25"/>
        <v>8</v>
      </c>
      <c r="E237" t="str">
        <f t="shared" si="26"/>
        <v>August</v>
      </c>
      <c r="F237" s="128">
        <f t="shared" si="27"/>
        <v>2020</v>
      </c>
      <c r="G237" s="194" t="str">
        <f t="shared" si="28"/>
        <v>2020-08</v>
      </c>
      <c r="H237" s="193">
        <f t="shared" si="29"/>
        <v>44065</v>
      </c>
      <c r="I237">
        <f t="shared" si="30"/>
        <v>34</v>
      </c>
    </row>
    <row r="238" spans="1:9" x14ac:dyDescent="0.3">
      <c r="A238">
        <f t="shared" si="24"/>
        <v>20200822</v>
      </c>
      <c r="B238" s="193">
        <v>44065</v>
      </c>
      <c r="C238" s="196" t="str">
        <f t="shared" si="31"/>
        <v>22 August 2020</v>
      </c>
      <c r="D238">
        <f t="shared" si="25"/>
        <v>8</v>
      </c>
      <c r="E238" t="str">
        <f t="shared" si="26"/>
        <v>August</v>
      </c>
      <c r="F238" s="128">
        <f t="shared" si="27"/>
        <v>2020</v>
      </c>
      <c r="G238" s="194" t="str">
        <f t="shared" si="28"/>
        <v>2020-08</v>
      </c>
      <c r="H238" s="193">
        <f t="shared" si="29"/>
        <v>44065</v>
      </c>
      <c r="I238">
        <f t="shared" si="30"/>
        <v>34</v>
      </c>
    </row>
    <row r="239" spans="1:9" x14ac:dyDescent="0.3">
      <c r="A239">
        <f t="shared" si="24"/>
        <v>20200823</v>
      </c>
      <c r="B239" s="193">
        <v>44066</v>
      </c>
      <c r="C239" s="196" t="str">
        <f t="shared" si="31"/>
        <v>23 August 2020</v>
      </c>
      <c r="D239">
        <f t="shared" si="25"/>
        <v>8</v>
      </c>
      <c r="E239" t="str">
        <f t="shared" si="26"/>
        <v>August</v>
      </c>
      <c r="F239" s="128">
        <f t="shared" si="27"/>
        <v>2020</v>
      </c>
      <c r="G239" s="194" t="str">
        <f t="shared" si="28"/>
        <v>2020-08</v>
      </c>
      <c r="H239" s="193">
        <f t="shared" si="29"/>
        <v>44072</v>
      </c>
      <c r="I239">
        <f t="shared" si="30"/>
        <v>34</v>
      </c>
    </row>
    <row r="240" spans="1:9" x14ac:dyDescent="0.3">
      <c r="A240">
        <f t="shared" si="24"/>
        <v>20200824</v>
      </c>
      <c r="B240" s="193">
        <v>44067</v>
      </c>
      <c r="C240" s="196" t="str">
        <f t="shared" si="31"/>
        <v>24 August 2020</v>
      </c>
      <c r="D240">
        <f t="shared" si="25"/>
        <v>8</v>
      </c>
      <c r="E240" t="str">
        <f t="shared" si="26"/>
        <v>August</v>
      </c>
      <c r="F240" s="128">
        <f t="shared" si="27"/>
        <v>2020</v>
      </c>
      <c r="G240" s="194" t="str">
        <f t="shared" si="28"/>
        <v>2020-08</v>
      </c>
      <c r="H240" s="193">
        <f t="shared" si="29"/>
        <v>44072</v>
      </c>
      <c r="I240">
        <f t="shared" si="30"/>
        <v>35</v>
      </c>
    </row>
    <row r="241" spans="1:9" x14ac:dyDescent="0.3">
      <c r="A241">
        <f t="shared" si="24"/>
        <v>20200825</v>
      </c>
      <c r="B241" s="193">
        <v>44068</v>
      </c>
      <c r="C241" s="196" t="str">
        <f t="shared" si="31"/>
        <v>25 August 2020</v>
      </c>
      <c r="D241">
        <f t="shared" si="25"/>
        <v>8</v>
      </c>
      <c r="E241" t="str">
        <f t="shared" si="26"/>
        <v>August</v>
      </c>
      <c r="F241" s="128">
        <f t="shared" si="27"/>
        <v>2020</v>
      </c>
      <c r="G241" s="194" t="str">
        <f t="shared" si="28"/>
        <v>2020-08</v>
      </c>
      <c r="H241" s="193">
        <f t="shared" si="29"/>
        <v>44072</v>
      </c>
      <c r="I241">
        <f t="shared" si="30"/>
        <v>35</v>
      </c>
    </row>
    <row r="242" spans="1:9" x14ac:dyDescent="0.3">
      <c r="A242">
        <f t="shared" si="24"/>
        <v>20200826</v>
      </c>
      <c r="B242" s="193">
        <v>44069</v>
      </c>
      <c r="C242" s="196" t="str">
        <f t="shared" si="31"/>
        <v>26 August 2020</v>
      </c>
      <c r="D242">
        <f t="shared" si="25"/>
        <v>8</v>
      </c>
      <c r="E242" t="str">
        <f t="shared" si="26"/>
        <v>August</v>
      </c>
      <c r="F242" s="128">
        <f t="shared" si="27"/>
        <v>2020</v>
      </c>
      <c r="G242" s="194" t="str">
        <f t="shared" si="28"/>
        <v>2020-08</v>
      </c>
      <c r="H242" s="193">
        <f t="shared" si="29"/>
        <v>44072</v>
      </c>
      <c r="I242">
        <f t="shared" si="30"/>
        <v>35</v>
      </c>
    </row>
    <row r="243" spans="1:9" x14ac:dyDescent="0.3">
      <c r="A243">
        <f t="shared" si="24"/>
        <v>20200827</v>
      </c>
      <c r="B243" s="193">
        <v>44070</v>
      </c>
      <c r="C243" s="196" t="str">
        <f t="shared" si="31"/>
        <v>27 August 2020</v>
      </c>
      <c r="D243">
        <f t="shared" si="25"/>
        <v>8</v>
      </c>
      <c r="E243" t="str">
        <f t="shared" si="26"/>
        <v>August</v>
      </c>
      <c r="F243" s="128">
        <f t="shared" si="27"/>
        <v>2020</v>
      </c>
      <c r="G243" s="194" t="str">
        <f t="shared" si="28"/>
        <v>2020-08</v>
      </c>
      <c r="H243" s="193">
        <f t="shared" si="29"/>
        <v>44072</v>
      </c>
      <c r="I243">
        <f t="shared" si="30"/>
        <v>35</v>
      </c>
    </row>
    <row r="244" spans="1:9" x14ac:dyDescent="0.3">
      <c r="A244">
        <f t="shared" si="24"/>
        <v>20200828</v>
      </c>
      <c r="B244" s="193">
        <v>44071</v>
      </c>
      <c r="C244" s="196" t="str">
        <f t="shared" si="31"/>
        <v>28 August 2020</v>
      </c>
      <c r="D244">
        <f t="shared" si="25"/>
        <v>8</v>
      </c>
      <c r="E244" t="str">
        <f t="shared" si="26"/>
        <v>August</v>
      </c>
      <c r="F244" s="128">
        <f t="shared" si="27"/>
        <v>2020</v>
      </c>
      <c r="G244" s="194" t="str">
        <f t="shared" si="28"/>
        <v>2020-08</v>
      </c>
      <c r="H244" s="193">
        <f t="shared" si="29"/>
        <v>44072</v>
      </c>
      <c r="I244">
        <f t="shared" si="30"/>
        <v>35</v>
      </c>
    </row>
    <row r="245" spans="1:9" x14ac:dyDescent="0.3">
      <c r="A245">
        <f t="shared" si="24"/>
        <v>20200829</v>
      </c>
      <c r="B245" s="193">
        <v>44072</v>
      </c>
      <c r="C245" s="196" t="str">
        <f t="shared" si="31"/>
        <v>29 August 2020</v>
      </c>
      <c r="D245">
        <f t="shared" si="25"/>
        <v>8</v>
      </c>
      <c r="E245" t="str">
        <f t="shared" si="26"/>
        <v>August</v>
      </c>
      <c r="F245" s="128">
        <f t="shared" si="27"/>
        <v>2020</v>
      </c>
      <c r="G245" s="194" t="str">
        <f t="shared" si="28"/>
        <v>2020-08</v>
      </c>
      <c r="H245" s="193">
        <f t="shared" si="29"/>
        <v>44072</v>
      </c>
      <c r="I245">
        <f t="shared" si="30"/>
        <v>35</v>
      </c>
    </row>
    <row r="246" spans="1:9" x14ac:dyDescent="0.3">
      <c r="A246">
        <f t="shared" si="24"/>
        <v>20200830</v>
      </c>
      <c r="B246" s="193">
        <v>44073</v>
      </c>
      <c r="C246" s="196" t="str">
        <f t="shared" si="31"/>
        <v>30 August 2020</v>
      </c>
      <c r="D246">
        <f t="shared" si="25"/>
        <v>8</v>
      </c>
      <c r="E246" t="str">
        <f t="shared" si="26"/>
        <v>August</v>
      </c>
      <c r="F246" s="128">
        <f t="shared" si="27"/>
        <v>2020</v>
      </c>
      <c r="G246" s="194" t="str">
        <f t="shared" si="28"/>
        <v>2020-08</v>
      </c>
      <c r="H246" s="193">
        <f t="shared" si="29"/>
        <v>44079</v>
      </c>
      <c r="I246">
        <f t="shared" si="30"/>
        <v>35</v>
      </c>
    </row>
    <row r="247" spans="1:9" x14ac:dyDescent="0.3">
      <c r="A247">
        <f t="shared" si="24"/>
        <v>20200831</v>
      </c>
      <c r="B247" s="193">
        <v>44074</v>
      </c>
      <c r="C247" s="196" t="str">
        <f t="shared" si="31"/>
        <v>31 August 2020</v>
      </c>
      <c r="D247">
        <f t="shared" si="25"/>
        <v>8</v>
      </c>
      <c r="E247" t="str">
        <f t="shared" si="26"/>
        <v>August</v>
      </c>
      <c r="F247" s="128">
        <f t="shared" si="27"/>
        <v>2020</v>
      </c>
      <c r="G247" s="194" t="str">
        <f t="shared" si="28"/>
        <v>2020-08</v>
      </c>
      <c r="H247" s="193">
        <f t="shared" si="29"/>
        <v>44079</v>
      </c>
      <c r="I247">
        <f t="shared" si="30"/>
        <v>36</v>
      </c>
    </row>
    <row r="248" spans="1:9" x14ac:dyDescent="0.3">
      <c r="A248">
        <f t="shared" si="24"/>
        <v>20200901</v>
      </c>
      <c r="B248" s="193">
        <v>44075</v>
      </c>
      <c r="C248" s="196" t="str">
        <f t="shared" si="31"/>
        <v>01 September 2020</v>
      </c>
      <c r="D248">
        <f t="shared" si="25"/>
        <v>9</v>
      </c>
      <c r="E248" t="str">
        <f t="shared" si="26"/>
        <v>September</v>
      </c>
      <c r="F248" s="128">
        <f t="shared" si="27"/>
        <v>2020</v>
      </c>
      <c r="G248" s="194" t="str">
        <f t="shared" si="28"/>
        <v>2020-09</v>
      </c>
      <c r="H248" s="193">
        <f t="shared" si="29"/>
        <v>44079</v>
      </c>
      <c r="I248">
        <f t="shared" si="30"/>
        <v>36</v>
      </c>
    </row>
    <row r="249" spans="1:9" x14ac:dyDescent="0.3">
      <c r="A249">
        <f t="shared" si="24"/>
        <v>20200902</v>
      </c>
      <c r="B249" s="193">
        <v>44076</v>
      </c>
      <c r="C249" s="196" t="str">
        <f t="shared" si="31"/>
        <v>02 September 2020</v>
      </c>
      <c r="D249">
        <f t="shared" si="25"/>
        <v>9</v>
      </c>
      <c r="E249" t="str">
        <f t="shared" si="26"/>
        <v>September</v>
      </c>
      <c r="F249" s="128">
        <f t="shared" si="27"/>
        <v>2020</v>
      </c>
      <c r="G249" s="194" t="str">
        <f t="shared" si="28"/>
        <v>2020-09</v>
      </c>
      <c r="H249" s="193">
        <f t="shared" si="29"/>
        <v>44079</v>
      </c>
      <c r="I249">
        <f t="shared" si="30"/>
        <v>36</v>
      </c>
    </row>
    <row r="250" spans="1:9" x14ac:dyDescent="0.3">
      <c r="A250">
        <f t="shared" si="24"/>
        <v>20200903</v>
      </c>
      <c r="B250" s="193">
        <v>44077</v>
      </c>
      <c r="C250" s="196" t="str">
        <f t="shared" si="31"/>
        <v>03 September 2020</v>
      </c>
      <c r="D250">
        <f t="shared" si="25"/>
        <v>9</v>
      </c>
      <c r="E250" t="str">
        <f t="shared" si="26"/>
        <v>September</v>
      </c>
      <c r="F250" s="128">
        <f t="shared" si="27"/>
        <v>2020</v>
      </c>
      <c r="G250" s="194" t="str">
        <f t="shared" si="28"/>
        <v>2020-09</v>
      </c>
      <c r="H250" s="193">
        <f t="shared" si="29"/>
        <v>44079</v>
      </c>
      <c r="I250">
        <f t="shared" si="30"/>
        <v>36</v>
      </c>
    </row>
    <row r="251" spans="1:9" x14ac:dyDescent="0.3">
      <c r="A251">
        <f t="shared" si="24"/>
        <v>20200904</v>
      </c>
      <c r="B251" s="193">
        <v>44078</v>
      </c>
      <c r="C251" s="196" t="str">
        <f t="shared" si="31"/>
        <v>04 September 2020</v>
      </c>
      <c r="D251">
        <f t="shared" si="25"/>
        <v>9</v>
      </c>
      <c r="E251" t="str">
        <f t="shared" si="26"/>
        <v>September</v>
      </c>
      <c r="F251" s="128">
        <f t="shared" si="27"/>
        <v>2020</v>
      </c>
      <c r="G251" s="194" t="str">
        <f t="shared" si="28"/>
        <v>2020-09</v>
      </c>
      <c r="H251" s="193">
        <f t="shared" si="29"/>
        <v>44079</v>
      </c>
      <c r="I251">
        <f t="shared" si="30"/>
        <v>36</v>
      </c>
    </row>
    <row r="252" spans="1:9" x14ac:dyDescent="0.3">
      <c r="A252">
        <f t="shared" si="24"/>
        <v>20200905</v>
      </c>
      <c r="B252" s="193">
        <v>44079</v>
      </c>
      <c r="C252" s="196" t="str">
        <f t="shared" si="31"/>
        <v>05 September 2020</v>
      </c>
      <c r="D252">
        <f t="shared" si="25"/>
        <v>9</v>
      </c>
      <c r="E252" t="str">
        <f t="shared" si="26"/>
        <v>September</v>
      </c>
      <c r="F252" s="128">
        <f t="shared" si="27"/>
        <v>2020</v>
      </c>
      <c r="G252" s="194" t="str">
        <f t="shared" si="28"/>
        <v>2020-09</v>
      </c>
      <c r="H252" s="193">
        <f t="shared" si="29"/>
        <v>44079</v>
      </c>
      <c r="I252">
        <f t="shared" si="30"/>
        <v>36</v>
      </c>
    </row>
    <row r="253" spans="1:9" x14ac:dyDescent="0.3">
      <c r="A253">
        <f t="shared" si="24"/>
        <v>20200906</v>
      </c>
      <c r="B253" s="193">
        <v>44080</v>
      </c>
      <c r="C253" s="196" t="str">
        <f t="shared" si="31"/>
        <v>06 September 2020</v>
      </c>
      <c r="D253">
        <f t="shared" si="25"/>
        <v>9</v>
      </c>
      <c r="E253" t="str">
        <f t="shared" si="26"/>
        <v>September</v>
      </c>
      <c r="F253" s="128">
        <f t="shared" si="27"/>
        <v>2020</v>
      </c>
      <c r="G253" s="194" t="str">
        <f t="shared" si="28"/>
        <v>2020-09</v>
      </c>
      <c r="H253" s="193">
        <f t="shared" si="29"/>
        <v>44086</v>
      </c>
      <c r="I253">
        <f t="shared" si="30"/>
        <v>36</v>
      </c>
    </row>
    <row r="254" spans="1:9" x14ac:dyDescent="0.3">
      <c r="A254">
        <f t="shared" si="24"/>
        <v>20200907</v>
      </c>
      <c r="B254" s="193">
        <v>44081</v>
      </c>
      <c r="C254" s="196" t="str">
        <f t="shared" si="31"/>
        <v>07 September 2020</v>
      </c>
      <c r="D254">
        <f t="shared" si="25"/>
        <v>9</v>
      </c>
      <c r="E254" t="str">
        <f t="shared" si="26"/>
        <v>September</v>
      </c>
      <c r="F254" s="128">
        <f t="shared" si="27"/>
        <v>2020</v>
      </c>
      <c r="G254" s="194" t="str">
        <f t="shared" si="28"/>
        <v>2020-09</v>
      </c>
      <c r="H254" s="193">
        <f t="shared" si="29"/>
        <v>44086</v>
      </c>
      <c r="I254">
        <f t="shared" si="30"/>
        <v>37</v>
      </c>
    </row>
    <row r="255" spans="1:9" x14ac:dyDescent="0.3">
      <c r="A255">
        <f t="shared" si="24"/>
        <v>20200908</v>
      </c>
      <c r="B255" s="193">
        <v>44082</v>
      </c>
      <c r="C255" s="196" t="str">
        <f t="shared" si="31"/>
        <v>08 September 2020</v>
      </c>
      <c r="D255">
        <f t="shared" si="25"/>
        <v>9</v>
      </c>
      <c r="E255" t="str">
        <f t="shared" si="26"/>
        <v>September</v>
      </c>
      <c r="F255" s="128">
        <f t="shared" si="27"/>
        <v>2020</v>
      </c>
      <c r="G255" s="194" t="str">
        <f t="shared" si="28"/>
        <v>2020-09</v>
      </c>
      <c r="H255" s="193">
        <f t="shared" si="29"/>
        <v>44086</v>
      </c>
      <c r="I255">
        <f t="shared" si="30"/>
        <v>37</v>
      </c>
    </row>
    <row r="256" spans="1:9" x14ac:dyDescent="0.3">
      <c r="A256">
        <f t="shared" si="24"/>
        <v>20200909</v>
      </c>
      <c r="B256" s="193">
        <v>44083</v>
      </c>
      <c r="C256" s="196" t="str">
        <f t="shared" si="31"/>
        <v>09 September 2020</v>
      </c>
      <c r="D256">
        <f t="shared" si="25"/>
        <v>9</v>
      </c>
      <c r="E256" t="str">
        <f t="shared" si="26"/>
        <v>September</v>
      </c>
      <c r="F256" s="128">
        <f t="shared" si="27"/>
        <v>2020</v>
      </c>
      <c r="G256" s="194" t="str">
        <f t="shared" si="28"/>
        <v>2020-09</v>
      </c>
      <c r="H256" s="193">
        <f t="shared" si="29"/>
        <v>44086</v>
      </c>
      <c r="I256">
        <f t="shared" si="30"/>
        <v>37</v>
      </c>
    </row>
    <row r="257" spans="1:9" x14ac:dyDescent="0.3">
      <c r="A257">
        <f t="shared" si="24"/>
        <v>20200910</v>
      </c>
      <c r="B257" s="193">
        <v>44084</v>
      </c>
      <c r="C257" s="196" t="str">
        <f t="shared" si="31"/>
        <v>10 September 2020</v>
      </c>
      <c r="D257">
        <f t="shared" si="25"/>
        <v>9</v>
      </c>
      <c r="E257" t="str">
        <f t="shared" si="26"/>
        <v>September</v>
      </c>
      <c r="F257" s="128">
        <f t="shared" si="27"/>
        <v>2020</v>
      </c>
      <c r="G257" s="194" t="str">
        <f t="shared" si="28"/>
        <v>2020-09</v>
      </c>
      <c r="H257" s="193">
        <f t="shared" si="29"/>
        <v>44086</v>
      </c>
      <c r="I257">
        <f t="shared" si="30"/>
        <v>37</v>
      </c>
    </row>
    <row r="258" spans="1:9" x14ac:dyDescent="0.3">
      <c r="A258">
        <f t="shared" si="24"/>
        <v>20200911</v>
      </c>
      <c r="B258" s="193">
        <v>44085</v>
      </c>
      <c r="C258" s="196" t="str">
        <f t="shared" si="31"/>
        <v>11 September 2020</v>
      </c>
      <c r="D258">
        <f t="shared" si="25"/>
        <v>9</v>
      </c>
      <c r="E258" t="str">
        <f t="shared" si="26"/>
        <v>September</v>
      </c>
      <c r="F258" s="128">
        <f t="shared" si="27"/>
        <v>2020</v>
      </c>
      <c r="G258" s="194" t="str">
        <f t="shared" si="28"/>
        <v>2020-09</v>
      </c>
      <c r="H258" s="193">
        <f t="shared" si="29"/>
        <v>44086</v>
      </c>
      <c r="I258">
        <f t="shared" si="30"/>
        <v>37</v>
      </c>
    </row>
    <row r="259" spans="1:9" x14ac:dyDescent="0.3">
      <c r="A259">
        <f t="shared" ref="A259:A322" si="32">YEAR(B259)*10000+MONTH(B259)*100+DAY(B259)</f>
        <v>20200912</v>
      </c>
      <c r="B259" s="193">
        <v>44086</v>
      </c>
      <c r="C259" s="196" t="str">
        <f t="shared" si="31"/>
        <v>12 September 2020</v>
      </c>
      <c r="D259">
        <f t="shared" ref="D259:D322" si="33">MONTH(B259)</f>
        <v>9</v>
      </c>
      <c r="E259" t="str">
        <f t="shared" ref="E259:E322" si="34">TEXT(B259,"MMMM")</f>
        <v>September</v>
      </c>
      <c r="F259" s="128">
        <f t="shared" ref="F259:F322" si="35">YEAR(B259)</f>
        <v>2020</v>
      </c>
      <c r="G259" s="194" t="str">
        <f t="shared" ref="G259:G322" si="36">TEXT(B259,"YYYY-MM")</f>
        <v>2020-09</v>
      </c>
      <c r="H259" s="193">
        <f t="shared" ref="H259:H322" si="37">B259-WEEKDAY(B259)+7</f>
        <v>44086</v>
      </c>
      <c r="I259">
        <f t="shared" ref="I259:I322" si="38">WEEKNUM(B259,2)</f>
        <v>37</v>
      </c>
    </row>
    <row r="260" spans="1:9" x14ac:dyDescent="0.3">
      <c r="A260">
        <f t="shared" si="32"/>
        <v>20200913</v>
      </c>
      <c r="B260" s="193">
        <v>44087</v>
      </c>
      <c r="C260" s="196" t="str">
        <f t="shared" ref="C260:C323" si="39">TEXT(B260,"dd MMMM YYYY")</f>
        <v>13 September 2020</v>
      </c>
      <c r="D260">
        <f t="shared" si="33"/>
        <v>9</v>
      </c>
      <c r="E260" t="str">
        <f t="shared" si="34"/>
        <v>September</v>
      </c>
      <c r="F260" s="128">
        <f t="shared" si="35"/>
        <v>2020</v>
      </c>
      <c r="G260" s="194" t="str">
        <f t="shared" si="36"/>
        <v>2020-09</v>
      </c>
      <c r="H260" s="193">
        <f t="shared" si="37"/>
        <v>44093</v>
      </c>
      <c r="I260">
        <f t="shared" si="38"/>
        <v>37</v>
      </c>
    </row>
    <row r="261" spans="1:9" x14ac:dyDescent="0.3">
      <c r="A261">
        <f t="shared" si="32"/>
        <v>20200914</v>
      </c>
      <c r="B261" s="193">
        <v>44088</v>
      </c>
      <c r="C261" s="196" t="str">
        <f t="shared" si="39"/>
        <v>14 September 2020</v>
      </c>
      <c r="D261">
        <f t="shared" si="33"/>
        <v>9</v>
      </c>
      <c r="E261" t="str">
        <f t="shared" si="34"/>
        <v>September</v>
      </c>
      <c r="F261" s="128">
        <f t="shared" si="35"/>
        <v>2020</v>
      </c>
      <c r="G261" s="194" t="str">
        <f t="shared" si="36"/>
        <v>2020-09</v>
      </c>
      <c r="H261" s="193">
        <f t="shared" si="37"/>
        <v>44093</v>
      </c>
      <c r="I261">
        <f t="shared" si="38"/>
        <v>38</v>
      </c>
    </row>
    <row r="262" spans="1:9" x14ac:dyDescent="0.3">
      <c r="A262">
        <f t="shared" si="32"/>
        <v>20200915</v>
      </c>
      <c r="B262" s="193">
        <v>44089</v>
      </c>
      <c r="C262" s="196" t="str">
        <f t="shared" si="39"/>
        <v>15 September 2020</v>
      </c>
      <c r="D262">
        <f t="shared" si="33"/>
        <v>9</v>
      </c>
      <c r="E262" t="str">
        <f t="shared" si="34"/>
        <v>September</v>
      </c>
      <c r="F262" s="128">
        <f t="shared" si="35"/>
        <v>2020</v>
      </c>
      <c r="G262" s="194" t="str">
        <f t="shared" si="36"/>
        <v>2020-09</v>
      </c>
      <c r="H262" s="193">
        <f t="shared" si="37"/>
        <v>44093</v>
      </c>
      <c r="I262">
        <f t="shared" si="38"/>
        <v>38</v>
      </c>
    </row>
    <row r="263" spans="1:9" x14ac:dyDescent="0.3">
      <c r="A263">
        <f t="shared" si="32"/>
        <v>20200916</v>
      </c>
      <c r="B263" s="193">
        <v>44090</v>
      </c>
      <c r="C263" s="196" t="str">
        <f t="shared" si="39"/>
        <v>16 September 2020</v>
      </c>
      <c r="D263">
        <f t="shared" si="33"/>
        <v>9</v>
      </c>
      <c r="E263" t="str">
        <f t="shared" si="34"/>
        <v>September</v>
      </c>
      <c r="F263" s="128">
        <f t="shared" si="35"/>
        <v>2020</v>
      </c>
      <c r="G263" s="194" t="str">
        <f t="shared" si="36"/>
        <v>2020-09</v>
      </c>
      <c r="H263" s="193">
        <f t="shared" si="37"/>
        <v>44093</v>
      </c>
      <c r="I263">
        <f t="shared" si="38"/>
        <v>38</v>
      </c>
    </row>
    <row r="264" spans="1:9" x14ac:dyDescent="0.3">
      <c r="A264">
        <f t="shared" si="32"/>
        <v>20200917</v>
      </c>
      <c r="B264" s="193">
        <v>44091</v>
      </c>
      <c r="C264" s="196" t="str">
        <f t="shared" si="39"/>
        <v>17 September 2020</v>
      </c>
      <c r="D264">
        <f t="shared" si="33"/>
        <v>9</v>
      </c>
      <c r="E264" t="str">
        <f t="shared" si="34"/>
        <v>September</v>
      </c>
      <c r="F264" s="128">
        <f t="shared" si="35"/>
        <v>2020</v>
      </c>
      <c r="G264" s="194" t="str">
        <f t="shared" si="36"/>
        <v>2020-09</v>
      </c>
      <c r="H264" s="193">
        <f t="shared" si="37"/>
        <v>44093</v>
      </c>
      <c r="I264">
        <f t="shared" si="38"/>
        <v>38</v>
      </c>
    </row>
    <row r="265" spans="1:9" x14ac:dyDescent="0.3">
      <c r="A265">
        <f t="shared" si="32"/>
        <v>20200918</v>
      </c>
      <c r="B265" s="193">
        <v>44092</v>
      </c>
      <c r="C265" s="196" t="str">
        <f t="shared" si="39"/>
        <v>18 September 2020</v>
      </c>
      <c r="D265">
        <f t="shared" si="33"/>
        <v>9</v>
      </c>
      <c r="E265" t="str">
        <f t="shared" si="34"/>
        <v>September</v>
      </c>
      <c r="F265" s="128">
        <f t="shared" si="35"/>
        <v>2020</v>
      </c>
      <c r="G265" s="194" t="str">
        <f t="shared" si="36"/>
        <v>2020-09</v>
      </c>
      <c r="H265" s="193">
        <f t="shared" si="37"/>
        <v>44093</v>
      </c>
      <c r="I265">
        <f t="shared" si="38"/>
        <v>38</v>
      </c>
    </row>
    <row r="266" spans="1:9" x14ac:dyDescent="0.3">
      <c r="A266">
        <f t="shared" si="32"/>
        <v>20200919</v>
      </c>
      <c r="B266" s="193">
        <v>44093</v>
      </c>
      <c r="C266" s="196" t="str">
        <f t="shared" si="39"/>
        <v>19 September 2020</v>
      </c>
      <c r="D266">
        <f t="shared" si="33"/>
        <v>9</v>
      </c>
      <c r="E266" t="str">
        <f t="shared" si="34"/>
        <v>September</v>
      </c>
      <c r="F266" s="128">
        <f t="shared" si="35"/>
        <v>2020</v>
      </c>
      <c r="G266" s="194" t="str">
        <f t="shared" si="36"/>
        <v>2020-09</v>
      </c>
      <c r="H266" s="193">
        <f t="shared" si="37"/>
        <v>44093</v>
      </c>
      <c r="I266">
        <f t="shared" si="38"/>
        <v>38</v>
      </c>
    </row>
    <row r="267" spans="1:9" x14ac:dyDescent="0.3">
      <c r="A267">
        <f t="shared" si="32"/>
        <v>20200920</v>
      </c>
      <c r="B267" s="193">
        <v>44094</v>
      </c>
      <c r="C267" s="196" t="str">
        <f t="shared" si="39"/>
        <v>20 September 2020</v>
      </c>
      <c r="D267">
        <f t="shared" si="33"/>
        <v>9</v>
      </c>
      <c r="E267" t="str">
        <f t="shared" si="34"/>
        <v>September</v>
      </c>
      <c r="F267" s="128">
        <f t="shared" si="35"/>
        <v>2020</v>
      </c>
      <c r="G267" s="194" t="str">
        <f t="shared" si="36"/>
        <v>2020-09</v>
      </c>
      <c r="H267" s="193">
        <f t="shared" si="37"/>
        <v>44100</v>
      </c>
      <c r="I267">
        <f t="shared" si="38"/>
        <v>38</v>
      </c>
    </row>
    <row r="268" spans="1:9" x14ac:dyDescent="0.3">
      <c r="A268">
        <f t="shared" si="32"/>
        <v>20200921</v>
      </c>
      <c r="B268" s="193">
        <v>44095</v>
      </c>
      <c r="C268" s="196" t="str">
        <f t="shared" si="39"/>
        <v>21 September 2020</v>
      </c>
      <c r="D268">
        <f t="shared" si="33"/>
        <v>9</v>
      </c>
      <c r="E268" t="str">
        <f t="shared" si="34"/>
        <v>September</v>
      </c>
      <c r="F268" s="128">
        <f t="shared" si="35"/>
        <v>2020</v>
      </c>
      <c r="G268" s="194" t="str">
        <f t="shared" si="36"/>
        <v>2020-09</v>
      </c>
      <c r="H268" s="193">
        <f t="shared" si="37"/>
        <v>44100</v>
      </c>
      <c r="I268">
        <f t="shared" si="38"/>
        <v>39</v>
      </c>
    </row>
    <row r="269" spans="1:9" x14ac:dyDescent="0.3">
      <c r="A269">
        <f t="shared" si="32"/>
        <v>20200922</v>
      </c>
      <c r="B269" s="193">
        <v>44096</v>
      </c>
      <c r="C269" s="196" t="str">
        <f t="shared" si="39"/>
        <v>22 September 2020</v>
      </c>
      <c r="D269">
        <f t="shared" si="33"/>
        <v>9</v>
      </c>
      <c r="E269" t="str">
        <f t="shared" si="34"/>
        <v>September</v>
      </c>
      <c r="F269" s="128">
        <f t="shared" si="35"/>
        <v>2020</v>
      </c>
      <c r="G269" s="194" t="str">
        <f t="shared" si="36"/>
        <v>2020-09</v>
      </c>
      <c r="H269" s="193">
        <f t="shared" si="37"/>
        <v>44100</v>
      </c>
      <c r="I269">
        <f t="shared" si="38"/>
        <v>39</v>
      </c>
    </row>
    <row r="270" spans="1:9" x14ac:dyDescent="0.3">
      <c r="A270">
        <f t="shared" si="32"/>
        <v>20200923</v>
      </c>
      <c r="B270" s="193">
        <v>44097</v>
      </c>
      <c r="C270" s="196" t="str">
        <f t="shared" si="39"/>
        <v>23 September 2020</v>
      </c>
      <c r="D270">
        <f t="shared" si="33"/>
        <v>9</v>
      </c>
      <c r="E270" t="str">
        <f t="shared" si="34"/>
        <v>September</v>
      </c>
      <c r="F270" s="128">
        <f t="shared" si="35"/>
        <v>2020</v>
      </c>
      <c r="G270" s="194" t="str">
        <f t="shared" si="36"/>
        <v>2020-09</v>
      </c>
      <c r="H270" s="193">
        <f t="shared" si="37"/>
        <v>44100</v>
      </c>
      <c r="I270">
        <f t="shared" si="38"/>
        <v>39</v>
      </c>
    </row>
    <row r="271" spans="1:9" x14ac:dyDescent="0.3">
      <c r="A271">
        <f t="shared" si="32"/>
        <v>20200924</v>
      </c>
      <c r="B271" s="193">
        <v>44098</v>
      </c>
      <c r="C271" s="196" t="str">
        <f t="shared" si="39"/>
        <v>24 September 2020</v>
      </c>
      <c r="D271">
        <f t="shared" si="33"/>
        <v>9</v>
      </c>
      <c r="E271" t="str">
        <f t="shared" si="34"/>
        <v>September</v>
      </c>
      <c r="F271" s="128">
        <f t="shared" si="35"/>
        <v>2020</v>
      </c>
      <c r="G271" s="194" t="str">
        <f t="shared" si="36"/>
        <v>2020-09</v>
      </c>
      <c r="H271" s="193">
        <f t="shared" si="37"/>
        <v>44100</v>
      </c>
      <c r="I271">
        <f t="shared" si="38"/>
        <v>39</v>
      </c>
    </row>
    <row r="272" spans="1:9" x14ac:dyDescent="0.3">
      <c r="A272">
        <f t="shared" si="32"/>
        <v>20200925</v>
      </c>
      <c r="B272" s="193">
        <v>44099</v>
      </c>
      <c r="C272" s="196" t="str">
        <f t="shared" si="39"/>
        <v>25 September 2020</v>
      </c>
      <c r="D272">
        <f t="shared" si="33"/>
        <v>9</v>
      </c>
      <c r="E272" t="str">
        <f t="shared" si="34"/>
        <v>September</v>
      </c>
      <c r="F272" s="128">
        <f t="shared" si="35"/>
        <v>2020</v>
      </c>
      <c r="G272" s="194" t="str">
        <f t="shared" si="36"/>
        <v>2020-09</v>
      </c>
      <c r="H272" s="193">
        <f t="shared" si="37"/>
        <v>44100</v>
      </c>
      <c r="I272">
        <f t="shared" si="38"/>
        <v>39</v>
      </c>
    </row>
    <row r="273" spans="1:9" x14ac:dyDescent="0.3">
      <c r="A273">
        <f t="shared" si="32"/>
        <v>20200926</v>
      </c>
      <c r="B273" s="193">
        <v>44100</v>
      </c>
      <c r="C273" s="196" t="str">
        <f t="shared" si="39"/>
        <v>26 September 2020</v>
      </c>
      <c r="D273">
        <f t="shared" si="33"/>
        <v>9</v>
      </c>
      <c r="E273" t="str">
        <f t="shared" si="34"/>
        <v>September</v>
      </c>
      <c r="F273" s="128">
        <f t="shared" si="35"/>
        <v>2020</v>
      </c>
      <c r="G273" s="194" t="str">
        <f t="shared" si="36"/>
        <v>2020-09</v>
      </c>
      <c r="H273" s="193">
        <f t="shared" si="37"/>
        <v>44100</v>
      </c>
      <c r="I273">
        <f t="shared" si="38"/>
        <v>39</v>
      </c>
    </row>
    <row r="274" spans="1:9" x14ac:dyDescent="0.3">
      <c r="A274">
        <f t="shared" si="32"/>
        <v>20200927</v>
      </c>
      <c r="B274" s="193">
        <v>44101</v>
      </c>
      <c r="C274" s="196" t="str">
        <f t="shared" si="39"/>
        <v>27 September 2020</v>
      </c>
      <c r="D274">
        <f t="shared" si="33"/>
        <v>9</v>
      </c>
      <c r="E274" t="str">
        <f t="shared" si="34"/>
        <v>September</v>
      </c>
      <c r="F274" s="128">
        <f t="shared" si="35"/>
        <v>2020</v>
      </c>
      <c r="G274" s="194" t="str">
        <f t="shared" si="36"/>
        <v>2020-09</v>
      </c>
      <c r="H274" s="193">
        <f t="shared" si="37"/>
        <v>44107</v>
      </c>
      <c r="I274">
        <f t="shared" si="38"/>
        <v>39</v>
      </c>
    </row>
    <row r="275" spans="1:9" x14ac:dyDescent="0.3">
      <c r="A275">
        <f t="shared" si="32"/>
        <v>20200928</v>
      </c>
      <c r="B275" s="193">
        <v>44102</v>
      </c>
      <c r="C275" s="196" t="str">
        <f t="shared" si="39"/>
        <v>28 September 2020</v>
      </c>
      <c r="D275">
        <f t="shared" si="33"/>
        <v>9</v>
      </c>
      <c r="E275" t="str">
        <f t="shared" si="34"/>
        <v>September</v>
      </c>
      <c r="F275" s="128">
        <f t="shared" si="35"/>
        <v>2020</v>
      </c>
      <c r="G275" s="194" t="str">
        <f t="shared" si="36"/>
        <v>2020-09</v>
      </c>
      <c r="H275" s="193">
        <f t="shared" si="37"/>
        <v>44107</v>
      </c>
      <c r="I275">
        <f t="shared" si="38"/>
        <v>40</v>
      </c>
    </row>
    <row r="276" spans="1:9" x14ac:dyDescent="0.3">
      <c r="A276">
        <f t="shared" si="32"/>
        <v>20200929</v>
      </c>
      <c r="B276" s="193">
        <v>44103</v>
      </c>
      <c r="C276" s="196" t="str">
        <f t="shared" si="39"/>
        <v>29 September 2020</v>
      </c>
      <c r="D276">
        <f t="shared" si="33"/>
        <v>9</v>
      </c>
      <c r="E276" t="str">
        <f t="shared" si="34"/>
        <v>September</v>
      </c>
      <c r="F276" s="128">
        <f t="shared" si="35"/>
        <v>2020</v>
      </c>
      <c r="G276" s="194" t="str">
        <f t="shared" si="36"/>
        <v>2020-09</v>
      </c>
      <c r="H276" s="193">
        <f t="shared" si="37"/>
        <v>44107</v>
      </c>
      <c r="I276">
        <f t="shared" si="38"/>
        <v>40</v>
      </c>
    </row>
    <row r="277" spans="1:9" x14ac:dyDescent="0.3">
      <c r="A277">
        <f t="shared" si="32"/>
        <v>20200930</v>
      </c>
      <c r="B277" s="193">
        <v>44104</v>
      </c>
      <c r="C277" s="196" t="str">
        <f t="shared" si="39"/>
        <v>30 September 2020</v>
      </c>
      <c r="D277">
        <f t="shared" si="33"/>
        <v>9</v>
      </c>
      <c r="E277" t="str">
        <f t="shared" si="34"/>
        <v>September</v>
      </c>
      <c r="F277" s="128">
        <f t="shared" si="35"/>
        <v>2020</v>
      </c>
      <c r="G277" s="194" t="str">
        <f t="shared" si="36"/>
        <v>2020-09</v>
      </c>
      <c r="H277" s="193">
        <f t="shared" si="37"/>
        <v>44107</v>
      </c>
      <c r="I277">
        <f t="shared" si="38"/>
        <v>40</v>
      </c>
    </row>
    <row r="278" spans="1:9" x14ac:dyDescent="0.3">
      <c r="A278">
        <f t="shared" si="32"/>
        <v>20201001</v>
      </c>
      <c r="B278" s="193">
        <v>44105</v>
      </c>
      <c r="C278" s="196" t="str">
        <f t="shared" si="39"/>
        <v>01 October 2020</v>
      </c>
      <c r="D278">
        <f t="shared" si="33"/>
        <v>10</v>
      </c>
      <c r="E278" t="str">
        <f t="shared" si="34"/>
        <v>October</v>
      </c>
      <c r="F278" s="128">
        <f t="shared" si="35"/>
        <v>2020</v>
      </c>
      <c r="G278" s="194" t="str">
        <f t="shared" si="36"/>
        <v>2020-10</v>
      </c>
      <c r="H278" s="193">
        <f t="shared" si="37"/>
        <v>44107</v>
      </c>
      <c r="I278">
        <f t="shared" si="38"/>
        <v>40</v>
      </c>
    </row>
    <row r="279" spans="1:9" x14ac:dyDescent="0.3">
      <c r="A279">
        <f t="shared" si="32"/>
        <v>20201002</v>
      </c>
      <c r="B279" s="193">
        <v>44106</v>
      </c>
      <c r="C279" s="196" t="str">
        <f t="shared" si="39"/>
        <v>02 October 2020</v>
      </c>
      <c r="D279">
        <f t="shared" si="33"/>
        <v>10</v>
      </c>
      <c r="E279" t="str">
        <f t="shared" si="34"/>
        <v>October</v>
      </c>
      <c r="F279" s="128">
        <f t="shared" si="35"/>
        <v>2020</v>
      </c>
      <c r="G279" s="194" t="str">
        <f t="shared" si="36"/>
        <v>2020-10</v>
      </c>
      <c r="H279" s="193">
        <f t="shared" si="37"/>
        <v>44107</v>
      </c>
      <c r="I279">
        <f t="shared" si="38"/>
        <v>40</v>
      </c>
    </row>
    <row r="280" spans="1:9" x14ac:dyDescent="0.3">
      <c r="A280">
        <f t="shared" si="32"/>
        <v>20201003</v>
      </c>
      <c r="B280" s="193">
        <v>44107</v>
      </c>
      <c r="C280" s="196" t="str">
        <f t="shared" si="39"/>
        <v>03 October 2020</v>
      </c>
      <c r="D280">
        <f t="shared" si="33"/>
        <v>10</v>
      </c>
      <c r="E280" t="str">
        <f t="shared" si="34"/>
        <v>October</v>
      </c>
      <c r="F280" s="128">
        <f t="shared" si="35"/>
        <v>2020</v>
      </c>
      <c r="G280" s="194" t="str">
        <f t="shared" si="36"/>
        <v>2020-10</v>
      </c>
      <c r="H280" s="193">
        <f t="shared" si="37"/>
        <v>44107</v>
      </c>
      <c r="I280">
        <f t="shared" si="38"/>
        <v>40</v>
      </c>
    </row>
    <row r="281" spans="1:9" x14ac:dyDescent="0.3">
      <c r="A281">
        <f t="shared" si="32"/>
        <v>20201004</v>
      </c>
      <c r="B281" s="193">
        <v>44108</v>
      </c>
      <c r="C281" s="196" t="str">
        <f t="shared" si="39"/>
        <v>04 October 2020</v>
      </c>
      <c r="D281">
        <f t="shared" si="33"/>
        <v>10</v>
      </c>
      <c r="E281" t="str">
        <f t="shared" si="34"/>
        <v>October</v>
      </c>
      <c r="F281" s="128">
        <f t="shared" si="35"/>
        <v>2020</v>
      </c>
      <c r="G281" s="194" t="str">
        <f t="shared" si="36"/>
        <v>2020-10</v>
      </c>
      <c r="H281" s="193">
        <f t="shared" si="37"/>
        <v>44114</v>
      </c>
      <c r="I281">
        <f t="shared" si="38"/>
        <v>40</v>
      </c>
    </row>
    <row r="282" spans="1:9" x14ac:dyDescent="0.3">
      <c r="A282">
        <f t="shared" si="32"/>
        <v>20201005</v>
      </c>
      <c r="B282" s="193">
        <v>44109</v>
      </c>
      <c r="C282" s="196" t="str">
        <f t="shared" si="39"/>
        <v>05 October 2020</v>
      </c>
      <c r="D282">
        <f t="shared" si="33"/>
        <v>10</v>
      </c>
      <c r="E282" t="str">
        <f t="shared" si="34"/>
        <v>October</v>
      </c>
      <c r="F282" s="128">
        <f t="shared" si="35"/>
        <v>2020</v>
      </c>
      <c r="G282" s="194" t="str">
        <f t="shared" si="36"/>
        <v>2020-10</v>
      </c>
      <c r="H282" s="193">
        <f t="shared" si="37"/>
        <v>44114</v>
      </c>
      <c r="I282">
        <f t="shared" si="38"/>
        <v>41</v>
      </c>
    </row>
    <row r="283" spans="1:9" x14ac:dyDescent="0.3">
      <c r="A283">
        <f t="shared" si="32"/>
        <v>20201006</v>
      </c>
      <c r="B283" s="193">
        <v>44110</v>
      </c>
      <c r="C283" s="196" t="str">
        <f t="shared" si="39"/>
        <v>06 October 2020</v>
      </c>
      <c r="D283">
        <f t="shared" si="33"/>
        <v>10</v>
      </c>
      <c r="E283" t="str">
        <f t="shared" si="34"/>
        <v>October</v>
      </c>
      <c r="F283" s="128">
        <f t="shared" si="35"/>
        <v>2020</v>
      </c>
      <c r="G283" s="194" t="str">
        <f t="shared" si="36"/>
        <v>2020-10</v>
      </c>
      <c r="H283" s="193">
        <f t="shared" si="37"/>
        <v>44114</v>
      </c>
      <c r="I283">
        <f t="shared" si="38"/>
        <v>41</v>
      </c>
    </row>
    <row r="284" spans="1:9" x14ac:dyDescent="0.3">
      <c r="A284">
        <f t="shared" si="32"/>
        <v>20201007</v>
      </c>
      <c r="B284" s="193">
        <v>44111</v>
      </c>
      <c r="C284" s="196" t="str">
        <f t="shared" si="39"/>
        <v>07 October 2020</v>
      </c>
      <c r="D284">
        <f t="shared" si="33"/>
        <v>10</v>
      </c>
      <c r="E284" t="str">
        <f t="shared" si="34"/>
        <v>October</v>
      </c>
      <c r="F284" s="128">
        <f t="shared" si="35"/>
        <v>2020</v>
      </c>
      <c r="G284" s="194" t="str">
        <f t="shared" si="36"/>
        <v>2020-10</v>
      </c>
      <c r="H284" s="193">
        <f t="shared" si="37"/>
        <v>44114</v>
      </c>
      <c r="I284">
        <f t="shared" si="38"/>
        <v>41</v>
      </c>
    </row>
    <row r="285" spans="1:9" x14ac:dyDescent="0.3">
      <c r="A285">
        <f t="shared" si="32"/>
        <v>20201008</v>
      </c>
      <c r="B285" s="193">
        <v>44112</v>
      </c>
      <c r="C285" s="196" t="str">
        <f t="shared" si="39"/>
        <v>08 October 2020</v>
      </c>
      <c r="D285">
        <f t="shared" si="33"/>
        <v>10</v>
      </c>
      <c r="E285" t="str">
        <f t="shared" si="34"/>
        <v>October</v>
      </c>
      <c r="F285" s="128">
        <f t="shared" si="35"/>
        <v>2020</v>
      </c>
      <c r="G285" s="194" t="str">
        <f t="shared" si="36"/>
        <v>2020-10</v>
      </c>
      <c r="H285" s="193">
        <f t="shared" si="37"/>
        <v>44114</v>
      </c>
      <c r="I285">
        <f t="shared" si="38"/>
        <v>41</v>
      </c>
    </row>
    <row r="286" spans="1:9" x14ac:dyDescent="0.3">
      <c r="A286">
        <f t="shared" si="32"/>
        <v>20201009</v>
      </c>
      <c r="B286" s="193">
        <v>44113</v>
      </c>
      <c r="C286" s="196" t="str">
        <f t="shared" si="39"/>
        <v>09 October 2020</v>
      </c>
      <c r="D286">
        <f t="shared" si="33"/>
        <v>10</v>
      </c>
      <c r="E286" t="str">
        <f t="shared" si="34"/>
        <v>October</v>
      </c>
      <c r="F286" s="128">
        <f t="shared" si="35"/>
        <v>2020</v>
      </c>
      <c r="G286" s="194" t="str">
        <f t="shared" si="36"/>
        <v>2020-10</v>
      </c>
      <c r="H286" s="193">
        <f t="shared" si="37"/>
        <v>44114</v>
      </c>
      <c r="I286">
        <f t="shared" si="38"/>
        <v>41</v>
      </c>
    </row>
    <row r="287" spans="1:9" x14ac:dyDescent="0.3">
      <c r="A287">
        <f t="shared" si="32"/>
        <v>20201010</v>
      </c>
      <c r="B287" s="193">
        <v>44114</v>
      </c>
      <c r="C287" s="196" t="str">
        <f t="shared" si="39"/>
        <v>10 October 2020</v>
      </c>
      <c r="D287">
        <f t="shared" si="33"/>
        <v>10</v>
      </c>
      <c r="E287" t="str">
        <f t="shared" si="34"/>
        <v>October</v>
      </c>
      <c r="F287" s="128">
        <f t="shared" si="35"/>
        <v>2020</v>
      </c>
      <c r="G287" s="194" t="str">
        <f t="shared" si="36"/>
        <v>2020-10</v>
      </c>
      <c r="H287" s="193">
        <f t="shared" si="37"/>
        <v>44114</v>
      </c>
      <c r="I287">
        <f t="shared" si="38"/>
        <v>41</v>
      </c>
    </row>
    <row r="288" spans="1:9" x14ac:dyDescent="0.3">
      <c r="A288">
        <f t="shared" si="32"/>
        <v>20201011</v>
      </c>
      <c r="B288" s="193">
        <v>44115</v>
      </c>
      <c r="C288" s="196" t="str">
        <f t="shared" si="39"/>
        <v>11 October 2020</v>
      </c>
      <c r="D288">
        <f t="shared" si="33"/>
        <v>10</v>
      </c>
      <c r="E288" t="str">
        <f t="shared" si="34"/>
        <v>October</v>
      </c>
      <c r="F288" s="128">
        <f t="shared" si="35"/>
        <v>2020</v>
      </c>
      <c r="G288" s="194" t="str">
        <f t="shared" si="36"/>
        <v>2020-10</v>
      </c>
      <c r="H288" s="193">
        <f t="shared" si="37"/>
        <v>44121</v>
      </c>
      <c r="I288">
        <f t="shared" si="38"/>
        <v>41</v>
      </c>
    </row>
    <row r="289" spans="1:9" x14ac:dyDescent="0.3">
      <c r="A289">
        <f t="shared" si="32"/>
        <v>20201012</v>
      </c>
      <c r="B289" s="193">
        <v>44116</v>
      </c>
      <c r="C289" s="196" t="str">
        <f t="shared" si="39"/>
        <v>12 October 2020</v>
      </c>
      <c r="D289">
        <f t="shared" si="33"/>
        <v>10</v>
      </c>
      <c r="E289" t="str">
        <f t="shared" si="34"/>
        <v>October</v>
      </c>
      <c r="F289" s="128">
        <f t="shared" si="35"/>
        <v>2020</v>
      </c>
      <c r="G289" s="194" t="str">
        <f t="shared" si="36"/>
        <v>2020-10</v>
      </c>
      <c r="H289" s="193">
        <f t="shared" si="37"/>
        <v>44121</v>
      </c>
      <c r="I289">
        <f t="shared" si="38"/>
        <v>42</v>
      </c>
    </row>
    <row r="290" spans="1:9" x14ac:dyDescent="0.3">
      <c r="A290">
        <f t="shared" si="32"/>
        <v>20201013</v>
      </c>
      <c r="B290" s="193">
        <v>44117</v>
      </c>
      <c r="C290" s="196" t="str">
        <f t="shared" si="39"/>
        <v>13 October 2020</v>
      </c>
      <c r="D290">
        <f t="shared" si="33"/>
        <v>10</v>
      </c>
      <c r="E290" t="str">
        <f t="shared" si="34"/>
        <v>October</v>
      </c>
      <c r="F290" s="128">
        <f t="shared" si="35"/>
        <v>2020</v>
      </c>
      <c r="G290" s="194" t="str">
        <f t="shared" si="36"/>
        <v>2020-10</v>
      </c>
      <c r="H290" s="193">
        <f t="shared" si="37"/>
        <v>44121</v>
      </c>
      <c r="I290">
        <f t="shared" si="38"/>
        <v>42</v>
      </c>
    </row>
    <row r="291" spans="1:9" x14ac:dyDescent="0.3">
      <c r="A291">
        <f t="shared" si="32"/>
        <v>20201014</v>
      </c>
      <c r="B291" s="193">
        <v>44118</v>
      </c>
      <c r="C291" s="196" t="str">
        <f t="shared" si="39"/>
        <v>14 October 2020</v>
      </c>
      <c r="D291">
        <f t="shared" si="33"/>
        <v>10</v>
      </c>
      <c r="E291" t="str">
        <f t="shared" si="34"/>
        <v>October</v>
      </c>
      <c r="F291" s="128">
        <f t="shared" si="35"/>
        <v>2020</v>
      </c>
      <c r="G291" s="194" t="str">
        <f t="shared" si="36"/>
        <v>2020-10</v>
      </c>
      <c r="H291" s="193">
        <f t="shared" si="37"/>
        <v>44121</v>
      </c>
      <c r="I291">
        <f t="shared" si="38"/>
        <v>42</v>
      </c>
    </row>
    <row r="292" spans="1:9" x14ac:dyDescent="0.3">
      <c r="A292">
        <f t="shared" si="32"/>
        <v>20201015</v>
      </c>
      <c r="B292" s="193">
        <v>44119</v>
      </c>
      <c r="C292" s="196" t="str">
        <f t="shared" si="39"/>
        <v>15 October 2020</v>
      </c>
      <c r="D292">
        <f t="shared" si="33"/>
        <v>10</v>
      </c>
      <c r="E292" t="str">
        <f t="shared" si="34"/>
        <v>October</v>
      </c>
      <c r="F292" s="128">
        <f t="shared" si="35"/>
        <v>2020</v>
      </c>
      <c r="G292" s="194" t="str">
        <f t="shared" si="36"/>
        <v>2020-10</v>
      </c>
      <c r="H292" s="193">
        <f t="shared" si="37"/>
        <v>44121</v>
      </c>
      <c r="I292">
        <f t="shared" si="38"/>
        <v>42</v>
      </c>
    </row>
    <row r="293" spans="1:9" x14ac:dyDescent="0.3">
      <c r="A293">
        <f t="shared" si="32"/>
        <v>20201016</v>
      </c>
      <c r="B293" s="193">
        <v>44120</v>
      </c>
      <c r="C293" s="196" t="str">
        <f t="shared" si="39"/>
        <v>16 October 2020</v>
      </c>
      <c r="D293">
        <f t="shared" si="33"/>
        <v>10</v>
      </c>
      <c r="E293" t="str">
        <f t="shared" si="34"/>
        <v>October</v>
      </c>
      <c r="F293" s="128">
        <f t="shared" si="35"/>
        <v>2020</v>
      </c>
      <c r="G293" s="194" t="str">
        <f t="shared" si="36"/>
        <v>2020-10</v>
      </c>
      <c r="H293" s="193">
        <f t="shared" si="37"/>
        <v>44121</v>
      </c>
      <c r="I293">
        <f t="shared" si="38"/>
        <v>42</v>
      </c>
    </row>
    <row r="294" spans="1:9" x14ac:dyDescent="0.3">
      <c r="A294">
        <f t="shared" si="32"/>
        <v>20201017</v>
      </c>
      <c r="B294" s="193">
        <v>44121</v>
      </c>
      <c r="C294" s="196" t="str">
        <f t="shared" si="39"/>
        <v>17 October 2020</v>
      </c>
      <c r="D294">
        <f t="shared" si="33"/>
        <v>10</v>
      </c>
      <c r="E294" t="str">
        <f t="shared" si="34"/>
        <v>October</v>
      </c>
      <c r="F294" s="128">
        <f t="shared" si="35"/>
        <v>2020</v>
      </c>
      <c r="G294" s="194" t="str">
        <f t="shared" si="36"/>
        <v>2020-10</v>
      </c>
      <c r="H294" s="193">
        <f t="shared" si="37"/>
        <v>44121</v>
      </c>
      <c r="I294">
        <f t="shared" si="38"/>
        <v>42</v>
      </c>
    </row>
    <row r="295" spans="1:9" x14ac:dyDescent="0.3">
      <c r="A295">
        <f t="shared" si="32"/>
        <v>20201018</v>
      </c>
      <c r="B295" s="193">
        <v>44122</v>
      </c>
      <c r="C295" s="196" t="str">
        <f t="shared" si="39"/>
        <v>18 October 2020</v>
      </c>
      <c r="D295">
        <f t="shared" si="33"/>
        <v>10</v>
      </c>
      <c r="E295" t="str">
        <f t="shared" si="34"/>
        <v>October</v>
      </c>
      <c r="F295" s="128">
        <f t="shared" si="35"/>
        <v>2020</v>
      </c>
      <c r="G295" s="194" t="str">
        <f t="shared" si="36"/>
        <v>2020-10</v>
      </c>
      <c r="H295" s="193">
        <f t="shared" si="37"/>
        <v>44128</v>
      </c>
      <c r="I295">
        <f t="shared" si="38"/>
        <v>42</v>
      </c>
    </row>
    <row r="296" spans="1:9" x14ac:dyDescent="0.3">
      <c r="A296">
        <f t="shared" si="32"/>
        <v>20201019</v>
      </c>
      <c r="B296" s="193">
        <v>44123</v>
      </c>
      <c r="C296" s="196" t="str">
        <f t="shared" si="39"/>
        <v>19 October 2020</v>
      </c>
      <c r="D296">
        <f t="shared" si="33"/>
        <v>10</v>
      </c>
      <c r="E296" t="str">
        <f t="shared" si="34"/>
        <v>October</v>
      </c>
      <c r="F296" s="128">
        <f t="shared" si="35"/>
        <v>2020</v>
      </c>
      <c r="G296" s="194" t="str">
        <f t="shared" si="36"/>
        <v>2020-10</v>
      </c>
      <c r="H296" s="193">
        <f t="shared" si="37"/>
        <v>44128</v>
      </c>
      <c r="I296">
        <f t="shared" si="38"/>
        <v>43</v>
      </c>
    </row>
    <row r="297" spans="1:9" x14ac:dyDescent="0.3">
      <c r="A297">
        <f t="shared" si="32"/>
        <v>20201020</v>
      </c>
      <c r="B297" s="193">
        <v>44124</v>
      </c>
      <c r="C297" s="196" t="str">
        <f t="shared" si="39"/>
        <v>20 October 2020</v>
      </c>
      <c r="D297">
        <f t="shared" si="33"/>
        <v>10</v>
      </c>
      <c r="E297" t="str">
        <f t="shared" si="34"/>
        <v>October</v>
      </c>
      <c r="F297" s="128">
        <f t="shared" si="35"/>
        <v>2020</v>
      </c>
      <c r="G297" s="194" t="str">
        <f t="shared" si="36"/>
        <v>2020-10</v>
      </c>
      <c r="H297" s="193">
        <f t="shared" si="37"/>
        <v>44128</v>
      </c>
      <c r="I297">
        <f t="shared" si="38"/>
        <v>43</v>
      </c>
    </row>
    <row r="298" spans="1:9" x14ac:dyDescent="0.3">
      <c r="A298">
        <f t="shared" si="32"/>
        <v>20201021</v>
      </c>
      <c r="B298" s="193">
        <v>44125</v>
      </c>
      <c r="C298" s="196" t="str">
        <f t="shared" si="39"/>
        <v>21 October 2020</v>
      </c>
      <c r="D298">
        <f t="shared" si="33"/>
        <v>10</v>
      </c>
      <c r="E298" t="str">
        <f t="shared" si="34"/>
        <v>October</v>
      </c>
      <c r="F298" s="128">
        <f t="shared" si="35"/>
        <v>2020</v>
      </c>
      <c r="G298" s="194" t="str">
        <f t="shared" si="36"/>
        <v>2020-10</v>
      </c>
      <c r="H298" s="193">
        <f t="shared" si="37"/>
        <v>44128</v>
      </c>
      <c r="I298">
        <f t="shared" si="38"/>
        <v>43</v>
      </c>
    </row>
    <row r="299" spans="1:9" x14ac:dyDescent="0.3">
      <c r="A299">
        <f t="shared" si="32"/>
        <v>20201022</v>
      </c>
      <c r="B299" s="193">
        <v>44126</v>
      </c>
      <c r="C299" s="196" t="str">
        <f t="shared" si="39"/>
        <v>22 October 2020</v>
      </c>
      <c r="D299">
        <f t="shared" si="33"/>
        <v>10</v>
      </c>
      <c r="E299" t="str">
        <f t="shared" si="34"/>
        <v>October</v>
      </c>
      <c r="F299" s="128">
        <f t="shared" si="35"/>
        <v>2020</v>
      </c>
      <c r="G299" s="194" t="str">
        <f t="shared" si="36"/>
        <v>2020-10</v>
      </c>
      <c r="H299" s="193">
        <f t="shared" si="37"/>
        <v>44128</v>
      </c>
      <c r="I299">
        <f t="shared" si="38"/>
        <v>43</v>
      </c>
    </row>
    <row r="300" spans="1:9" x14ac:dyDescent="0.3">
      <c r="A300">
        <f t="shared" si="32"/>
        <v>20201023</v>
      </c>
      <c r="B300" s="193">
        <v>44127</v>
      </c>
      <c r="C300" s="196" t="str">
        <f t="shared" si="39"/>
        <v>23 October 2020</v>
      </c>
      <c r="D300">
        <f t="shared" si="33"/>
        <v>10</v>
      </c>
      <c r="E300" t="str">
        <f t="shared" si="34"/>
        <v>October</v>
      </c>
      <c r="F300" s="128">
        <f t="shared" si="35"/>
        <v>2020</v>
      </c>
      <c r="G300" s="194" t="str">
        <f t="shared" si="36"/>
        <v>2020-10</v>
      </c>
      <c r="H300" s="193">
        <f t="shared" si="37"/>
        <v>44128</v>
      </c>
      <c r="I300">
        <f t="shared" si="38"/>
        <v>43</v>
      </c>
    </row>
    <row r="301" spans="1:9" x14ac:dyDescent="0.3">
      <c r="A301">
        <f t="shared" si="32"/>
        <v>20201024</v>
      </c>
      <c r="B301" s="193">
        <v>44128</v>
      </c>
      <c r="C301" s="196" t="str">
        <f t="shared" si="39"/>
        <v>24 October 2020</v>
      </c>
      <c r="D301">
        <f t="shared" si="33"/>
        <v>10</v>
      </c>
      <c r="E301" t="str">
        <f t="shared" si="34"/>
        <v>October</v>
      </c>
      <c r="F301" s="128">
        <f t="shared" si="35"/>
        <v>2020</v>
      </c>
      <c r="G301" s="194" t="str">
        <f t="shared" si="36"/>
        <v>2020-10</v>
      </c>
      <c r="H301" s="193">
        <f t="shared" si="37"/>
        <v>44128</v>
      </c>
      <c r="I301">
        <f t="shared" si="38"/>
        <v>43</v>
      </c>
    </row>
    <row r="302" spans="1:9" x14ac:dyDescent="0.3">
      <c r="A302">
        <f t="shared" si="32"/>
        <v>20201025</v>
      </c>
      <c r="B302" s="193">
        <v>44129</v>
      </c>
      <c r="C302" s="196" t="str">
        <f t="shared" si="39"/>
        <v>25 October 2020</v>
      </c>
      <c r="D302">
        <f t="shared" si="33"/>
        <v>10</v>
      </c>
      <c r="E302" t="str">
        <f t="shared" si="34"/>
        <v>October</v>
      </c>
      <c r="F302" s="128">
        <f t="shared" si="35"/>
        <v>2020</v>
      </c>
      <c r="G302" s="194" t="str">
        <f t="shared" si="36"/>
        <v>2020-10</v>
      </c>
      <c r="H302" s="193">
        <f t="shared" si="37"/>
        <v>44135</v>
      </c>
      <c r="I302">
        <f t="shared" si="38"/>
        <v>43</v>
      </c>
    </row>
    <row r="303" spans="1:9" x14ac:dyDescent="0.3">
      <c r="A303">
        <f t="shared" si="32"/>
        <v>20201026</v>
      </c>
      <c r="B303" s="193">
        <v>44130</v>
      </c>
      <c r="C303" s="196" t="str">
        <f t="shared" si="39"/>
        <v>26 October 2020</v>
      </c>
      <c r="D303">
        <f t="shared" si="33"/>
        <v>10</v>
      </c>
      <c r="E303" t="str">
        <f t="shared" si="34"/>
        <v>October</v>
      </c>
      <c r="F303" s="128">
        <f t="shared" si="35"/>
        <v>2020</v>
      </c>
      <c r="G303" s="194" t="str">
        <f t="shared" si="36"/>
        <v>2020-10</v>
      </c>
      <c r="H303" s="193">
        <f t="shared" si="37"/>
        <v>44135</v>
      </c>
      <c r="I303">
        <f t="shared" si="38"/>
        <v>44</v>
      </c>
    </row>
    <row r="304" spans="1:9" x14ac:dyDescent="0.3">
      <c r="A304">
        <f t="shared" si="32"/>
        <v>20201027</v>
      </c>
      <c r="B304" s="193">
        <v>44131</v>
      </c>
      <c r="C304" s="196" t="str">
        <f t="shared" si="39"/>
        <v>27 October 2020</v>
      </c>
      <c r="D304">
        <f t="shared" si="33"/>
        <v>10</v>
      </c>
      <c r="E304" t="str">
        <f t="shared" si="34"/>
        <v>October</v>
      </c>
      <c r="F304" s="128">
        <f t="shared" si="35"/>
        <v>2020</v>
      </c>
      <c r="G304" s="194" t="str">
        <f t="shared" si="36"/>
        <v>2020-10</v>
      </c>
      <c r="H304" s="193">
        <f t="shared" si="37"/>
        <v>44135</v>
      </c>
      <c r="I304">
        <f t="shared" si="38"/>
        <v>44</v>
      </c>
    </row>
    <row r="305" spans="1:9" x14ac:dyDescent="0.3">
      <c r="A305">
        <f t="shared" si="32"/>
        <v>20201028</v>
      </c>
      <c r="B305" s="193">
        <v>44132</v>
      </c>
      <c r="C305" s="196" t="str">
        <f t="shared" si="39"/>
        <v>28 October 2020</v>
      </c>
      <c r="D305">
        <f t="shared" si="33"/>
        <v>10</v>
      </c>
      <c r="E305" t="str">
        <f t="shared" si="34"/>
        <v>October</v>
      </c>
      <c r="F305" s="128">
        <f t="shared" si="35"/>
        <v>2020</v>
      </c>
      <c r="G305" s="194" t="str">
        <f t="shared" si="36"/>
        <v>2020-10</v>
      </c>
      <c r="H305" s="193">
        <f t="shared" si="37"/>
        <v>44135</v>
      </c>
      <c r="I305">
        <f t="shared" si="38"/>
        <v>44</v>
      </c>
    </row>
    <row r="306" spans="1:9" x14ac:dyDescent="0.3">
      <c r="A306">
        <f t="shared" si="32"/>
        <v>20201029</v>
      </c>
      <c r="B306" s="193">
        <v>44133</v>
      </c>
      <c r="C306" s="196" t="str">
        <f t="shared" si="39"/>
        <v>29 October 2020</v>
      </c>
      <c r="D306">
        <f t="shared" si="33"/>
        <v>10</v>
      </c>
      <c r="E306" t="str">
        <f t="shared" si="34"/>
        <v>October</v>
      </c>
      <c r="F306" s="128">
        <f t="shared" si="35"/>
        <v>2020</v>
      </c>
      <c r="G306" s="194" t="str">
        <f t="shared" si="36"/>
        <v>2020-10</v>
      </c>
      <c r="H306" s="193">
        <f t="shared" si="37"/>
        <v>44135</v>
      </c>
      <c r="I306">
        <f t="shared" si="38"/>
        <v>44</v>
      </c>
    </row>
    <row r="307" spans="1:9" x14ac:dyDescent="0.3">
      <c r="A307">
        <f t="shared" si="32"/>
        <v>20201030</v>
      </c>
      <c r="B307" s="193">
        <v>44134</v>
      </c>
      <c r="C307" s="196" t="str">
        <f t="shared" si="39"/>
        <v>30 October 2020</v>
      </c>
      <c r="D307">
        <f t="shared" si="33"/>
        <v>10</v>
      </c>
      <c r="E307" t="str">
        <f t="shared" si="34"/>
        <v>October</v>
      </c>
      <c r="F307" s="128">
        <f t="shared" si="35"/>
        <v>2020</v>
      </c>
      <c r="G307" s="194" t="str">
        <f t="shared" si="36"/>
        <v>2020-10</v>
      </c>
      <c r="H307" s="193">
        <f t="shared" si="37"/>
        <v>44135</v>
      </c>
      <c r="I307">
        <f t="shared" si="38"/>
        <v>44</v>
      </c>
    </row>
    <row r="308" spans="1:9" x14ac:dyDescent="0.3">
      <c r="A308">
        <f t="shared" si="32"/>
        <v>20201031</v>
      </c>
      <c r="B308" s="193">
        <v>44135</v>
      </c>
      <c r="C308" s="196" t="str">
        <f t="shared" si="39"/>
        <v>31 October 2020</v>
      </c>
      <c r="D308">
        <f t="shared" si="33"/>
        <v>10</v>
      </c>
      <c r="E308" t="str">
        <f t="shared" si="34"/>
        <v>October</v>
      </c>
      <c r="F308" s="128">
        <f t="shared" si="35"/>
        <v>2020</v>
      </c>
      <c r="G308" s="194" t="str">
        <f t="shared" si="36"/>
        <v>2020-10</v>
      </c>
      <c r="H308" s="193">
        <f t="shared" si="37"/>
        <v>44135</v>
      </c>
      <c r="I308">
        <f t="shared" si="38"/>
        <v>44</v>
      </c>
    </row>
    <row r="309" spans="1:9" x14ac:dyDescent="0.3">
      <c r="A309">
        <f t="shared" si="32"/>
        <v>20201101</v>
      </c>
      <c r="B309" s="193">
        <v>44136</v>
      </c>
      <c r="C309" s="196" t="str">
        <f t="shared" si="39"/>
        <v>01 November 2020</v>
      </c>
      <c r="D309">
        <f t="shared" si="33"/>
        <v>11</v>
      </c>
      <c r="E309" t="str">
        <f t="shared" si="34"/>
        <v>November</v>
      </c>
      <c r="F309" s="128">
        <f t="shared" si="35"/>
        <v>2020</v>
      </c>
      <c r="G309" s="194" t="str">
        <f t="shared" si="36"/>
        <v>2020-11</v>
      </c>
      <c r="H309" s="193">
        <f t="shared" si="37"/>
        <v>44142</v>
      </c>
      <c r="I309">
        <f t="shared" si="38"/>
        <v>44</v>
      </c>
    </row>
    <row r="310" spans="1:9" x14ac:dyDescent="0.3">
      <c r="A310">
        <f t="shared" si="32"/>
        <v>20201102</v>
      </c>
      <c r="B310" s="193">
        <v>44137</v>
      </c>
      <c r="C310" s="196" t="str">
        <f t="shared" si="39"/>
        <v>02 November 2020</v>
      </c>
      <c r="D310">
        <f t="shared" si="33"/>
        <v>11</v>
      </c>
      <c r="E310" t="str">
        <f t="shared" si="34"/>
        <v>November</v>
      </c>
      <c r="F310" s="128">
        <f t="shared" si="35"/>
        <v>2020</v>
      </c>
      <c r="G310" s="194" t="str">
        <f t="shared" si="36"/>
        <v>2020-11</v>
      </c>
      <c r="H310" s="193">
        <f t="shared" si="37"/>
        <v>44142</v>
      </c>
      <c r="I310">
        <f t="shared" si="38"/>
        <v>45</v>
      </c>
    </row>
    <row r="311" spans="1:9" x14ac:dyDescent="0.3">
      <c r="A311">
        <f t="shared" si="32"/>
        <v>20201103</v>
      </c>
      <c r="B311" s="193">
        <v>44138</v>
      </c>
      <c r="C311" s="196" t="str">
        <f t="shared" si="39"/>
        <v>03 November 2020</v>
      </c>
      <c r="D311">
        <f t="shared" si="33"/>
        <v>11</v>
      </c>
      <c r="E311" t="str">
        <f t="shared" si="34"/>
        <v>November</v>
      </c>
      <c r="F311" s="128">
        <f t="shared" si="35"/>
        <v>2020</v>
      </c>
      <c r="G311" s="194" t="str">
        <f t="shared" si="36"/>
        <v>2020-11</v>
      </c>
      <c r="H311" s="193">
        <f t="shared" si="37"/>
        <v>44142</v>
      </c>
      <c r="I311">
        <f t="shared" si="38"/>
        <v>45</v>
      </c>
    </row>
    <row r="312" spans="1:9" x14ac:dyDescent="0.3">
      <c r="A312">
        <f t="shared" si="32"/>
        <v>20201104</v>
      </c>
      <c r="B312" s="193">
        <v>44139</v>
      </c>
      <c r="C312" s="196" t="str">
        <f t="shared" si="39"/>
        <v>04 November 2020</v>
      </c>
      <c r="D312">
        <f t="shared" si="33"/>
        <v>11</v>
      </c>
      <c r="E312" t="str">
        <f t="shared" si="34"/>
        <v>November</v>
      </c>
      <c r="F312" s="128">
        <f t="shared" si="35"/>
        <v>2020</v>
      </c>
      <c r="G312" s="194" t="str">
        <f t="shared" si="36"/>
        <v>2020-11</v>
      </c>
      <c r="H312" s="193">
        <f t="shared" si="37"/>
        <v>44142</v>
      </c>
      <c r="I312">
        <f t="shared" si="38"/>
        <v>45</v>
      </c>
    </row>
    <row r="313" spans="1:9" x14ac:dyDescent="0.3">
      <c r="A313">
        <f t="shared" si="32"/>
        <v>20201105</v>
      </c>
      <c r="B313" s="193">
        <v>44140</v>
      </c>
      <c r="C313" s="196" t="str">
        <f t="shared" si="39"/>
        <v>05 November 2020</v>
      </c>
      <c r="D313">
        <f t="shared" si="33"/>
        <v>11</v>
      </c>
      <c r="E313" t="str">
        <f t="shared" si="34"/>
        <v>November</v>
      </c>
      <c r="F313" s="128">
        <f t="shared" si="35"/>
        <v>2020</v>
      </c>
      <c r="G313" s="194" t="str">
        <f t="shared" si="36"/>
        <v>2020-11</v>
      </c>
      <c r="H313" s="193">
        <f t="shared" si="37"/>
        <v>44142</v>
      </c>
      <c r="I313">
        <f t="shared" si="38"/>
        <v>45</v>
      </c>
    </row>
    <row r="314" spans="1:9" x14ac:dyDescent="0.3">
      <c r="A314">
        <f t="shared" si="32"/>
        <v>20201106</v>
      </c>
      <c r="B314" s="193">
        <v>44141</v>
      </c>
      <c r="C314" s="196" t="str">
        <f t="shared" si="39"/>
        <v>06 November 2020</v>
      </c>
      <c r="D314">
        <f t="shared" si="33"/>
        <v>11</v>
      </c>
      <c r="E314" t="str">
        <f t="shared" si="34"/>
        <v>November</v>
      </c>
      <c r="F314" s="128">
        <f t="shared" si="35"/>
        <v>2020</v>
      </c>
      <c r="G314" s="194" t="str">
        <f t="shared" si="36"/>
        <v>2020-11</v>
      </c>
      <c r="H314" s="193">
        <f t="shared" si="37"/>
        <v>44142</v>
      </c>
      <c r="I314">
        <f t="shared" si="38"/>
        <v>45</v>
      </c>
    </row>
    <row r="315" spans="1:9" x14ac:dyDescent="0.3">
      <c r="A315">
        <f t="shared" si="32"/>
        <v>20201107</v>
      </c>
      <c r="B315" s="193">
        <v>44142</v>
      </c>
      <c r="C315" s="196" t="str">
        <f t="shared" si="39"/>
        <v>07 November 2020</v>
      </c>
      <c r="D315">
        <f t="shared" si="33"/>
        <v>11</v>
      </c>
      <c r="E315" t="str">
        <f t="shared" si="34"/>
        <v>November</v>
      </c>
      <c r="F315" s="128">
        <f t="shared" si="35"/>
        <v>2020</v>
      </c>
      <c r="G315" s="194" t="str">
        <f t="shared" si="36"/>
        <v>2020-11</v>
      </c>
      <c r="H315" s="193">
        <f t="shared" si="37"/>
        <v>44142</v>
      </c>
      <c r="I315">
        <f t="shared" si="38"/>
        <v>45</v>
      </c>
    </row>
    <row r="316" spans="1:9" x14ac:dyDescent="0.3">
      <c r="A316">
        <f t="shared" si="32"/>
        <v>20201108</v>
      </c>
      <c r="B316" s="193">
        <v>44143</v>
      </c>
      <c r="C316" s="196" t="str">
        <f t="shared" si="39"/>
        <v>08 November 2020</v>
      </c>
      <c r="D316">
        <f t="shared" si="33"/>
        <v>11</v>
      </c>
      <c r="E316" t="str">
        <f t="shared" si="34"/>
        <v>November</v>
      </c>
      <c r="F316" s="128">
        <f t="shared" si="35"/>
        <v>2020</v>
      </c>
      <c r="G316" s="194" t="str">
        <f t="shared" si="36"/>
        <v>2020-11</v>
      </c>
      <c r="H316" s="193">
        <f t="shared" si="37"/>
        <v>44149</v>
      </c>
      <c r="I316">
        <f t="shared" si="38"/>
        <v>45</v>
      </c>
    </row>
    <row r="317" spans="1:9" x14ac:dyDescent="0.3">
      <c r="A317">
        <f t="shared" si="32"/>
        <v>20201109</v>
      </c>
      <c r="B317" s="193">
        <v>44144</v>
      </c>
      <c r="C317" s="196" t="str">
        <f t="shared" si="39"/>
        <v>09 November 2020</v>
      </c>
      <c r="D317">
        <f t="shared" si="33"/>
        <v>11</v>
      </c>
      <c r="E317" t="str">
        <f t="shared" si="34"/>
        <v>November</v>
      </c>
      <c r="F317" s="128">
        <f t="shared" si="35"/>
        <v>2020</v>
      </c>
      <c r="G317" s="194" t="str">
        <f t="shared" si="36"/>
        <v>2020-11</v>
      </c>
      <c r="H317" s="193">
        <f t="shared" si="37"/>
        <v>44149</v>
      </c>
      <c r="I317">
        <f t="shared" si="38"/>
        <v>46</v>
      </c>
    </row>
    <row r="318" spans="1:9" x14ac:dyDescent="0.3">
      <c r="A318">
        <f t="shared" si="32"/>
        <v>20201110</v>
      </c>
      <c r="B318" s="193">
        <v>44145</v>
      </c>
      <c r="C318" s="196" t="str">
        <f t="shared" si="39"/>
        <v>10 November 2020</v>
      </c>
      <c r="D318">
        <f t="shared" si="33"/>
        <v>11</v>
      </c>
      <c r="E318" t="str">
        <f t="shared" si="34"/>
        <v>November</v>
      </c>
      <c r="F318" s="128">
        <f t="shared" si="35"/>
        <v>2020</v>
      </c>
      <c r="G318" s="194" t="str">
        <f t="shared" si="36"/>
        <v>2020-11</v>
      </c>
      <c r="H318" s="193">
        <f t="shared" si="37"/>
        <v>44149</v>
      </c>
      <c r="I318">
        <f t="shared" si="38"/>
        <v>46</v>
      </c>
    </row>
    <row r="319" spans="1:9" x14ac:dyDescent="0.3">
      <c r="A319">
        <f t="shared" si="32"/>
        <v>20201111</v>
      </c>
      <c r="B319" s="193">
        <v>44146</v>
      </c>
      <c r="C319" s="196" t="str">
        <f t="shared" si="39"/>
        <v>11 November 2020</v>
      </c>
      <c r="D319">
        <f t="shared" si="33"/>
        <v>11</v>
      </c>
      <c r="E319" t="str">
        <f t="shared" si="34"/>
        <v>November</v>
      </c>
      <c r="F319" s="128">
        <f t="shared" si="35"/>
        <v>2020</v>
      </c>
      <c r="G319" s="194" t="str">
        <f t="shared" si="36"/>
        <v>2020-11</v>
      </c>
      <c r="H319" s="193">
        <f t="shared" si="37"/>
        <v>44149</v>
      </c>
      <c r="I319">
        <f t="shared" si="38"/>
        <v>46</v>
      </c>
    </row>
    <row r="320" spans="1:9" x14ac:dyDescent="0.3">
      <c r="A320">
        <f t="shared" si="32"/>
        <v>20201112</v>
      </c>
      <c r="B320" s="193">
        <v>44147</v>
      </c>
      <c r="C320" s="196" t="str">
        <f t="shared" si="39"/>
        <v>12 November 2020</v>
      </c>
      <c r="D320">
        <f t="shared" si="33"/>
        <v>11</v>
      </c>
      <c r="E320" t="str">
        <f t="shared" si="34"/>
        <v>November</v>
      </c>
      <c r="F320" s="128">
        <f t="shared" si="35"/>
        <v>2020</v>
      </c>
      <c r="G320" s="194" t="str">
        <f t="shared" si="36"/>
        <v>2020-11</v>
      </c>
      <c r="H320" s="193">
        <f t="shared" si="37"/>
        <v>44149</v>
      </c>
      <c r="I320">
        <f t="shared" si="38"/>
        <v>46</v>
      </c>
    </row>
    <row r="321" spans="1:9" x14ac:dyDescent="0.3">
      <c r="A321">
        <f t="shared" si="32"/>
        <v>20201113</v>
      </c>
      <c r="B321" s="193">
        <v>44148</v>
      </c>
      <c r="C321" s="196" t="str">
        <f t="shared" si="39"/>
        <v>13 November 2020</v>
      </c>
      <c r="D321">
        <f t="shared" si="33"/>
        <v>11</v>
      </c>
      <c r="E321" t="str">
        <f t="shared" si="34"/>
        <v>November</v>
      </c>
      <c r="F321" s="128">
        <f t="shared" si="35"/>
        <v>2020</v>
      </c>
      <c r="G321" s="194" t="str">
        <f t="shared" si="36"/>
        <v>2020-11</v>
      </c>
      <c r="H321" s="193">
        <f t="shared" si="37"/>
        <v>44149</v>
      </c>
      <c r="I321">
        <f t="shared" si="38"/>
        <v>46</v>
      </c>
    </row>
    <row r="322" spans="1:9" x14ac:dyDescent="0.3">
      <c r="A322">
        <f t="shared" si="32"/>
        <v>20201114</v>
      </c>
      <c r="B322" s="193">
        <v>44149</v>
      </c>
      <c r="C322" s="196" t="str">
        <f t="shared" si="39"/>
        <v>14 November 2020</v>
      </c>
      <c r="D322">
        <f t="shared" si="33"/>
        <v>11</v>
      </c>
      <c r="E322" t="str">
        <f t="shared" si="34"/>
        <v>November</v>
      </c>
      <c r="F322" s="128">
        <f t="shared" si="35"/>
        <v>2020</v>
      </c>
      <c r="G322" s="194" t="str">
        <f t="shared" si="36"/>
        <v>2020-11</v>
      </c>
      <c r="H322" s="193">
        <f t="shared" si="37"/>
        <v>44149</v>
      </c>
      <c r="I322">
        <f t="shared" si="38"/>
        <v>46</v>
      </c>
    </row>
    <row r="323" spans="1:9" x14ac:dyDescent="0.3">
      <c r="A323">
        <f t="shared" ref="A323:A386" si="40">YEAR(B323)*10000+MONTH(B323)*100+DAY(B323)</f>
        <v>20201115</v>
      </c>
      <c r="B323" s="193">
        <v>44150</v>
      </c>
      <c r="C323" s="196" t="str">
        <f t="shared" si="39"/>
        <v>15 November 2020</v>
      </c>
      <c r="D323">
        <f t="shared" ref="D323:D386" si="41">MONTH(B323)</f>
        <v>11</v>
      </c>
      <c r="E323" t="str">
        <f t="shared" ref="E323:E386" si="42">TEXT(B323,"MMMM")</f>
        <v>November</v>
      </c>
      <c r="F323" s="128">
        <f t="shared" ref="F323:F386" si="43">YEAR(B323)</f>
        <v>2020</v>
      </c>
      <c r="G323" s="194" t="str">
        <f t="shared" ref="G323:G386" si="44">TEXT(B323,"YYYY-MM")</f>
        <v>2020-11</v>
      </c>
      <c r="H323" s="193">
        <f t="shared" ref="H323:H386" si="45">B323-WEEKDAY(B323)+7</f>
        <v>44156</v>
      </c>
      <c r="I323">
        <f t="shared" ref="I323:I386" si="46">WEEKNUM(B323,2)</f>
        <v>46</v>
      </c>
    </row>
    <row r="324" spans="1:9" x14ac:dyDescent="0.3">
      <c r="A324">
        <f t="shared" si="40"/>
        <v>20201116</v>
      </c>
      <c r="B324" s="193">
        <v>44151</v>
      </c>
      <c r="C324" s="196" t="str">
        <f t="shared" ref="C324:C387" si="47">TEXT(B324,"dd MMMM YYYY")</f>
        <v>16 November 2020</v>
      </c>
      <c r="D324">
        <f t="shared" si="41"/>
        <v>11</v>
      </c>
      <c r="E324" t="str">
        <f t="shared" si="42"/>
        <v>November</v>
      </c>
      <c r="F324" s="128">
        <f t="shared" si="43"/>
        <v>2020</v>
      </c>
      <c r="G324" s="194" t="str">
        <f t="shared" si="44"/>
        <v>2020-11</v>
      </c>
      <c r="H324" s="193">
        <f t="shared" si="45"/>
        <v>44156</v>
      </c>
      <c r="I324">
        <f t="shared" si="46"/>
        <v>47</v>
      </c>
    </row>
    <row r="325" spans="1:9" x14ac:dyDescent="0.3">
      <c r="A325">
        <f t="shared" si="40"/>
        <v>20201117</v>
      </c>
      <c r="B325" s="193">
        <v>44152</v>
      </c>
      <c r="C325" s="196" t="str">
        <f t="shared" si="47"/>
        <v>17 November 2020</v>
      </c>
      <c r="D325">
        <f t="shared" si="41"/>
        <v>11</v>
      </c>
      <c r="E325" t="str">
        <f t="shared" si="42"/>
        <v>November</v>
      </c>
      <c r="F325" s="128">
        <f t="shared" si="43"/>
        <v>2020</v>
      </c>
      <c r="G325" s="194" t="str">
        <f t="shared" si="44"/>
        <v>2020-11</v>
      </c>
      <c r="H325" s="193">
        <f t="shared" si="45"/>
        <v>44156</v>
      </c>
      <c r="I325">
        <f t="shared" si="46"/>
        <v>47</v>
      </c>
    </row>
    <row r="326" spans="1:9" x14ac:dyDescent="0.3">
      <c r="A326">
        <f t="shared" si="40"/>
        <v>20201118</v>
      </c>
      <c r="B326" s="193">
        <v>44153</v>
      </c>
      <c r="C326" s="196" t="str">
        <f t="shared" si="47"/>
        <v>18 November 2020</v>
      </c>
      <c r="D326">
        <f t="shared" si="41"/>
        <v>11</v>
      </c>
      <c r="E326" t="str">
        <f t="shared" si="42"/>
        <v>November</v>
      </c>
      <c r="F326" s="128">
        <f t="shared" si="43"/>
        <v>2020</v>
      </c>
      <c r="G326" s="194" t="str">
        <f t="shared" si="44"/>
        <v>2020-11</v>
      </c>
      <c r="H326" s="193">
        <f t="shared" si="45"/>
        <v>44156</v>
      </c>
      <c r="I326">
        <f t="shared" si="46"/>
        <v>47</v>
      </c>
    </row>
    <row r="327" spans="1:9" x14ac:dyDescent="0.3">
      <c r="A327">
        <f t="shared" si="40"/>
        <v>20201119</v>
      </c>
      <c r="B327" s="193">
        <v>44154</v>
      </c>
      <c r="C327" s="196" t="str">
        <f t="shared" si="47"/>
        <v>19 November 2020</v>
      </c>
      <c r="D327">
        <f t="shared" si="41"/>
        <v>11</v>
      </c>
      <c r="E327" t="str">
        <f t="shared" si="42"/>
        <v>November</v>
      </c>
      <c r="F327" s="128">
        <f t="shared" si="43"/>
        <v>2020</v>
      </c>
      <c r="G327" s="194" t="str">
        <f t="shared" si="44"/>
        <v>2020-11</v>
      </c>
      <c r="H327" s="193">
        <f t="shared" si="45"/>
        <v>44156</v>
      </c>
      <c r="I327">
        <f t="shared" si="46"/>
        <v>47</v>
      </c>
    </row>
    <row r="328" spans="1:9" x14ac:dyDescent="0.3">
      <c r="A328">
        <f t="shared" si="40"/>
        <v>20201120</v>
      </c>
      <c r="B328" s="193">
        <v>44155</v>
      </c>
      <c r="C328" s="196" t="str">
        <f t="shared" si="47"/>
        <v>20 November 2020</v>
      </c>
      <c r="D328">
        <f t="shared" si="41"/>
        <v>11</v>
      </c>
      <c r="E328" t="str">
        <f t="shared" si="42"/>
        <v>November</v>
      </c>
      <c r="F328" s="128">
        <f t="shared" si="43"/>
        <v>2020</v>
      </c>
      <c r="G328" s="194" t="str">
        <f t="shared" si="44"/>
        <v>2020-11</v>
      </c>
      <c r="H328" s="193">
        <f t="shared" si="45"/>
        <v>44156</v>
      </c>
      <c r="I328">
        <f t="shared" si="46"/>
        <v>47</v>
      </c>
    </row>
    <row r="329" spans="1:9" x14ac:dyDescent="0.3">
      <c r="A329">
        <f t="shared" si="40"/>
        <v>20201121</v>
      </c>
      <c r="B329" s="193">
        <v>44156</v>
      </c>
      <c r="C329" s="196" t="str">
        <f t="shared" si="47"/>
        <v>21 November 2020</v>
      </c>
      <c r="D329">
        <f t="shared" si="41"/>
        <v>11</v>
      </c>
      <c r="E329" t="str">
        <f t="shared" si="42"/>
        <v>November</v>
      </c>
      <c r="F329" s="128">
        <f t="shared" si="43"/>
        <v>2020</v>
      </c>
      <c r="G329" s="194" t="str">
        <f t="shared" si="44"/>
        <v>2020-11</v>
      </c>
      <c r="H329" s="193">
        <f t="shared" si="45"/>
        <v>44156</v>
      </c>
      <c r="I329">
        <f t="shared" si="46"/>
        <v>47</v>
      </c>
    </row>
    <row r="330" spans="1:9" x14ac:dyDescent="0.3">
      <c r="A330">
        <f t="shared" si="40"/>
        <v>20201122</v>
      </c>
      <c r="B330" s="193">
        <v>44157</v>
      </c>
      <c r="C330" s="196" t="str">
        <f t="shared" si="47"/>
        <v>22 November 2020</v>
      </c>
      <c r="D330">
        <f t="shared" si="41"/>
        <v>11</v>
      </c>
      <c r="E330" t="str">
        <f t="shared" si="42"/>
        <v>November</v>
      </c>
      <c r="F330" s="128">
        <f t="shared" si="43"/>
        <v>2020</v>
      </c>
      <c r="G330" s="194" t="str">
        <f t="shared" si="44"/>
        <v>2020-11</v>
      </c>
      <c r="H330" s="193">
        <f t="shared" si="45"/>
        <v>44163</v>
      </c>
      <c r="I330">
        <f t="shared" si="46"/>
        <v>47</v>
      </c>
    </row>
    <row r="331" spans="1:9" x14ac:dyDescent="0.3">
      <c r="A331">
        <f t="shared" si="40"/>
        <v>20201123</v>
      </c>
      <c r="B331" s="193">
        <v>44158</v>
      </c>
      <c r="C331" s="196" t="str">
        <f t="shared" si="47"/>
        <v>23 November 2020</v>
      </c>
      <c r="D331">
        <f t="shared" si="41"/>
        <v>11</v>
      </c>
      <c r="E331" t="str">
        <f t="shared" si="42"/>
        <v>November</v>
      </c>
      <c r="F331" s="128">
        <f t="shared" si="43"/>
        <v>2020</v>
      </c>
      <c r="G331" s="194" t="str">
        <f t="shared" si="44"/>
        <v>2020-11</v>
      </c>
      <c r="H331" s="193">
        <f t="shared" si="45"/>
        <v>44163</v>
      </c>
      <c r="I331">
        <f t="shared" si="46"/>
        <v>48</v>
      </c>
    </row>
    <row r="332" spans="1:9" x14ac:dyDescent="0.3">
      <c r="A332">
        <f t="shared" si="40"/>
        <v>20201124</v>
      </c>
      <c r="B332" s="193">
        <v>44159</v>
      </c>
      <c r="C332" s="196" t="str">
        <f t="shared" si="47"/>
        <v>24 November 2020</v>
      </c>
      <c r="D332">
        <f t="shared" si="41"/>
        <v>11</v>
      </c>
      <c r="E332" t="str">
        <f t="shared" si="42"/>
        <v>November</v>
      </c>
      <c r="F332" s="128">
        <f t="shared" si="43"/>
        <v>2020</v>
      </c>
      <c r="G332" s="194" t="str">
        <f t="shared" si="44"/>
        <v>2020-11</v>
      </c>
      <c r="H332" s="193">
        <f t="shared" si="45"/>
        <v>44163</v>
      </c>
      <c r="I332">
        <f t="shared" si="46"/>
        <v>48</v>
      </c>
    </row>
    <row r="333" spans="1:9" x14ac:dyDescent="0.3">
      <c r="A333">
        <f t="shared" si="40"/>
        <v>20201125</v>
      </c>
      <c r="B333" s="193">
        <v>44160</v>
      </c>
      <c r="C333" s="196" t="str">
        <f t="shared" si="47"/>
        <v>25 November 2020</v>
      </c>
      <c r="D333">
        <f t="shared" si="41"/>
        <v>11</v>
      </c>
      <c r="E333" t="str">
        <f t="shared" si="42"/>
        <v>November</v>
      </c>
      <c r="F333" s="128">
        <f t="shared" si="43"/>
        <v>2020</v>
      </c>
      <c r="G333" s="194" t="str">
        <f t="shared" si="44"/>
        <v>2020-11</v>
      </c>
      <c r="H333" s="193">
        <f t="shared" si="45"/>
        <v>44163</v>
      </c>
      <c r="I333">
        <f t="shared" si="46"/>
        <v>48</v>
      </c>
    </row>
    <row r="334" spans="1:9" x14ac:dyDescent="0.3">
      <c r="A334">
        <f t="shared" si="40"/>
        <v>20201126</v>
      </c>
      <c r="B334" s="193">
        <v>44161</v>
      </c>
      <c r="C334" s="196" t="str">
        <f t="shared" si="47"/>
        <v>26 November 2020</v>
      </c>
      <c r="D334">
        <f t="shared" si="41"/>
        <v>11</v>
      </c>
      <c r="E334" t="str">
        <f t="shared" si="42"/>
        <v>November</v>
      </c>
      <c r="F334" s="128">
        <f t="shared" si="43"/>
        <v>2020</v>
      </c>
      <c r="G334" s="194" t="str">
        <f t="shared" si="44"/>
        <v>2020-11</v>
      </c>
      <c r="H334" s="193">
        <f t="shared" si="45"/>
        <v>44163</v>
      </c>
      <c r="I334">
        <f t="shared" si="46"/>
        <v>48</v>
      </c>
    </row>
    <row r="335" spans="1:9" x14ac:dyDescent="0.3">
      <c r="A335">
        <f t="shared" si="40"/>
        <v>20201127</v>
      </c>
      <c r="B335" s="193">
        <v>44162</v>
      </c>
      <c r="C335" s="196" t="str">
        <f t="shared" si="47"/>
        <v>27 November 2020</v>
      </c>
      <c r="D335">
        <f t="shared" si="41"/>
        <v>11</v>
      </c>
      <c r="E335" t="str">
        <f t="shared" si="42"/>
        <v>November</v>
      </c>
      <c r="F335" s="128">
        <f t="shared" si="43"/>
        <v>2020</v>
      </c>
      <c r="G335" s="194" t="str">
        <f t="shared" si="44"/>
        <v>2020-11</v>
      </c>
      <c r="H335" s="193">
        <f t="shared" si="45"/>
        <v>44163</v>
      </c>
      <c r="I335">
        <f t="shared" si="46"/>
        <v>48</v>
      </c>
    </row>
    <row r="336" spans="1:9" x14ac:dyDescent="0.3">
      <c r="A336">
        <f t="shared" si="40"/>
        <v>20201128</v>
      </c>
      <c r="B336" s="193">
        <v>44163</v>
      </c>
      <c r="C336" s="196" t="str">
        <f t="shared" si="47"/>
        <v>28 November 2020</v>
      </c>
      <c r="D336">
        <f t="shared" si="41"/>
        <v>11</v>
      </c>
      <c r="E336" t="str">
        <f t="shared" si="42"/>
        <v>November</v>
      </c>
      <c r="F336" s="128">
        <f t="shared" si="43"/>
        <v>2020</v>
      </c>
      <c r="G336" s="194" t="str">
        <f t="shared" si="44"/>
        <v>2020-11</v>
      </c>
      <c r="H336" s="193">
        <f t="shared" si="45"/>
        <v>44163</v>
      </c>
      <c r="I336">
        <f t="shared" si="46"/>
        <v>48</v>
      </c>
    </row>
    <row r="337" spans="1:9" x14ac:dyDescent="0.3">
      <c r="A337">
        <f t="shared" si="40"/>
        <v>20201129</v>
      </c>
      <c r="B337" s="193">
        <v>44164</v>
      </c>
      <c r="C337" s="196" t="str">
        <f t="shared" si="47"/>
        <v>29 November 2020</v>
      </c>
      <c r="D337">
        <f t="shared" si="41"/>
        <v>11</v>
      </c>
      <c r="E337" t="str">
        <f t="shared" si="42"/>
        <v>November</v>
      </c>
      <c r="F337" s="128">
        <f t="shared" si="43"/>
        <v>2020</v>
      </c>
      <c r="G337" s="194" t="str">
        <f t="shared" si="44"/>
        <v>2020-11</v>
      </c>
      <c r="H337" s="193">
        <f t="shared" si="45"/>
        <v>44170</v>
      </c>
      <c r="I337">
        <f t="shared" si="46"/>
        <v>48</v>
      </c>
    </row>
    <row r="338" spans="1:9" x14ac:dyDescent="0.3">
      <c r="A338">
        <f t="shared" si="40"/>
        <v>20201130</v>
      </c>
      <c r="B338" s="193">
        <v>44165</v>
      </c>
      <c r="C338" s="196" t="str">
        <f t="shared" si="47"/>
        <v>30 November 2020</v>
      </c>
      <c r="D338">
        <f t="shared" si="41"/>
        <v>11</v>
      </c>
      <c r="E338" t="str">
        <f t="shared" si="42"/>
        <v>November</v>
      </c>
      <c r="F338" s="128">
        <f t="shared" si="43"/>
        <v>2020</v>
      </c>
      <c r="G338" s="194" t="str">
        <f t="shared" si="44"/>
        <v>2020-11</v>
      </c>
      <c r="H338" s="193">
        <f t="shared" si="45"/>
        <v>44170</v>
      </c>
      <c r="I338">
        <f t="shared" si="46"/>
        <v>49</v>
      </c>
    </row>
    <row r="339" spans="1:9" x14ac:dyDescent="0.3">
      <c r="A339">
        <f t="shared" si="40"/>
        <v>20201201</v>
      </c>
      <c r="B339" s="193">
        <v>44166</v>
      </c>
      <c r="C339" s="196" t="str">
        <f t="shared" si="47"/>
        <v>01 December 2020</v>
      </c>
      <c r="D339">
        <f t="shared" si="41"/>
        <v>12</v>
      </c>
      <c r="E339" t="str">
        <f t="shared" si="42"/>
        <v>December</v>
      </c>
      <c r="F339" s="128">
        <f t="shared" si="43"/>
        <v>2020</v>
      </c>
      <c r="G339" s="194" t="str">
        <f t="shared" si="44"/>
        <v>2020-12</v>
      </c>
      <c r="H339" s="193">
        <f t="shared" si="45"/>
        <v>44170</v>
      </c>
      <c r="I339">
        <f t="shared" si="46"/>
        <v>49</v>
      </c>
    </row>
    <row r="340" spans="1:9" x14ac:dyDescent="0.3">
      <c r="A340">
        <f t="shared" si="40"/>
        <v>20201202</v>
      </c>
      <c r="B340" s="193">
        <v>44167</v>
      </c>
      <c r="C340" s="196" t="str">
        <f t="shared" si="47"/>
        <v>02 December 2020</v>
      </c>
      <c r="D340">
        <f t="shared" si="41"/>
        <v>12</v>
      </c>
      <c r="E340" t="str">
        <f t="shared" si="42"/>
        <v>December</v>
      </c>
      <c r="F340" s="128">
        <f t="shared" si="43"/>
        <v>2020</v>
      </c>
      <c r="G340" s="194" t="str">
        <f t="shared" si="44"/>
        <v>2020-12</v>
      </c>
      <c r="H340" s="193">
        <f t="shared" si="45"/>
        <v>44170</v>
      </c>
      <c r="I340">
        <f t="shared" si="46"/>
        <v>49</v>
      </c>
    </row>
    <row r="341" spans="1:9" x14ac:dyDescent="0.3">
      <c r="A341">
        <f t="shared" si="40"/>
        <v>20201203</v>
      </c>
      <c r="B341" s="193">
        <v>44168</v>
      </c>
      <c r="C341" s="196" t="str">
        <f t="shared" si="47"/>
        <v>03 December 2020</v>
      </c>
      <c r="D341">
        <f t="shared" si="41"/>
        <v>12</v>
      </c>
      <c r="E341" t="str">
        <f t="shared" si="42"/>
        <v>December</v>
      </c>
      <c r="F341" s="128">
        <f t="shared" si="43"/>
        <v>2020</v>
      </c>
      <c r="G341" s="194" t="str">
        <f t="shared" si="44"/>
        <v>2020-12</v>
      </c>
      <c r="H341" s="193">
        <f t="shared" si="45"/>
        <v>44170</v>
      </c>
      <c r="I341">
        <f t="shared" si="46"/>
        <v>49</v>
      </c>
    </row>
    <row r="342" spans="1:9" x14ac:dyDescent="0.3">
      <c r="A342">
        <f t="shared" si="40"/>
        <v>20201204</v>
      </c>
      <c r="B342" s="193">
        <v>44169</v>
      </c>
      <c r="C342" s="196" t="str">
        <f t="shared" si="47"/>
        <v>04 December 2020</v>
      </c>
      <c r="D342">
        <f t="shared" si="41"/>
        <v>12</v>
      </c>
      <c r="E342" t="str">
        <f t="shared" si="42"/>
        <v>December</v>
      </c>
      <c r="F342" s="128">
        <f t="shared" si="43"/>
        <v>2020</v>
      </c>
      <c r="G342" s="194" t="str">
        <f t="shared" si="44"/>
        <v>2020-12</v>
      </c>
      <c r="H342" s="193">
        <f t="shared" si="45"/>
        <v>44170</v>
      </c>
      <c r="I342">
        <f t="shared" si="46"/>
        <v>49</v>
      </c>
    </row>
    <row r="343" spans="1:9" x14ac:dyDescent="0.3">
      <c r="A343">
        <f t="shared" si="40"/>
        <v>20201205</v>
      </c>
      <c r="B343" s="193">
        <v>44170</v>
      </c>
      <c r="C343" s="196" t="str">
        <f t="shared" si="47"/>
        <v>05 December 2020</v>
      </c>
      <c r="D343">
        <f t="shared" si="41"/>
        <v>12</v>
      </c>
      <c r="E343" t="str">
        <f t="shared" si="42"/>
        <v>December</v>
      </c>
      <c r="F343" s="128">
        <f t="shared" si="43"/>
        <v>2020</v>
      </c>
      <c r="G343" s="194" t="str">
        <f t="shared" si="44"/>
        <v>2020-12</v>
      </c>
      <c r="H343" s="193">
        <f t="shared" si="45"/>
        <v>44170</v>
      </c>
      <c r="I343">
        <f t="shared" si="46"/>
        <v>49</v>
      </c>
    </row>
    <row r="344" spans="1:9" x14ac:dyDescent="0.3">
      <c r="A344">
        <f t="shared" si="40"/>
        <v>20201206</v>
      </c>
      <c r="B344" s="193">
        <v>44171</v>
      </c>
      <c r="C344" s="196" t="str">
        <f t="shared" si="47"/>
        <v>06 December 2020</v>
      </c>
      <c r="D344">
        <f t="shared" si="41"/>
        <v>12</v>
      </c>
      <c r="E344" t="str">
        <f t="shared" si="42"/>
        <v>December</v>
      </c>
      <c r="F344" s="128">
        <f t="shared" si="43"/>
        <v>2020</v>
      </c>
      <c r="G344" s="194" t="str">
        <f t="shared" si="44"/>
        <v>2020-12</v>
      </c>
      <c r="H344" s="193">
        <f t="shared" si="45"/>
        <v>44177</v>
      </c>
      <c r="I344">
        <f t="shared" si="46"/>
        <v>49</v>
      </c>
    </row>
    <row r="345" spans="1:9" x14ac:dyDescent="0.3">
      <c r="A345">
        <f t="shared" si="40"/>
        <v>20201207</v>
      </c>
      <c r="B345" s="193">
        <v>44172</v>
      </c>
      <c r="C345" s="196" t="str">
        <f t="shared" si="47"/>
        <v>07 December 2020</v>
      </c>
      <c r="D345">
        <f t="shared" si="41"/>
        <v>12</v>
      </c>
      <c r="E345" t="str">
        <f t="shared" si="42"/>
        <v>December</v>
      </c>
      <c r="F345" s="128">
        <f t="shared" si="43"/>
        <v>2020</v>
      </c>
      <c r="G345" s="194" t="str">
        <f t="shared" si="44"/>
        <v>2020-12</v>
      </c>
      <c r="H345" s="193">
        <f t="shared" si="45"/>
        <v>44177</v>
      </c>
      <c r="I345">
        <f t="shared" si="46"/>
        <v>50</v>
      </c>
    </row>
    <row r="346" spans="1:9" x14ac:dyDescent="0.3">
      <c r="A346">
        <f t="shared" si="40"/>
        <v>20201208</v>
      </c>
      <c r="B346" s="193">
        <v>44173</v>
      </c>
      <c r="C346" s="196" t="str">
        <f t="shared" si="47"/>
        <v>08 December 2020</v>
      </c>
      <c r="D346">
        <f t="shared" si="41"/>
        <v>12</v>
      </c>
      <c r="E346" t="str">
        <f t="shared" si="42"/>
        <v>December</v>
      </c>
      <c r="F346" s="128">
        <f t="shared" si="43"/>
        <v>2020</v>
      </c>
      <c r="G346" s="194" t="str">
        <f t="shared" si="44"/>
        <v>2020-12</v>
      </c>
      <c r="H346" s="193">
        <f t="shared" si="45"/>
        <v>44177</v>
      </c>
      <c r="I346">
        <f t="shared" si="46"/>
        <v>50</v>
      </c>
    </row>
    <row r="347" spans="1:9" x14ac:dyDescent="0.3">
      <c r="A347">
        <f t="shared" si="40"/>
        <v>20201209</v>
      </c>
      <c r="B347" s="193">
        <v>44174</v>
      </c>
      <c r="C347" s="196" t="str">
        <f t="shared" si="47"/>
        <v>09 December 2020</v>
      </c>
      <c r="D347">
        <f t="shared" si="41"/>
        <v>12</v>
      </c>
      <c r="E347" t="str">
        <f t="shared" si="42"/>
        <v>December</v>
      </c>
      <c r="F347" s="128">
        <f t="shared" si="43"/>
        <v>2020</v>
      </c>
      <c r="G347" s="194" t="str">
        <f t="shared" si="44"/>
        <v>2020-12</v>
      </c>
      <c r="H347" s="193">
        <f t="shared" si="45"/>
        <v>44177</v>
      </c>
      <c r="I347">
        <f t="shared" si="46"/>
        <v>50</v>
      </c>
    </row>
    <row r="348" spans="1:9" x14ac:dyDescent="0.3">
      <c r="A348">
        <f t="shared" si="40"/>
        <v>20201210</v>
      </c>
      <c r="B348" s="193">
        <v>44175</v>
      </c>
      <c r="C348" s="196" t="str">
        <f t="shared" si="47"/>
        <v>10 December 2020</v>
      </c>
      <c r="D348">
        <f t="shared" si="41"/>
        <v>12</v>
      </c>
      <c r="E348" t="str">
        <f t="shared" si="42"/>
        <v>December</v>
      </c>
      <c r="F348" s="128">
        <f t="shared" si="43"/>
        <v>2020</v>
      </c>
      <c r="G348" s="194" t="str">
        <f t="shared" si="44"/>
        <v>2020-12</v>
      </c>
      <c r="H348" s="193">
        <f t="shared" si="45"/>
        <v>44177</v>
      </c>
      <c r="I348">
        <f t="shared" si="46"/>
        <v>50</v>
      </c>
    </row>
    <row r="349" spans="1:9" x14ac:dyDescent="0.3">
      <c r="A349">
        <f t="shared" si="40"/>
        <v>20201211</v>
      </c>
      <c r="B349" s="193">
        <v>44176</v>
      </c>
      <c r="C349" s="196" t="str">
        <f t="shared" si="47"/>
        <v>11 December 2020</v>
      </c>
      <c r="D349">
        <f t="shared" si="41"/>
        <v>12</v>
      </c>
      <c r="E349" t="str">
        <f t="shared" si="42"/>
        <v>December</v>
      </c>
      <c r="F349" s="128">
        <f t="shared" si="43"/>
        <v>2020</v>
      </c>
      <c r="G349" s="194" t="str">
        <f t="shared" si="44"/>
        <v>2020-12</v>
      </c>
      <c r="H349" s="193">
        <f t="shared" si="45"/>
        <v>44177</v>
      </c>
      <c r="I349">
        <f t="shared" si="46"/>
        <v>50</v>
      </c>
    </row>
    <row r="350" spans="1:9" x14ac:dyDescent="0.3">
      <c r="A350">
        <f t="shared" si="40"/>
        <v>20201212</v>
      </c>
      <c r="B350" s="193">
        <v>44177</v>
      </c>
      <c r="C350" s="196" t="str">
        <f t="shared" si="47"/>
        <v>12 December 2020</v>
      </c>
      <c r="D350">
        <f t="shared" si="41"/>
        <v>12</v>
      </c>
      <c r="E350" t="str">
        <f t="shared" si="42"/>
        <v>December</v>
      </c>
      <c r="F350" s="128">
        <f t="shared" si="43"/>
        <v>2020</v>
      </c>
      <c r="G350" s="194" t="str">
        <f t="shared" si="44"/>
        <v>2020-12</v>
      </c>
      <c r="H350" s="193">
        <f t="shared" si="45"/>
        <v>44177</v>
      </c>
      <c r="I350">
        <f t="shared" si="46"/>
        <v>50</v>
      </c>
    </row>
    <row r="351" spans="1:9" x14ac:dyDescent="0.3">
      <c r="A351">
        <f t="shared" si="40"/>
        <v>20201213</v>
      </c>
      <c r="B351" s="193">
        <v>44178</v>
      </c>
      <c r="C351" s="196" t="str">
        <f t="shared" si="47"/>
        <v>13 December 2020</v>
      </c>
      <c r="D351">
        <f t="shared" si="41"/>
        <v>12</v>
      </c>
      <c r="E351" t="str">
        <f t="shared" si="42"/>
        <v>December</v>
      </c>
      <c r="F351" s="128">
        <f t="shared" si="43"/>
        <v>2020</v>
      </c>
      <c r="G351" s="194" t="str">
        <f t="shared" si="44"/>
        <v>2020-12</v>
      </c>
      <c r="H351" s="193">
        <f t="shared" si="45"/>
        <v>44184</v>
      </c>
      <c r="I351">
        <f t="shared" si="46"/>
        <v>50</v>
      </c>
    </row>
    <row r="352" spans="1:9" x14ac:dyDescent="0.3">
      <c r="A352">
        <f t="shared" si="40"/>
        <v>20201214</v>
      </c>
      <c r="B352" s="193">
        <v>44179</v>
      </c>
      <c r="C352" s="196" t="str">
        <f t="shared" si="47"/>
        <v>14 December 2020</v>
      </c>
      <c r="D352">
        <f t="shared" si="41"/>
        <v>12</v>
      </c>
      <c r="E352" t="str">
        <f t="shared" si="42"/>
        <v>December</v>
      </c>
      <c r="F352" s="128">
        <f t="shared" si="43"/>
        <v>2020</v>
      </c>
      <c r="G352" s="194" t="str">
        <f t="shared" si="44"/>
        <v>2020-12</v>
      </c>
      <c r="H352" s="193">
        <f t="shared" si="45"/>
        <v>44184</v>
      </c>
      <c r="I352">
        <f t="shared" si="46"/>
        <v>51</v>
      </c>
    </row>
    <row r="353" spans="1:9" x14ac:dyDescent="0.3">
      <c r="A353">
        <f t="shared" si="40"/>
        <v>20201215</v>
      </c>
      <c r="B353" s="193">
        <v>44180</v>
      </c>
      <c r="C353" s="196" t="str">
        <f t="shared" si="47"/>
        <v>15 December 2020</v>
      </c>
      <c r="D353">
        <f t="shared" si="41"/>
        <v>12</v>
      </c>
      <c r="E353" t="str">
        <f t="shared" si="42"/>
        <v>December</v>
      </c>
      <c r="F353" s="128">
        <f t="shared" si="43"/>
        <v>2020</v>
      </c>
      <c r="G353" s="194" t="str">
        <f t="shared" si="44"/>
        <v>2020-12</v>
      </c>
      <c r="H353" s="193">
        <f t="shared" si="45"/>
        <v>44184</v>
      </c>
      <c r="I353">
        <f t="shared" si="46"/>
        <v>51</v>
      </c>
    </row>
    <row r="354" spans="1:9" x14ac:dyDescent="0.3">
      <c r="A354">
        <f t="shared" si="40"/>
        <v>20201216</v>
      </c>
      <c r="B354" s="193">
        <v>44181</v>
      </c>
      <c r="C354" s="196" t="str">
        <f t="shared" si="47"/>
        <v>16 December 2020</v>
      </c>
      <c r="D354">
        <f t="shared" si="41"/>
        <v>12</v>
      </c>
      <c r="E354" t="str">
        <f t="shared" si="42"/>
        <v>December</v>
      </c>
      <c r="F354" s="128">
        <f t="shared" si="43"/>
        <v>2020</v>
      </c>
      <c r="G354" s="194" t="str">
        <f t="shared" si="44"/>
        <v>2020-12</v>
      </c>
      <c r="H354" s="193">
        <f t="shared" si="45"/>
        <v>44184</v>
      </c>
      <c r="I354">
        <f t="shared" si="46"/>
        <v>51</v>
      </c>
    </row>
    <row r="355" spans="1:9" x14ac:dyDescent="0.3">
      <c r="A355">
        <f t="shared" si="40"/>
        <v>20201217</v>
      </c>
      <c r="B355" s="193">
        <v>44182</v>
      </c>
      <c r="C355" s="196" t="str">
        <f t="shared" si="47"/>
        <v>17 December 2020</v>
      </c>
      <c r="D355">
        <f t="shared" si="41"/>
        <v>12</v>
      </c>
      <c r="E355" t="str">
        <f t="shared" si="42"/>
        <v>December</v>
      </c>
      <c r="F355" s="128">
        <f t="shared" si="43"/>
        <v>2020</v>
      </c>
      <c r="G355" s="194" t="str">
        <f t="shared" si="44"/>
        <v>2020-12</v>
      </c>
      <c r="H355" s="193">
        <f t="shared" si="45"/>
        <v>44184</v>
      </c>
      <c r="I355">
        <f t="shared" si="46"/>
        <v>51</v>
      </c>
    </row>
    <row r="356" spans="1:9" x14ac:dyDescent="0.3">
      <c r="A356">
        <f t="shared" si="40"/>
        <v>20201218</v>
      </c>
      <c r="B356" s="193">
        <v>44183</v>
      </c>
      <c r="C356" s="196" t="str">
        <f t="shared" si="47"/>
        <v>18 December 2020</v>
      </c>
      <c r="D356">
        <f t="shared" si="41"/>
        <v>12</v>
      </c>
      <c r="E356" t="str">
        <f t="shared" si="42"/>
        <v>December</v>
      </c>
      <c r="F356" s="128">
        <f t="shared" si="43"/>
        <v>2020</v>
      </c>
      <c r="G356" s="194" t="str">
        <f t="shared" si="44"/>
        <v>2020-12</v>
      </c>
      <c r="H356" s="193">
        <f t="shared" si="45"/>
        <v>44184</v>
      </c>
      <c r="I356">
        <f t="shared" si="46"/>
        <v>51</v>
      </c>
    </row>
    <row r="357" spans="1:9" x14ac:dyDescent="0.3">
      <c r="A357">
        <f t="shared" si="40"/>
        <v>20201219</v>
      </c>
      <c r="B357" s="193">
        <v>44184</v>
      </c>
      <c r="C357" s="196" t="str">
        <f t="shared" si="47"/>
        <v>19 December 2020</v>
      </c>
      <c r="D357">
        <f t="shared" si="41"/>
        <v>12</v>
      </c>
      <c r="E357" t="str">
        <f t="shared" si="42"/>
        <v>December</v>
      </c>
      <c r="F357" s="128">
        <f t="shared" si="43"/>
        <v>2020</v>
      </c>
      <c r="G357" s="194" t="str">
        <f t="shared" si="44"/>
        <v>2020-12</v>
      </c>
      <c r="H357" s="193">
        <f t="shared" si="45"/>
        <v>44184</v>
      </c>
      <c r="I357">
        <f t="shared" si="46"/>
        <v>51</v>
      </c>
    </row>
    <row r="358" spans="1:9" x14ac:dyDescent="0.3">
      <c r="A358">
        <f t="shared" si="40"/>
        <v>20201220</v>
      </c>
      <c r="B358" s="193">
        <v>44185</v>
      </c>
      <c r="C358" s="196" t="str">
        <f t="shared" si="47"/>
        <v>20 December 2020</v>
      </c>
      <c r="D358">
        <f t="shared" si="41"/>
        <v>12</v>
      </c>
      <c r="E358" t="str">
        <f t="shared" si="42"/>
        <v>December</v>
      </c>
      <c r="F358" s="128">
        <f t="shared" si="43"/>
        <v>2020</v>
      </c>
      <c r="G358" s="194" t="str">
        <f t="shared" si="44"/>
        <v>2020-12</v>
      </c>
      <c r="H358" s="193">
        <f t="shared" si="45"/>
        <v>44191</v>
      </c>
      <c r="I358">
        <f t="shared" si="46"/>
        <v>51</v>
      </c>
    </row>
    <row r="359" spans="1:9" x14ac:dyDescent="0.3">
      <c r="A359">
        <f t="shared" si="40"/>
        <v>20201221</v>
      </c>
      <c r="B359" s="193">
        <v>44186</v>
      </c>
      <c r="C359" s="196" t="str">
        <f t="shared" si="47"/>
        <v>21 December 2020</v>
      </c>
      <c r="D359">
        <f t="shared" si="41"/>
        <v>12</v>
      </c>
      <c r="E359" t="str">
        <f t="shared" si="42"/>
        <v>December</v>
      </c>
      <c r="F359" s="128">
        <f t="shared" si="43"/>
        <v>2020</v>
      </c>
      <c r="G359" s="194" t="str">
        <f t="shared" si="44"/>
        <v>2020-12</v>
      </c>
      <c r="H359" s="193">
        <f t="shared" si="45"/>
        <v>44191</v>
      </c>
      <c r="I359">
        <f t="shared" si="46"/>
        <v>52</v>
      </c>
    </row>
    <row r="360" spans="1:9" x14ac:dyDescent="0.3">
      <c r="A360">
        <f t="shared" si="40"/>
        <v>20201222</v>
      </c>
      <c r="B360" s="193">
        <v>44187</v>
      </c>
      <c r="C360" s="196" t="str">
        <f t="shared" si="47"/>
        <v>22 December 2020</v>
      </c>
      <c r="D360">
        <f t="shared" si="41"/>
        <v>12</v>
      </c>
      <c r="E360" t="str">
        <f t="shared" si="42"/>
        <v>December</v>
      </c>
      <c r="F360" s="128">
        <f t="shared" si="43"/>
        <v>2020</v>
      </c>
      <c r="G360" s="194" t="str">
        <f t="shared" si="44"/>
        <v>2020-12</v>
      </c>
      <c r="H360" s="193">
        <f t="shared" si="45"/>
        <v>44191</v>
      </c>
      <c r="I360">
        <f t="shared" si="46"/>
        <v>52</v>
      </c>
    </row>
    <row r="361" spans="1:9" x14ac:dyDescent="0.3">
      <c r="A361">
        <f t="shared" si="40"/>
        <v>20201223</v>
      </c>
      <c r="B361" s="193">
        <v>44188</v>
      </c>
      <c r="C361" s="196" t="str">
        <f t="shared" si="47"/>
        <v>23 December 2020</v>
      </c>
      <c r="D361">
        <f t="shared" si="41"/>
        <v>12</v>
      </c>
      <c r="E361" t="str">
        <f t="shared" si="42"/>
        <v>December</v>
      </c>
      <c r="F361" s="128">
        <f t="shared" si="43"/>
        <v>2020</v>
      </c>
      <c r="G361" s="194" t="str">
        <f t="shared" si="44"/>
        <v>2020-12</v>
      </c>
      <c r="H361" s="193">
        <f t="shared" si="45"/>
        <v>44191</v>
      </c>
      <c r="I361">
        <f t="shared" si="46"/>
        <v>52</v>
      </c>
    </row>
    <row r="362" spans="1:9" x14ac:dyDescent="0.3">
      <c r="A362">
        <f t="shared" si="40"/>
        <v>20201224</v>
      </c>
      <c r="B362" s="193">
        <v>44189</v>
      </c>
      <c r="C362" s="196" t="str">
        <f t="shared" si="47"/>
        <v>24 December 2020</v>
      </c>
      <c r="D362">
        <f t="shared" si="41"/>
        <v>12</v>
      </c>
      <c r="E362" t="str">
        <f t="shared" si="42"/>
        <v>December</v>
      </c>
      <c r="F362" s="128">
        <f t="shared" si="43"/>
        <v>2020</v>
      </c>
      <c r="G362" s="194" t="str">
        <f t="shared" si="44"/>
        <v>2020-12</v>
      </c>
      <c r="H362" s="193">
        <f t="shared" si="45"/>
        <v>44191</v>
      </c>
      <c r="I362">
        <f t="shared" si="46"/>
        <v>52</v>
      </c>
    </row>
    <row r="363" spans="1:9" x14ac:dyDescent="0.3">
      <c r="A363">
        <f t="shared" si="40"/>
        <v>20201225</v>
      </c>
      <c r="B363" s="193">
        <v>44190</v>
      </c>
      <c r="C363" s="196" t="str">
        <f t="shared" si="47"/>
        <v>25 December 2020</v>
      </c>
      <c r="D363">
        <f t="shared" si="41"/>
        <v>12</v>
      </c>
      <c r="E363" t="str">
        <f t="shared" si="42"/>
        <v>December</v>
      </c>
      <c r="F363" s="128">
        <f t="shared" si="43"/>
        <v>2020</v>
      </c>
      <c r="G363" s="194" t="str">
        <f t="shared" si="44"/>
        <v>2020-12</v>
      </c>
      <c r="H363" s="193">
        <f t="shared" si="45"/>
        <v>44191</v>
      </c>
      <c r="I363">
        <f t="shared" si="46"/>
        <v>52</v>
      </c>
    </row>
    <row r="364" spans="1:9" x14ac:dyDescent="0.3">
      <c r="A364">
        <f t="shared" si="40"/>
        <v>20201226</v>
      </c>
      <c r="B364" s="193">
        <v>44191</v>
      </c>
      <c r="C364" s="196" t="str">
        <f t="shared" si="47"/>
        <v>26 December 2020</v>
      </c>
      <c r="D364">
        <f t="shared" si="41"/>
        <v>12</v>
      </c>
      <c r="E364" t="str">
        <f t="shared" si="42"/>
        <v>December</v>
      </c>
      <c r="F364" s="128">
        <f t="shared" si="43"/>
        <v>2020</v>
      </c>
      <c r="G364" s="194" t="str">
        <f t="shared" si="44"/>
        <v>2020-12</v>
      </c>
      <c r="H364" s="193">
        <f t="shared" si="45"/>
        <v>44191</v>
      </c>
      <c r="I364">
        <f t="shared" si="46"/>
        <v>52</v>
      </c>
    </row>
    <row r="365" spans="1:9" x14ac:dyDescent="0.3">
      <c r="A365">
        <f t="shared" si="40"/>
        <v>20201227</v>
      </c>
      <c r="B365" s="193">
        <v>44192</v>
      </c>
      <c r="C365" s="196" t="str">
        <f t="shared" si="47"/>
        <v>27 December 2020</v>
      </c>
      <c r="D365">
        <f t="shared" si="41"/>
        <v>12</v>
      </c>
      <c r="E365" t="str">
        <f t="shared" si="42"/>
        <v>December</v>
      </c>
      <c r="F365" s="128">
        <f t="shared" si="43"/>
        <v>2020</v>
      </c>
      <c r="G365" s="194" t="str">
        <f t="shared" si="44"/>
        <v>2020-12</v>
      </c>
      <c r="H365" s="193">
        <f t="shared" si="45"/>
        <v>44198</v>
      </c>
      <c r="I365">
        <f t="shared" si="46"/>
        <v>52</v>
      </c>
    </row>
    <row r="366" spans="1:9" x14ac:dyDescent="0.3">
      <c r="A366">
        <f t="shared" si="40"/>
        <v>20201228</v>
      </c>
      <c r="B366" s="193">
        <v>44193</v>
      </c>
      <c r="C366" s="196" t="str">
        <f t="shared" si="47"/>
        <v>28 December 2020</v>
      </c>
      <c r="D366">
        <f t="shared" si="41"/>
        <v>12</v>
      </c>
      <c r="E366" t="str">
        <f t="shared" si="42"/>
        <v>December</v>
      </c>
      <c r="F366" s="128">
        <f t="shared" si="43"/>
        <v>2020</v>
      </c>
      <c r="G366" s="194" t="str">
        <f t="shared" si="44"/>
        <v>2020-12</v>
      </c>
      <c r="H366" s="193">
        <f t="shared" si="45"/>
        <v>44198</v>
      </c>
      <c r="I366">
        <f t="shared" si="46"/>
        <v>53</v>
      </c>
    </row>
    <row r="367" spans="1:9" x14ac:dyDescent="0.3">
      <c r="A367">
        <f t="shared" si="40"/>
        <v>20201229</v>
      </c>
      <c r="B367" s="193">
        <v>44194</v>
      </c>
      <c r="C367" s="196" t="str">
        <f t="shared" si="47"/>
        <v>29 December 2020</v>
      </c>
      <c r="D367">
        <f t="shared" si="41"/>
        <v>12</v>
      </c>
      <c r="E367" t="str">
        <f t="shared" si="42"/>
        <v>December</v>
      </c>
      <c r="F367" s="128">
        <f t="shared" si="43"/>
        <v>2020</v>
      </c>
      <c r="G367" s="194" t="str">
        <f t="shared" si="44"/>
        <v>2020-12</v>
      </c>
      <c r="H367" s="193">
        <f t="shared" si="45"/>
        <v>44198</v>
      </c>
      <c r="I367">
        <f t="shared" si="46"/>
        <v>53</v>
      </c>
    </row>
    <row r="368" spans="1:9" x14ac:dyDescent="0.3">
      <c r="A368">
        <f t="shared" si="40"/>
        <v>20201230</v>
      </c>
      <c r="B368" s="193">
        <v>44195</v>
      </c>
      <c r="C368" s="196" t="str">
        <f t="shared" si="47"/>
        <v>30 December 2020</v>
      </c>
      <c r="D368">
        <f t="shared" si="41"/>
        <v>12</v>
      </c>
      <c r="E368" t="str">
        <f t="shared" si="42"/>
        <v>December</v>
      </c>
      <c r="F368" s="128">
        <f t="shared" si="43"/>
        <v>2020</v>
      </c>
      <c r="G368" s="194" t="str">
        <f t="shared" si="44"/>
        <v>2020-12</v>
      </c>
      <c r="H368" s="193">
        <f t="shared" si="45"/>
        <v>44198</v>
      </c>
      <c r="I368">
        <f t="shared" si="46"/>
        <v>53</v>
      </c>
    </row>
    <row r="369" spans="1:9" x14ac:dyDescent="0.3">
      <c r="A369">
        <f t="shared" si="40"/>
        <v>20201231</v>
      </c>
      <c r="B369" s="193">
        <v>44196</v>
      </c>
      <c r="C369" s="196" t="str">
        <f t="shared" si="47"/>
        <v>31 December 2020</v>
      </c>
      <c r="D369">
        <f t="shared" si="41"/>
        <v>12</v>
      </c>
      <c r="E369" t="str">
        <f t="shared" si="42"/>
        <v>December</v>
      </c>
      <c r="F369" s="128">
        <f t="shared" si="43"/>
        <v>2020</v>
      </c>
      <c r="G369" s="194" t="str">
        <f t="shared" si="44"/>
        <v>2020-12</v>
      </c>
      <c r="H369" s="193">
        <f t="shared" si="45"/>
        <v>44198</v>
      </c>
      <c r="I369">
        <f t="shared" si="46"/>
        <v>53</v>
      </c>
    </row>
    <row r="370" spans="1:9" x14ac:dyDescent="0.3">
      <c r="A370">
        <f t="shared" si="40"/>
        <v>20210101</v>
      </c>
      <c r="B370" s="193">
        <v>44197</v>
      </c>
      <c r="C370" s="196" t="str">
        <f t="shared" si="47"/>
        <v>01 January 2021</v>
      </c>
      <c r="D370">
        <f t="shared" si="41"/>
        <v>1</v>
      </c>
      <c r="E370" t="str">
        <f t="shared" si="42"/>
        <v>January</v>
      </c>
      <c r="F370" s="128">
        <f t="shared" si="43"/>
        <v>2021</v>
      </c>
      <c r="G370" s="194" t="str">
        <f t="shared" si="44"/>
        <v>2021-01</v>
      </c>
      <c r="H370" s="193">
        <f t="shared" si="45"/>
        <v>44198</v>
      </c>
      <c r="I370">
        <f t="shared" si="46"/>
        <v>1</v>
      </c>
    </row>
    <row r="371" spans="1:9" x14ac:dyDescent="0.3">
      <c r="A371">
        <f t="shared" si="40"/>
        <v>20210102</v>
      </c>
      <c r="B371" s="193">
        <v>44198</v>
      </c>
      <c r="C371" s="196" t="str">
        <f t="shared" si="47"/>
        <v>02 January 2021</v>
      </c>
      <c r="D371">
        <f t="shared" si="41"/>
        <v>1</v>
      </c>
      <c r="E371" t="str">
        <f t="shared" si="42"/>
        <v>January</v>
      </c>
      <c r="F371" s="128">
        <f t="shared" si="43"/>
        <v>2021</v>
      </c>
      <c r="G371" s="194" t="str">
        <f t="shared" si="44"/>
        <v>2021-01</v>
      </c>
      <c r="H371" s="193">
        <f t="shared" si="45"/>
        <v>44198</v>
      </c>
      <c r="I371">
        <f t="shared" si="46"/>
        <v>1</v>
      </c>
    </row>
    <row r="372" spans="1:9" x14ac:dyDescent="0.3">
      <c r="A372">
        <f t="shared" si="40"/>
        <v>20210103</v>
      </c>
      <c r="B372" s="193">
        <v>44199</v>
      </c>
      <c r="C372" s="196" t="str">
        <f t="shared" si="47"/>
        <v>03 January 2021</v>
      </c>
      <c r="D372">
        <f t="shared" si="41"/>
        <v>1</v>
      </c>
      <c r="E372" t="str">
        <f t="shared" si="42"/>
        <v>January</v>
      </c>
      <c r="F372" s="128">
        <f t="shared" si="43"/>
        <v>2021</v>
      </c>
      <c r="G372" s="194" t="str">
        <f t="shared" si="44"/>
        <v>2021-01</v>
      </c>
      <c r="H372" s="193">
        <f t="shared" si="45"/>
        <v>44205</v>
      </c>
      <c r="I372">
        <f t="shared" si="46"/>
        <v>1</v>
      </c>
    </row>
    <row r="373" spans="1:9" x14ac:dyDescent="0.3">
      <c r="A373">
        <f t="shared" si="40"/>
        <v>20210104</v>
      </c>
      <c r="B373" s="193">
        <v>44200</v>
      </c>
      <c r="C373" s="196" t="str">
        <f t="shared" si="47"/>
        <v>04 January 2021</v>
      </c>
      <c r="D373">
        <f t="shared" si="41"/>
        <v>1</v>
      </c>
      <c r="E373" t="str">
        <f t="shared" si="42"/>
        <v>January</v>
      </c>
      <c r="F373" s="128">
        <f t="shared" si="43"/>
        <v>2021</v>
      </c>
      <c r="G373" s="194" t="str">
        <f t="shared" si="44"/>
        <v>2021-01</v>
      </c>
      <c r="H373" s="193">
        <f t="shared" si="45"/>
        <v>44205</v>
      </c>
      <c r="I373">
        <f t="shared" si="46"/>
        <v>2</v>
      </c>
    </row>
    <row r="374" spans="1:9" x14ac:dyDescent="0.3">
      <c r="A374">
        <f t="shared" si="40"/>
        <v>20210105</v>
      </c>
      <c r="B374" s="193">
        <v>44201</v>
      </c>
      <c r="C374" s="196" t="str">
        <f t="shared" si="47"/>
        <v>05 January 2021</v>
      </c>
      <c r="D374">
        <f t="shared" si="41"/>
        <v>1</v>
      </c>
      <c r="E374" t="str">
        <f t="shared" si="42"/>
        <v>January</v>
      </c>
      <c r="F374" s="128">
        <f t="shared" si="43"/>
        <v>2021</v>
      </c>
      <c r="G374" s="194" t="str">
        <f t="shared" si="44"/>
        <v>2021-01</v>
      </c>
      <c r="H374" s="193">
        <f t="shared" si="45"/>
        <v>44205</v>
      </c>
      <c r="I374">
        <f t="shared" si="46"/>
        <v>2</v>
      </c>
    </row>
    <row r="375" spans="1:9" x14ac:dyDescent="0.3">
      <c r="A375">
        <f t="shared" si="40"/>
        <v>20210106</v>
      </c>
      <c r="B375" s="193">
        <v>44202</v>
      </c>
      <c r="C375" s="196" t="str">
        <f t="shared" si="47"/>
        <v>06 January 2021</v>
      </c>
      <c r="D375">
        <f t="shared" si="41"/>
        <v>1</v>
      </c>
      <c r="E375" t="str">
        <f t="shared" si="42"/>
        <v>January</v>
      </c>
      <c r="F375" s="128">
        <f t="shared" si="43"/>
        <v>2021</v>
      </c>
      <c r="G375" s="194" t="str">
        <f t="shared" si="44"/>
        <v>2021-01</v>
      </c>
      <c r="H375" s="193">
        <f t="shared" si="45"/>
        <v>44205</v>
      </c>
      <c r="I375">
        <f t="shared" si="46"/>
        <v>2</v>
      </c>
    </row>
    <row r="376" spans="1:9" x14ac:dyDescent="0.3">
      <c r="A376">
        <f t="shared" si="40"/>
        <v>20210107</v>
      </c>
      <c r="B376" s="193">
        <v>44203</v>
      </c>
      <c r="C376" s="196" t="str">
        <f t="shared" si="47"/>
        <v>07 January 2021</v>
      </c>
      <c r="D376">
        <f t="shared" si="41"/>
        <v>1</v>
      </c>
      <c r="E376" t="str">
        <f t="shared" si="42"/>
        <v>January</v>
      </c>
      <c r="F376" s="128">
        <f t="shared" si="43"/>
        <v>2021</v>
      </c>
      <c r="G376" s="194" t="str">
        <f t="shared" si="44"/>
        <v>2021-01</v>
      </c>
      <c r="H376" s="193">
        <f t="shared" si="45"/>
        <v>44205</v>
      </c>
      <c r="I376">
        <f t="shared" si="46"/>
        <v>2</v>
      </c>
    </row>
    <row r="377" spans="1:9" x14ac:dyDescent="0.3">
      <c r="A377">
        <f t="shared" si="40"/>
        <v>20210108</v>
      </c>
      <c r="B377" s="193">
        <v>44204</v>
      </c>
      <c r="C377" s="196" t="str">
        <f t="shared" si="47"/>
        <v>08 January 2021</v>
      </c>
      <c r="D377">
        <f t="shared" si="41"/>
        <v>1</v>
      </c>
      <c r="E377" t="str">
        <f t="shared" si="42"/>
        <v>January</v>
      </c>
      <c r="F377" s="128">
        <f t="shared" si="43"/>
        <v>2021</v>
      </c>
      <c r="G377" s="194" t="str">
        <f t="shared" si="44"/>
        <v>2021-01</v>
      </c>
      <c r="H377" s="193">
        <f t="shared" si="45"/>
        <v>44205</v>
      </c>
      <c r="I377">
        <f t="shared" si="46"/>
        <v>2</v>
      </c>
    </row>
    <row r="378" spans="1:9" x14ac:dyDescent="0.3">
      <c r="A378">
        <f t="shared" si="40"/>
        <v>20210109</v>
      </c>
      <c r="B378" s="193">
        <v>44205</v>
      </c>
      <c r="C378" s="196" t="str">
        <f t="shared" si="47"/>
        <v>09 January 2021</v>
      </c>
      <c r="D378">
        <f t="shared" si="41"/>
        <v>1</v>
      </c>
      <c r="E378" t="str">
        <f t="shared" si="42"/>
        <v>January</v>
      </c>
      <c r="F378" s="128">
        <f t="shared" si="43"/>
        <v>2021</v>
      </c>
      <c r="G378" s="194" t="str">
        <f t="shared" si="44"/>
        <v>2021-01</v>
      </c>
      <c r="H378" s="193">
        <f t="shared" si="45"/>
        <v>44205</v>
      </c>
      <c r="I378">
        <f t="shared" si="46"/>
        <v>2</v>
      </c>
    </row>
    <row r="379" spans="1:9" x14ac:dyDescent="0.3">
      <c r="A379">
        <f t="shared" si="40"/>
        <v>20210110</v>
      </c>
      <c r="B379" s="193">
        <v>44206</v>
      </c>
      <c r="C379" s="196" t="str">
        <f t="shared" si="47"/>
        <v>10 January 2021</v>
      </c>
      <c r="D379">
        <f t="shared" si="41"/>
        <v>1</v>
      </c>
      <c r="E379" t="str">
        <f t="shared" si="42"/>
        <v>January</v>
      </c>
      <c r="F379" s="128">
        <f t="shared" si="43"/>
        <v>2021</v>
      </c>
      <c r="G379" s="194" t="str">
        <f t="shared" si="44"/>
        <v>2021-01</v>
      </c>
      <c r="H379" s="193">
        <f t="shared" si="45"/>
        <v>44212</v>
      </c>
      <c r="I379">
        <f t="shared" si="46"/>
        <v>2</v>
      </c>
    </row>
    <row r="380" spans="1:9" x14ac:dyDescent="0.3">
      <c r="A380">
        <f t="shared" si="40"/>
        <v>20210111</v>
      </c>
      <c r="B380" s="193">
        <v>44207</v>
      </c>
      <c r="C380" s="196" t="str">
        <f t="shared" si="47"/>
        <v>11 January 2021</v>
      </c>
      <c r="D380">
        <f t="shared" si="41"/>
        <v>1</v>
      </c>
      <c r="E380" t="str">
        <f t="shared" si="42"/>
        <v>January</v>
      </c>
      <c r="F380" s="128">
        <f t="shared" si="43"/>
        <v>2021</v>
      </c>
      <c r="G380" s="194" t="str">
        <f t="shared" si="44"/>
        <v>2021-01</v>
      </c>
      <c r="H380" s="193">
        <f t="shared" si="45"/>
        <v>44212</v>
      </c>
      <c r="I380">
        <f t="shared" si="46"/>
        <v>3</v>
      </c>
    </row>
    <row r="381" spans="1:9" x14ac:dyDescent="0.3">
      <c r="A381">
        <f t="shared" si="40"/>
        <v>20210112</v>
      </c>
      <c r="B381" s="193">
        <v>44208</v>
      </c>
      <c r="C381" s="196" t="str">
        <f t="shared" si="47"/>
        <v>12 January 2021</v>
      </c>
      <c r="D381">
        <f t="shared" si="41"/>
        <v>1</v>
      </c>
      <c r="E381" t="str">
        <f t="shared" si="42"/>
        <v>January</v>
      </c>
      <c r="F381" s="128">
        <f t="shared" si="43"/>
        <v>2021</v>
      </c>
      <c r="G381" s="194" t="str">
        <f t="shared" si="44"/>
        <v>2021-01</v>
      </c>
      <c r="H381" s="193">
        <f t="shared" si="45"/>
        <v>44212</v>
      </c>
      <c r="I381">
        <f t="shared" si="46"/>
        <v>3</v>
      </c>
    </row>
    <row r="382" spans="1:9" x14ac:dyDescent="0.3">
      <c r="A382">
        <f t="shared" si="40"/>
        <v>20210113</v>
      </c>
      <c r="B382" s="193">
        <v>44209</v>
      </c>
      <c r="C382" s="196" t="str">
        <f t="shared" si="47"/>
        <v>13 January 2021</v>
      </c>
      <c r="D382">
        <f t="shared" si="41"/>
        <v>1</v>
      </c>
      <c r="E382" t="str">
        <f t="shared" si="42"/>
        <v>January</v>
      </c>
      <c r="F382" s="128">
        <f t="shared" si="43"/>
        <v>2021</v>
      </c>
      <c r="G382" s="194" t="str">
        <f t="shared" si="44"/>
        <v>2021-01</v>
      </c>
      <c r="H382" s="193">
        <f t="shared" si="45"/>
        <v>44212</v>
      </c>
      <c r="I382">
        <f t="shared" si="46"/>
        <v>3</v>
      </c>
    </row>
    <row r="383" spans="1:9" x14ac:dyDescent="0.3">
      <c r="A383">
        <f t="shared" si="40"/>
        <v>20210114</v>
      </c>
      <c r="B383" s="193">
        <v>44210</v>
      </c>
      <c r="C383" s="196" t="str">
        <f t="shared" si="47"/>
        <v>14 January 2021</v>
      </c>
      <c r="D383">
        <f t="shared" si="41"/>
        <v>1</v>
      </c>
      <c r="E383" t="str">
        <f t="shared" si="42"/>
        <v>January</v>
      </c>
      <c r="F383" s="128">
        <f t="shared" si="43"/>
        <v>2021</v>
      </c>
      <c r="G383" s="194" t="str">
        <f t="shared" si="44"/>
        <v>2021-01</v>
      </c>
      <c r="H383" s="193">
        <f t="shared" si="45"/>
        <v>44212</v>
      </c>
      <c r="I383">
        <f t="shared" si="46"/>
        <v>3</v>
      </c>
    </row>
    <row r="384" spans="1:9" x14ac:dyDescent="0.3">
      <c r="A384">
        <f t="shared" si="40"/>
        <v>20210115</v>
      </c>
      <c r="B384" s="193">
        <v>44211</v>
      </c>
      <c r="C384" s="196" t="str">
        <f t="shared" si="47"/>
        <v>15 January 2021</v>
      </c>
      <c r="D384">
        <f t="shared" si="41"/>
        <v>1</v>
      </c>
      <c r="E384" t="str">
        <f t="shared" si="42"/>
        <v>January</v>
      </c>
      <c r="F384" s="128">
        <f t="shared" si="43"/>
        <v>2021</v>
      </c>
      <c r="G384" s="194" t="str">
        <f t="shared" si="44"/>
        <v>2021-01</v>
      </c>
      <c r="H384" s="193">
        <f t="shared" si="45"/>
        <v>44212</v>
      </c>
      <c r="I384">
        <f t="shared" si="46"/>
        <v>3</v>
      </c>
    </row>
    <row r="385" spans="1:9" x14ac:dyDescent="0.3">
      <c r="A385">
        <f t="shared" si="40"/>
        <v>20210116</v>
      </c>
      <c r="B385" s="193">
        <v>44212</v>
      </c>
      <c r="C385" s="196" t="str">
        <f t="shared" si="47"/>
        <v>16 January 2021</v>
      </c>
      <c r="D385">
        <f t="shared" si="41"/>
        <v>1</v>
      </c>
      <c r="E385" t="str">
        <f t="shared" si="42"/>
        <v>January</v>
      </c>
      <c r="F385" s="128">
        <f t="shared" si="43"/>
        <v>2021</v>
      </c>
      <c r="G385" s="194" t="str">
        <f t="shared" si="44"/>
        <v>2021-01</v>
      </c>
      <c r="H385" s="193">
        <f t="shared" si="45"/>
        <v>44212</v>
      </c>
      <c r="I385">
        <f t="shared" si="46"/>
        <v>3</v>
      </c>
    </row>
    <row r="386" spans="1:9" x14ac:dyDescent="0.3">
      <c r="A386">
        <f t="shared" si="40"/>
        <v>20210117</v>
      </c>
      <c r="B386" s="193">
        <v>44213</v>
      </c>
      <c r="C386" s="196" t="str">
        <f t="shared" si="47"/>
        <v>17 January 2021</v>
      </c>
      <c r="D386">
        <f t="shared" si="41"/>
        <v>1</v>
      </c>
      <c r="E386" t="str">
        <f t="shared" si="42"/>
        <v>January</v>
      </c>
      <c r="F386" s="128">
        <f t="shared" si="43"/>
        <v>2021</v>
      </c>
      <c r="G386" s="194" t="str">
        <f t="shared" si="44"/>
        <v>2021-01</v>
      </c>
      <c r="H386" s="193">
        <f t="shared" si="45"/>
        <v>44219</v>
      </c>
      <c r="I386">
        <f t="shared" si="46"/>
        <v>3</v>
      </c>
    </row>
    <row r="387" spans="1:9" x14ac:dyDescent="0.3">
      <c r="A387">
        <f t="shared" ref="A387:A450" si="48">YEAR(B387)*10000+MONTH(B387)*100+DAY(B387)</f>
        <v>20210118</v>
      </c>
      <c r="B387" s="193">
        <v>44214</v>
      </c>
      <c r="C387" s="196" t="str">
        <f t="shared" si="47"/>
        <v>18 January 2021</v>
      </c>
      <c r="D387">
        <f t="shared" ref="D387:D450" si="49">MONTH(B387)</f>
        <v>1</v>
      </c>
      <c r="E387" t="str">
        <f t="shared" ref="E387:E450" si="50">TEXT(B387,"MMMM")</f>
        <v>January</v>
      </c>
      <c r="F387" s="128">
        <f t="shared" ref="F387:F450" si="51">YEAR(B387)</f>
        <v>2021</v>
      </c>
      <c r="G387" s="194" t="str">
        <f t="shared" ref="G387:G450" si="52">TEXT(B387,"YYYY-MM")</f>
        <v>2021-01</v>
      </c>
      <c r="H387" s="193">
        <f t="shared" ref="H387:H450" si="53">B387-WEEKDAY(B387)+7</f>
        <v>44219</v>
      </c>
      <c r="I387">
        <f t="shared" ref="I387:I450" si="54">WEEKNUM(B387,2)</f>
        <v>4</v>
      </c>
    </row>
    <row r="388" spans="1:9" x14ac:dyDescent="0.3">
      <c r="A388">
        <f t="shared" si="48"/>
        <v>20210119</v>
      </c>
      <c r="B388" s="193">
        <v>44215</v>
      </c>
      <c r="C388" s="196" t="str">
        <f t="shared" ref="C388:C451" si="55">TEXT(B388,"dd MMMM YYYY")</f>
        <v>19 January 2021</v>
      </c>
      <c r="D388">
        <f t="shared" si="49"/>
        <v>1</v>
      </c>
      <c r="E388" t="str">
        <f t="shared" si="50"/>
        <v>January</v>
      </c>
      <c r="F388" s="128">
        <f t="shared" si="51"/>
        <v>2021</v>
      </c>
      <c r="G388" s="194" t="str">
        <f t="shared" si="52"/>
        <v>2021-01</v>
      </c>
      <c r="H388" s="193">
        <f t="shared" si="53"/>
        <v>44219</v>
      </c>
      <c r="I388">
        <f t="shared" si="54"/>
        <v>4</v>
      </c>
    </row>
    <row r="389" spans="1:9" x14ac:dyDescent="0.3">
      <c r="A389">
        <f t="shared" si="48"/>
        <v>20210120</v>
      </c>
      <c r="B389" s="193">
        <v>44216</v>
      </c>
      <c r="C389" s="196" t="str">
        <f t="shared" si="55"/>
        <v>20 January 2021</v>
      </c>
      <c r="D389">
        <f t="shared" si="49"/>
        <v>1</v>
      </c>
      <c r="E389" t="str">
        <f t="shared" si="50"/>
        <v>January</v>
      </c>
      <c r="F389" s="128">
        <f t="shared" si="51"/>
        <v>2021</v>
      </c>
      <c r="G389" s="194" t="str">
        <f t="shared" si="52"/>
        <v>2021-01</v>
      </c>
      <c r="H389" s="193">
        <f t="shared" si="53"/>
        <v>44219</v>
      </c>
      <c r="I389">
        <f t="shared" si="54"/>
        <v>4</v>
      </c>
    </row>
    <row r="390" spans="1:9" x14ac:dyDescent="0.3">
      <c r="A390">
        <f t="shared" si="48"/>
        <v>20210121</v>
      </c>
      <c r="B390" s="193">
        <v>44217</v>
      </c>
      <c r="C390" s="196" t="str">
        <f t="shared" si="55"/>
        <v>21 January 2021</v>
      </c>
      <c r="D390">
        <f t="shared" si="49"/>
        <v>1</v>
      </c>
      <c r="E390" t="str">
        <f t="shared" si="50"/>
        <v>January</v>
      </c>
      <c r="F390" s="128">
        <f t="shared" si="51"/>
        <v>2021</v>
      </c>
      <c r="G390" s="194" t="str">
        <f t="shared" si="52"/>
        <v>2021-01</v>
      </c>
      <c r="H390" s="193">
        <f t="shared" si="53"/>
        <v>44219</v>
      </c>
      <c r="I390">
        <f t="shared" si="54"/>
        <v>4</v>
      </c>
    </row>
    <row r="391" spans="1:9" x14ac:dyDescent="0.3">
      <c r="A391">
        <f t="shared" si="48"/>
        <v>20210122</v>
      </c>
      <c r="B391" s="193">
        <v>44218</v>
      </c>
      <c r="C391" s="196" t="str">
        <f t="shared" si="55"/>
        <v>22 January 2021</v>
      </c>
      <c r="D391">
        <f t="shared" si="49"/>
        <v>1</v>
      </c>
      <c r="E391" t="str">
        <f t="shared" si="50"/>
        <v>January</v>
      </c>
      <c r="F391" s="128">
        <f t="shared" si="51"/>
        <v>2021</v>
      </c>
      <c r="G391" s="194" t="str">
        <f t="shared" si="52"/>
        <v>2021-01</v>
      </c>
      <c r="H391" s="193">
        <f t="shared" si="53"/>
        <v>44219</v>
      </c>
      <c r="I391">
        <f t="shared" si="54"/>
        <v>4</v>
      </c>
    </row>
    <row r="392" spans="1:9" x14ac:dyDescent="0.3">
      <c r="A392">
        <f t="shared" si="48"/>
        <v>20210123</v>
      </c>
      <c r="B392" s="193">
        <v>44219</v>
      </c>
      <c r="C392" s="196" t="str">
        <f t="shared" si="55"/>
        <v>23 January 2021</v>
      </c>
      <c r="D392">
        <f t="shared" si="49"/>
        <v>1</v>
      </c>
      <c r="E392" t="str">
        <f t="shared" si="50"/>
        <v>January</v>
      </c>
      <c r="F392" s="128">
        <f t="shared" si="51"/>
        <v>2021</v>
      </c>
      <c r="G392" s="194" t="str">
        <f t="shared" si="52"/>
        <v>2021-01</v>
      </c>
      <c r="H392" s="193">
        <f t="shared" si="53"/>
        <v>44219</v>
      </c>
      <c r="I392">
        <f t="shared" si="54"/>
        <v>4</v>
      </c>
    </row>
    <row r="393" spans="1:9" x14ac:dyDescent="0.3">
      <c r="A393">
        <f t="shared" si="48"/>
        <v>20210124</v>
      </c>
      <c r="B393" s="193">
        <v>44220</v>
      </c>
      <c r="C393" s="196" t="str">
        <f t="shared" si="55"/>
        <v>24 January 2021</v>
      </c>
      <c r="D393">
        <f t="shared" si="49"/>
        <v>1</v>
      </c>
      <c r="E393" t="str">
        <f t="shared" si="50"/>
        <v>January</v>
      </c>
      <c r="F393" s="128">
        <f t="shared" si="51"/>
        <v>2021</v>
      </c>
      <c r="G393" s="194" t="str">
        <f t="shared" si="52"/>
        <v>2021-01</v>
      </c>
      <c r="H393" s="193">
        <f t="shared" si="53"/>
        <v>44226</v>
      </c>
      <c r="I393">
        <f t="shared" si="54"/>
        <v>4</v>
      </c>
    </row>
    <row r="394" spans="1:9" x14ac:dyDescent="0.3">
      <c r="A394">
        <f t="shared" si="48"/>
        <v>20210125</v>
      </c>
      <c r="B394" s="193">
        <v>44221</v>
      </c>
      <c r="C394" s="196" t="str">
        <f t="shared" si="55"/>
        <v>25 January 2021</v>
      </c>
      <c r="D394">
        <f t="shared" si="49"/>
        <v>1</v>
      </c>
      <c r="E394" t="str">
        <f t="shared" si="50"/>
        <v>January</v>
      </c>
      <c r="F394" s="128">
        <f t="shared" si="51"/>
        <v>2021</v>
      </c>
      <c r="G394" s="194" t="str">
        <f t="shared" si="52"/>
        <v>2021-01</v>
      </c>
      <c r="H394" s="193">
        <f t="shared" si="53"/>
        <v>44226</v>
      </c>
      <c r="I394">
        <f t="shared" si="54"/>
        <v>5</v>
      </c>
    </row>
    <row r="395" spans="1:9" x14ac:dyDescent="0.3">
      <c r="A395">
        <f t="shared" si="48"/>
        <v>20210126</v>
      </c>
      <c r="B395" s="193">
        <v>44222</v>
      </c>
      <c r="C395" s="196" t="str">
        <f t="shared" si="55"/>
        <v>26 January 2021</v>
      </c>
      <c r="D395">
        <f t="shared" si="49"/>
        <v>1</v>
      </c>
      <c r="E395" t="str">
        <f t="shared" si="50"/>
        <v>January</v>
      </c>
      <c r="F395" s="128">
        <f t="shared" si="51"/>
        <v>2021</v>
      </c>
      <c r="G395" s="194" t="str">
        <f t="shared" si="52"/>
        <v>2021-01</v>
      </c>
      <c r="H395" s="193">
        <f t="shared" si="53"/>
        <v>44226</v>
      </c>
      <c r="I395">
        <f t="shared" si="54"/>
        <v>5</v>
      </c>
    </row>
    <row r="396" spans="1:9" x14ac:dyDescent="0.3">
      <c r="A396">
        <f t="shared" si="48"/>
        <v>20210127</v>
      </c>
      <c r="B396" s="193">
        <v>44223</v>
      </c>
      <c r="C396" s="196" t="str">
        <f t="shared" si="55"/>
        <v>27 January 2021</v>
      </c>
      <c r="D396">
        <f t="shared" si="49"/>
        <v>1</v>
      </c>
      <c r="E396" t="str">
        <f t="shared" si="50"/>
        <v>January</v>
      </c>
      <c r="F396" s="128">
        <f t="shared" si="51"/>
        <v>2021</v>
      </c>
      <c r="G396" s="194" t="str">
        <f t="shared" si="52"/>
        <v>2021-01</v>
      </c>
      <c r="H396" s="193">
        <f t="shared" si="53"/>
        <v>44226</v>
      </c>
      <c r="I396">
        <f t="shared" si="54"/>
        <v>5</v>
      </c>
    </row>
    <row r="397" spans="1:9" x14ac:dyDescent="0.3">
      <c r="A397">
        <f t="shared" si="48"/>
        <v>20210128</v>
      </c>
      <c r="B397" s="193">
        <v>44224</v>
      </c>
      <c r="C397" s="196" t="str">
        <f t="shared" si="55"/>
        <v>28 January 2021</v>
      </c>
      <c r="D397">
        <f t="shared" si="49"/>
        <v>1</v>
      </c>
      <c r="E397" t="str">
        <f t="shared" si="50"/>
        <v>January</v>
      </c>
      <c r="F397" s="128">
        <f t="shared" si="51"/>
        <v>2021</v>
      </c>
      <c r="G397" s="194" t="str">
        <f t="shared" si="52"/>
        <v>2021-01</v>
      </c>
      <c r="H397" s="193">
        <f t="shared" si="53"/>
        <v>44226</v>
      </c>
      <c r="I397">
        <f t="shared" si="54"/>
        <v>5</v>
      </c>
    </row>
    <row r="398" spans="1:9" x14ac:dyDescent="0.3">
      <c r="A398">
        <f t="shared" si="48"/>
        <v>20210129</v>
      </c>
      <c r="B398" s="193">
        <v>44225</v>
      </c>
      <c r="C398" s="196" t="str">
        <f t="shared" si="55"/>
        <v>29 January 2021</v>
      </c>
      <c r="D398">
        <f t="shared" si="49"/>
        <v>1</v>
      </c>
      <c r="E398" t="str">
        <f t="shared" si="50"/>
        <v>January</v>
      </c>
      <c r="F398" s="128">
        <f t="shared" si="51"/>
        <v>2021</v>
      </c>
      <c r="G398" s="194" t="str">
        <f t="shared" si="52"/>
        <v>2021-01</v>
      </c>
      <c r="H398" s="193">
        <f t="shared" si="53"/>
        <v>44226</v>
      </c>
      <c r="I398">
        <f t="shared" si="54"/>
        <v>5</v>
      </c>
    </row>
    <row r="399" spans="1:9" x14ac:dyDescent="0.3">
      <c r="A399">
        <f t="shared" si="48"/>
        <v>20210130</v>
      </c>
      <c r="B399" s="193">
        <v>44226</v>
      </c>
      <c r="C399" s="196" t="str">
        <f t="shared" si="55"/>
        <v>30 January 2021</v>
      </c>
      <c r="D399">
        <f t="shared" si="49"/>
        <v>1</v>
      </c>
      <c r="E399" t="str">
        <f t="shared" si="50"/>
        <v>January</v>
      </c>
      <c r="F399" s="128">
        <f t="shared" si="51"/>
        <v>2021</v>
      </c>
      <c r="G399" s="194" t="str">
        <f t="shared" si="52"/>
        <v>2021-01</v>
      </c>
      <c r="H399" s="193">
        <f t="shared" si="53"/>
        <v>44226</v>
      </c>
      <c r="I399">
        <f t="shared" si="54"/>
        <v>5</v>
      </c>
    </row>
    <row r="400" spans="1:9" x14ac:dyDescent="0.3">
      <c r="A400">
        <f t="shared" si="48"/>
        <v>20210131</v>
      </c>
      <c r="B400" s="193">
        <v>44227</v>
      </c>
      <c r="C400" s="196" t="str">
        <f t="shared" si="55"/>
        <v>31 January 2021</v>
      </c>
      <c r="D400">
        <f t="shared" si="49"/>
        <v>1</v>
      </c>
      <c r="E400" t="str">
        <f t="shared" si="50"/>
        <v>January</v>
      </c>
      <c r="F400" s="128">
        <f t="shared" si="51"/>
        <v>2021</v>
      </c>
      <c r="G400" s="194" t="str">
        <f t="shared" si="52"/>
        <v>2021-01</v>
      </c>
      <c r="H400" s="193">
        <f t="shared" si="53"/>
        <v>44233</v>
      </c>
      <c r="I400">
        <f t="shared" si="54"/>
        <v>5</v>
      </c>
    </row>
    <row r="401" spans="1:9" x14ac:dyDescent="0.3">
      <c r="A401">
        <f t="shared" si="48"/>
        <v>20210201</v>
      </c>
      <c r="B401" s="193">
        <v>44228</v>
      </c>
      <c r="C401" s="196" t="str">
        <f t="shared" si="55"/>
        <v>01 February 2021</v>
      </c>
      <c r="D401">
        <f t="shared" si="49"/>
        <v>2</v>
      </c>
      <c r="E401" t="str">
        <f t="shared" si="50"/>
        <v>February</v>
      </c>
      <c r="F401" s="128">
        <f t="shared" si="51"/>
        <v>2021</v>
      </c>
      <c r="G401" s="194" t="str">
        <f t="shared" si="52"/>
        <v>2021-02</v>
      </c>
      <c r="H401" s="193">
        <f t="shared" si="53"/>
        <v>44233</v>
      </c>
      <c r="I401">
        <f t="shared" si="54"/>
        <v>6</v>
      </c>
    </row>
    <row r="402" spans="1:9" x14ac:dyDescent="0.3">
      <c r="A402">
        <f t="shared" si="48"/>
        <v>20210202</v>
      </c>
      <c r="B402" s="193">
        <v>44229</v>
      </c>
      <c r="C402" s="196" t="str">
        <f t="shared" si="55"/>
        <v>02 February 2021</v>
      </c>
      <c r="D402">
        <f t="shared" si="49"/>
        <v>2</v>
      </c>
      <c r="E402" t="str">
        <f t="shared" si="50"/>
        <v>February</v>
      </c>
      <c r="F402" s="128">
        <f t="shared" si="51"/>
        <v>2021</v>
      </c>
      <c r="G402" s="194" t="str">
        <f t="shared" si="52"/>
        <v>2021-02</v>
      </c>
      <c r="H402" s="193">
        <f t="shared" si="53"/>
        <v>44233</v>
      </c>
      <c r="I402">
        <f t="shared" si="54"/>
        <v>6</v>
      </c>
    </row>
    <row r="403" spans="1:9" x14ac:dyDescent="0.3">
      <c r="A403">
        <f t="shared" si="48"/>
        <v>20210203</v>
      </c>
      <c r="B403" s="193">
        <v>44230</v>
      </c>
      <c r="C403" s="196" t="str">
        <f t="shared" si="55"/>
        <v>03 February 2021</v>
      </c>
      <c r="D403">
        <f t="shared" si="49"/>
        <v>2</v>
      </c>
      <c r="E403" t="str">
        <f t="shared" si="50"/>
        <v>February</v>
      </c>
      <c r="F403" s="128">
        <f t="shared" si="51"/>
        <v>2021</v>
      </c>
      <c r="G403" s="194" t="str">
        <f t="shared" si="52"/>
        <v>2021-02</v>
      </c>
      <c r="H403" s="193">
        <f t="shared" si="53"/>
        <v>44233</v>
      </c>
      <c r="I403">
        <f t="shared" si="54"/>
        <v>6</v>
      </c>
    </row>
    <row r="404" spans="1:9" x14ac:dyDescent="0.3">
      <c r="A404">
        <f t="shared" si="48"/>
        <v>20210204</v>
      </c>
      <c r="B404" s="193">
        <v>44231</v>
      </c>
      <c r="C404" s="196" t="str">
        <f t="shared" si="55"/>
        <v>04 February 2021</v>
      </c>
      <c r="D404">
        <f t="shared" si="49"/>
        <v>2</v>
      </c>
      <c r="E404" t="str">
        <f t="shared" si="50"/>
        <v>February</v>
      </c>
      <c r="F404" s="128">
        <f t="shared" si="51"/>
        <v>2021</v>
      </c>
      <c r="G404" s="194" t="str">
        <f t="shared" si="52"/>
        <v>2021-02</v>
      </c>
      <c r="H404" s="193">
        <f t="shared" si="53"/>
        <v>44233</v>
      </c>
      <c r="I404">
        <f t="shared" si="54"/>
        <v>6</v>
      </c>
    </row>
    <row r="405" spans="1:9" x14ac:dyDescent="0.3">
      <c r="A405">
        <f t="shared" si="48"/>
        <v>20210205</v>
      </c>
      <c r="B405" s="193">
        <v>44232</v>
      </c>
      <c r="C405" s="196" t="str">
        <f t="shared" si="55"/>
        <v>05 February 2021</v>
      </c>
      <c r="D405">
        <f t="shared" si="49"/>
        <v>2</v>
      </c>
      <c r="E405" t="str">
        <f t="shared" si="50"/>
        <v>February</v>
      </c>
      <c r="F405" s="128">
        <f t="shared" si="51"/>
        <v>2021</v>
      </c>
      <c r="G405" s="194" t="str">
        <f t="shared" si="52"/>
        <v>2021-02</v>
      </c>
      <c r="H405" s="193">
        <f t="shared" si="53"/>
        <v>44233</v>
      </c>
      <c r="I405">
        <f t="shared" si="54"/>
        <v>6</v>
      </c>
    </row>
    <row r="406" spans="1:9" x14ac:dyDescent="0.3">
      <c r="A406">
        <f t="shared" si="48"/>
        <v>20210206</v>
      </c>
      <c r="B406" s="193">
        <v>44233</v>
      </c>
      <c r="C406" s="196" t="str">
        <f t="shared" si="55"/>
        <v>06 February 2021</v>
      </c>
      <c r="D406">
        <f t="shared" si="49"/>
        <v>2</v>
      </c>
      <c r="E406" t="str">
        <f t="shared" si="50"/>
        <v>February</v>
      </c>
      <c r="F406" s="128">
        <f t="shared" si="51"/>
        <v>2021</v>
      </c>
      <c r="G406" s="194" t="str">
        <f t="shared" si="52"/>
        <v>2021-02</v>
      </c>
      <c r="H406" s="193">
        <f t="shared" si="53"/>
        <v>44233</v>
      </c>
      <c r="I406">
        <f t="shared" si="54"/>
        <v>6</v>
      </c>
    </row>
    <row r="407" spans="1:9" x14ac:dyDescent="0.3">
      <c r="A407">
        <f t="shared" si="48"/>
        <v>20210207</v>
      </c>
      <c r="B407" s="193">
        <v>44234</v>
      </c>
      <c r="C407" s="196" t="str">
        <f t="shared" si="55"/>
        <v>07 February 2021</v>
      </c>
      <c r="D407">
        <f t="shared" si="49"/>
        <v>2</v>
      </c>
      <c r="E407" t="str">
        <f t="shared" si="50"/>
        <v>February</v>
      </c>
      <c r="F407" s="128">
        <f t="shared" si="51"/>
        <v>2021</v>
      </c>
      <c r="G407" s="194" t="str">
        <f t="shared" si="52"/>
        <v>2021-02</v>
      </c>
      <c r="H407" s="193">
        <f t="shared" si="53"/>
        <v>44240</v>
      </c>
      <c r="I407">
        <f t="shared" si="54"/>
        <v>6</v>
      </c>
    </row>
    <row r="408" spans="1:9" x14ac:dyDescent="0.3">
      <c r="A408">
        <f t="shared" si="48"/>
        <v>20210208</v>
      </c>
      <c r="B408" s="193">
        <v>44235</v>
      </c>
      <c r="C408" s="196" t="str">
        <f t="shared" si="55"/>
        <v>08 February 2021</v>
      </c>
      <c r="D408">
        <f t="shared" si="49"/>
        <v>2</v>
      </c>
      <c r="E408" t="str">
        <f t="shared" si="50"/>
        <v>February</v>
      </c>
      <c r="F408" s="128">
        <f t="shared" si="51"/>
        <v>2021</v>
      </c>
      <c r="G408" s="194" t="str">
        <f t="shared" si="52"/>
        <v>2021-02</v>
      </c>
      <c r="H408" s="193">
        <f t="shared" si="53"/>
        <v>44240</v>
      </c>
      <c r="I408">
        <f t="shared" si="54"/>
        <v>7</v>
      </c>
    </row>
    <row r="409" spans="1:9" x14ac:dyDescent="0.3">
      <c r="A409">
        <f t="shared" si="48"/>
        <v>20210209</v>
      </c>
      <c r="B409" s="193">
        <v>44236</v>
      </c>
      <c r="C409" s="196" t="str">
        <f t="shared" si="55"/>
        <v>09 February 2021</v>
      </c>
      <c r="D409">
        <f t="shared" si="49"/>
        <v>2</v>
      </c>
      <c r="E409" t="str">
        <f t="shared" si="50"/>
        <v>February</v>
      </c>
      <c r="F409" s="128">
        <f t="shared" si="51"/>
        <v>2021</v>
      </c>
      <c r="G409" s="194" t="str">
        <f t="shared" si="52"/>
        <v>2021-02</v>
      </c>
      <c r="H409" s="193">
        <f t="shared" si="53"/>
        <v>44240</v>
      </c>
      <c r="I409">
        <f t="shared" si="54"/>
        <v>7</v>
      </c>
    </row>
    <row r="410" spans="1:9" x14ac:dyDescent="0.3">
      <c r="A410">
        <f t="shared" si="48"/>
        <v>20210210</v>
      </c>
      <c r="B410" s="193">
        <v>44237</v>
      </c>
      <c r="C410" s="196" t="str">
        <f t="shared" si="55"/>
        <v>10 February 2021</v>
      </c>
      <c r="D410">
        <f t="shared" si="49"/>
        <v>2</v>
      </c>
      <c r="E410" t="str">
        <f t="shared" si="50"/>
        <v>February</v>
      </c>
      <c r="F410" s="128">
        <f t="shared" si="51"/>
        <v>2021</v>
      </c>
      <c r="G410" s="194" t="str">
        <f t="shared" si="52"/>
        <v>2021-02</v>
      </c>
      <c r="H410" s="193">
        <f t="shared" si="53"/>
        <v>44240</v>
      </c>
      <c r="I410">
        <f t="shared" si="54"/>
        <v>7</v>
      </c>
    </row>
    <row r="411" spans="1:9" x14ac:dyDescent="0.3">
      <c r="A411">
        <f t="shared" si="48"/>
        <v>20210211</v>
      </c>
      <c r="B411" s="193">
        <v>44238</v>
      </c>
      <c r="C411" s="196" t="str">
        <f t="shared" si="55"/>
        <v>11 February 2021</v>
      </c>
      <c r="D411">
        <f t="shared" si="49"/>
        <v>2</v>
      </c>
      <c r="E411" t="str">
        <f t="shared" si="50"/>
        <v>February</v>
      </c>
      <c r="F411" s="128">
        <f t="shared" si="51"/>
        <v>2021</v>
      </c>
      <c r="G411" s="194" t="str">
        <f t="shared" si="52"/>
        <v>2021-02</v>
      </c>
      <c r="H411" s="193">
        <f t="shared" si="53"/>
        <v>44240</v>
      </c>
      <c r="I411">
        <f t="shared" si="54"/>
        <v>7</v>
      </c>
    </row>
    <row r="412" spans="1:9" x14ac:dyDescent="0.3">
      <c r="A412">
        <f t="shared" si="48"/>
        <v>20210212</v>
      </c>
      <c r="B412" s="193">
        <v>44239</v>
      </c>
      <c r="C412" s="196" t="str">
        <f t="shared" si="55"/>
        <v>12 February 2021</v>
      </c>
      <c r="D412">
        <f t="shared" si="49"/>
        <v>2</v>
      </c>
      <c r="E412" t="str">
        <f t="shared" si="50"/>
        <v>February</v>
      </c>
      <c r="F412" s="128">
        <f t="shared" si="51"/>
        <v>2021</v>
      </c>
      <c r="G412" s="194" t="str">
        <f t="shared" si="52"/>
        <v>2021-02</v>
      </c>
      <c r="H412" s="193">
        <f t="shared" si="53"/>
        <v>44240</v>
      </c>
      <c r="I412">
        <f t="shared" si="54"/>
        <v>7</v>
      </c>
    </row>
    <row r="413" spans="1:9" x14ac:dyDescent="0.3">
      <c r="A413">
        <f t="shared" si="48"/>
        <v>20210213</v>
      </c>
      <c r="B413" s="193">
        <v>44240</v>
      </c>
      <c r="C413" s="196" t="str">
        <f t="shared" si="55"/>
        <v>13 February 2021</v>
      </c>
      <c r="D413">
        <f t="shared" si="49"/>
        <v>2</v>
      </c>
      <c r="E413" t="str">
        <f t="shared" si="50"/>
        <v>February</v>
      </c>
      <c r="F413" s="128">
        <f t="shared" si="51"/>
        <v>2021</v>
      </c>
      <c r="G413" s="194" t="str">
        <f t="shared" si="52"/>
        <v>2021-02</v>
      </c>
      <c r="H413" s="193">
        <f t="shared" si="53"/>
        <v>44240</v>
      </c>
      <c r="I413">
        <f t="shared" si="54"/>
        <v>7</v>
      </c>
    </row>
    <row r="414" spans="1:9" x14ac:dyDescent="0.3">
      <c r="A414">
        <f t="shared" si="48"/>
        <v>20210214</v>
      </c>
      <c r="B414" s="193">
        <v>44241</v>
      </c>
      <c r="C414" s="196" t="str">
        <f t="shared" si="55"/>
        <v>14 February 2021</v>
      </c>
      <c r="D414">
        <f t="shared" si="49"/>
        <v>2</v>
      </c>
      <c r="E414" t="str">
        <f t="shared" si="50"/>
        <v>February</v>
      </c>
      <c r="F414" s="128">
        <f t="shared" si="51"/>
        <v>2021</v>
      </c>
      <c r="G414" s="194" t="str">
        <f t="shared" si="52"/>
        <v>2021-02</v>
      </c>
      <c r="H414" s="193">
        <f t="shared" si="53"/>
        <v>44247</v>
      </c>
      <c r="I414">
        <f t="shared" si="54"/>
        <v>7</v>
      </c>
    </row>
    <row r="415" spans="1:9" x14ac:dyDescent="0.3">
      <c r="A415">
        <f t="shared" si="48"/>
        <v>20210215</v>
      </c>
      <c r="B415" s="193">
        <v>44242</v>
      </c>
      <c r="C415" s="196" t="str">
        <f t="shared" si="55"/>
        <v>15 February 2021</v>
      </c>
      <c r="D415">
        <f t="shared" si="49"/>
        <v>2</v>
      </c>
      <c r="E415" t="str">
        <f t="shared" si="50"/>
        <v>February</v>
      </c>
      <c r="F415" s="128">
        <f t="shared" si="51"/>
        <v>2021</v>
      </c>
      <c r="G415" s="194" t="str">
        <f t="shared" si="52"/>
        <v>2021-02</v>
      </c>
      <c r="H415" s="193">
        <f t="shared" si="53"/>
        <v>44247</v>
      </c>
      <c r="I415">
        <f t="shared" si="54"/>
        <v>8</v>
      </c>
    </row>
    <row r="416" spans="1:9" x14ac:dyDescent="0.3">
      <c r="A416">
        <f t="shared" si="48"/>
        <v>20210216</v>
      </c>
      <c r="B416" s="193">
        <v>44243</v>
      </c>
      <c r="C416" s="196" t="str">
        <f t="shared" si="55"/>
        <v>16 February 2021</v>
      </c>
      <c r="D416">
        <f t="shared" si="49"/>
        <v>2</v>
      </c>
      <c r="E416" t="str">
        <f t="shared" si="50"/>
        <v>February</v>
      </c>
      <c r="F416" s="128">
        <f t="shared" si="51"/>
        <v>2021</v>
      </c>
      <c r="G416" s="194" t="str">
        <f t="shared" si="52"/>
        <v>2021-02</v>
      </c>
      <c r="H416" s="193">
        <f t="shared" si="53"/>
        <v>44247</v>
      </c>
      <c r="I416">
        <f t="shared" si="54"/>
        <v>8</v>
      </c>
    </row>
    <row r="417" spans="1:9" x14ac:dyDescent="0.3">
      <c r="A417">
        <f t="shared" si="48"/>
        <v>20210217</v>
      </c>
      <c r="B417" s="193">
        <v>44244</v>
      </c>
      <c r="C417" s="196" t="str">
        <f t="shared" si="55"/>
        <v>17 February 2021</v>
      </c>
      <c r="D417">
        <f t="shared" si="49"/>
        <v>2</v>
      </c>
      <c r="E417" t="str">
        <f t="shared" si="50"/>
        <v>February</v>
      </c>
      <c r="F417" s="128">
        <f t="shared" si="51"/>
        <v>2021</v>
      </c>
      <c r="G417" s="194" t="str">
        <f t="shared" si="52"/>
        <v>2021-02</v>
      </c>
      <c r="H417" s="193">
        <f t="shared" si="53"/>
        <v>44247</v>
      </c>
      <c r="I417">
        <f t="shared" si="54"/>
        <v>8</v>
      </c>
    </row>
    <row r="418" spans="1:9" x14ac:dyDescent="0.3">
      <c r="A418">
        <f t="shared" si="48"/>
        <v>20210218</v>
      </c>
      <c r="B418" s="193">
        <v>44245</v>
      </c>
      <c r="C418" s="196" t="str">
        <f t="shared" si="55"/>
        <v>18 February 2021</v>
      </c>
      <c r="D418">
        <f t="shared" si="49"/>
        <v>2</v>
      </c>
      <c r="E418" t="str">
        <f t="shared" si="50"/>
        <v>February</v>
      </c>
      <c r="F418" s="128">
        <f t="shared" si="51"/>
        <v>2021</v>
      </c>
      <c r="G418" s="194" t="str">
        <f t="shared" si="52"/>
        <v>2021-02</v>
      </c>
      <c r="H418" s="193">
        <f t="shared" si="53"/>
        <v>44247</v>
      </c>
      <c r="I418">
        <f t="shared" si="54"/>
        <v>8</v>
      </c>
    </row>
    <row r="419" spans="1:9" x14ac:dyDescent="0.3">
      <c r="A419">
        <f t="shared" si="48"/>
        <v>20210219</v>
      </c>
      <c r="B419" s="193">
        <v>44246</v>
      </c>
      <c r="C419" s="196" t="str">
        <f t="shared" si="55"/>
        <v>19 February 2021</v>
      </c>
      <c r="D419">
        <f t="shared" si="49"/>
        <v>2</v>
      </c>
      <c r="E419" t="str">
        <f t="shared" si="50"/>
        <v>February</v>
      </c>
      <c r="F419" s="128">
        <f t="shared" si="51"/>
        <v>2021</v>
      </c>
      <c r="G419" s="194" t="str">
        <f t="shared" si="52"/>
        <v>2021-02</v>
      </c>
      <c r="H419" s="193">
        <f t="shared" si="53"/>
        <v>44247</v>
      </c>
      <c r="I419">
        <f t="shared" si="54"/>
        <v>8</v>
      </c>
    </row>
    <row r="420" spans="1:9" x14ac:dyDescent="0.3">
      <c r="A420">
        <f t="shared" si="48"/>
        <v>20210220</v>
      </c>
      <c r="B420" s="193">
        <v>44247</v>
      </c>
      <c r="C420" s="196" t="str">
        <f t="shared" si="55"/>
        <v>20 February 2021</v>
      </c>
      <c r="D420">
        <f t="shared" si="49"/>
        <v>2</v>
      </c>
      <c r="E420" t="str">
        <f t="shared" si="50"/>
        <v>February</v>
      </c>
      <c r="F420" s="128">
        <f t="shared" si="51"/>
        <v>2021</v>
      </c>
      <c r="G420" s="194" t="str">
        <f t="shared" si="52"/>
        <v>2021-02</v>
      </c>
      <c r="H420" s="193">
        <f t="shared" si="53"/>
        <v>44247</v>
      </c>
      <c r="I420">
        <f t="shared" si="54"/>
        <v>8</v>
      </c>
    </row>
    <row r="421" spans="1:9" x14ac:dyDescent="0.3">
      <c r="A421">
        <f t="shared" si="48"/>
        <v>20210221</v>
      </c>
      <c r="B421" s="193">
        <v>44248</v>
      </c>
      <c r="C421" s="196" t="str">
        <f t="shared" si="55"/>
        <v>21 February 2021</v>
      </c>
      <c r="D421">
        <f t="shared" si="49"/>
        <v>2</v>
      </c>
      <c r="E421" t="str">
        <f t="shared" si="50"/>
        <v>February</v>
      </c>
      <c r="F421" s="128">
        <f t="shared" si="51"/>
        <v>2021</v>
      </c>
      <c r="G421" s="194" t="str">
        <f t="shared" si="52"/>
        <v>2021-02</v>
      </c>
      <c r="H421" s="193">
        <f t="shared" si="53"/>
        <v>44254</v>
      </c>
      <c r="I421">
        <f t="shared" si="54"/>
        <v>8</v>
      </c>
    </row>
    <row r="422" spans="1:9" x14ac:dyDescent="0.3">
      <c r="A422">
        <f t="shared" si="48"/>
        <v>20210222</v>
      </c>
      <c r="B422" s="193">
        <v>44249</v>
      </c>
      <c r="C422" s="196" t="str">
        <f t="shared" si="55"/>
        <v>22 February 2021</v>
      </c>
      <c r="D422">
        <f t="shared" si="49"/>
        <v>2</v>
      </c>
      <c r="E422" t="str">
        <f t="shared" si="50"/>
        <v>February</v>
      </c>
      <c r="F422" s="128">
        <f t="shared" si="51"/>
        <v>2021</v>
      </c>
      <c r="G422" s="194" t="str">
        <f t="shared" si="52"/>
        <v>2021-02</v>
      </c>
      <c r="H422" s="193">
        <f t="shared" si="53"/>
        <v>44254</v>
      </c>
      <c r="I422">
        <f t="shared" si="54"/>
        <v>9</v>
      </c>
    </row>
    <row r="423" spans="1:9" x14ac:dyDescent="0.3">
      <c r="A423">
        <f t="shared" si="48"/>
        <v>20210223</v>
      </c>
      <c r="B423" s="193">
        <v>44250</v>
      </c>
      <c r="C423" s="196" t="str">
        <f t="shared" si="55"/>
        <v>23 February 2021</v>
      </c>
      <c r="D423">
        <f t="shared" si="49"/>
        <v>2</v>
      </c>
      <c r="E423" t="str">
        <f t="shared" si="50"/>
        <v>February</v>
      </c>
      <c r="F423" s="128">
        <f t="shared" si="51"/>
        <v>2021</v>
      </c>
      <c r="G423" s="194" t="str">
        <f t="shared" si="52"/>
        <v>2021-02</v>
      </c>
      <c r="H423" s="193">
        <f t="shared" si="53"/>
        <v>44254</v>
      </c>
      <c r="I423">
        <f t="shared" si="54"/>
        <v>9</v>
      </c>
    </row>
    <row r="424" spans="1:9" x14ac:dyDescent="0.3">
      <c r="A424">
        <f t="shared" si="48"/>
        <v>20210224</v>
      </c>
      <c r="B424" s="193">
        <v>44251</v>
      </c>
      <c r="C424" s="196" t="str">
        <f t="shared" si="55"/>
        <v>24 February 2021</v>
      </c>
      <c r="D424">
        <f t="shared" si="49"/>
        <v>2</v>
      </c>
      <c r="E424" t="str">
        <f t="shared" si="50"/>
        <v>February</v>
      </c>
      <c r="F424" s="128">
        <f t="shared" si="51"/>
        <v>2021</v>
      </c>
      <c r="G424" s="194" t="str">
        <f t="shared" si="52"/>
        <v>2021-02</v>
      </c>
      <c r="H424" s="193">
        <f t="shared" si="53"/>
        <v>44254</v>
      </c>
      <c r="I424">
        <f t="shared" si="54"/>
        <v>9</v>
      </c>
    </row>
    <row r="425" spans="1:9" x14ac:dyDescent="0.3">
      <c r="A425">
        <f t="shared" si="48"/>
        <v>20210225</v>
      </c>
      <c r="B425" s="193">
        <v>44252</v>
      </c>
      <c r="C425" s="196" t="str">
        <f t="shared" si="55"/>
        <v>25 February 2021</v>
      </c>
      <c r="D425">
        <f t="shared" si="49"/>
        <v>2</v>
      </c>
      <c r="E425" t="str">
        <f t="shared" si="50"/>
        <v>February</v>
      </c>
      <c r="F425" s="128">
        <f t="shared" si="51"/>
        <v>2021</v>
      </c>
      <c r="G425" s="194" t="str">
        <f t="shared" si="52"/>
        <v>2021-02</v>
      </c>
      <c r="H425" s="193">
        <f t="shared" si="53"/>
        <v>44254</v>
      </c>
      <c r="I425">
        <f t="shared" si="54"/>
        <v>9</v>
      </c>
    </row>
    <row r="426" spans="1:9" x14ac:dyDescent="0.3">
      <c r="A426">
        <f t="shared" si="48"/>
        <v>20210226</v>
      </c>
      <c r="B426" s="193">
        <v>44253</v>
      </c>
      <c r="C426" s="196" t="str">
        <f t="shared" si="55"/>
        <v>26 February 2021</v>
      </c>
      <c r="D426">
        <f t="shared" si="49"/>
        <v>2</v>
      </c>
      <c r="E426" t="str">
        <f t="shared" si="50"/>
        <v>February</v>
      </c>
      <c r="F426" s="128">
        <f t="shared" si="51"/>
        <v>2021</v>
      </c>
      <c r="G426" s="194" t="str">
        <f t="shared" si="52"/>
        <v>2021-02</v>
      </c>
      <c r="H426" s="193">
        <f t="shared" si="53"/>
        <v>44254</v>
      </c>
      <c r="I426">
        <f t="shared" si="54"/>
        <v>9</v>
      </c>
    </row>
    <row r="427" spans="1:9" x14ac:dyDescent="0.3">
      <c r="A427">
        <f t="shared" si="48"/>
        <v>20210227</v>
      </c>
      <c r="B427" s="193">
        <v>44254</v>
      </c>
      <c r="C427" s="196" t="str">
        <f t="shared" si="55"/>
        <v>27 February 2021</v>
      </c>
      <c r="D427">
        <f t="shared" si="49"/>
        <v>2</v>
      </c>
      <c r="E427" t="str">
        <f t="shared" si="50"/>
        <v>February</v>
      </c>
      <c r="F427" s="128">
        <f t="shared" si="51"/>
        <v>2021</v>
      </c>
      <c r="G427" s="194" t="str">
        <f t="shared" si="52"/>
        <v>2021-02</v>
      </c>
      <c r="H427" s="193">
        <f t="shared" si="53"/>
        <v>44254</v>
      </c>
      <c r="I427">
        <f t="shared" si="54"/>
        <v>9</v>
      </c>
    </row>
    <row r="428" spans="1:9" x14ac:dyDescent="0.3">
      <c r="A428">
        <f t="shared" si="48"/>
        <v>20210228</v>
      </c>
      <c r="B428" s="193">
        <v>44255</v>
      </c>
      <c r="C428" s="196" t="str">
        <f t="shared" si="55"/>
        <v>28 February 2021</v>
      </c>
      <c r="D428">
        <f t="shared" si="49"/>
        <v>2</v>
      </c>
      <c r="E428" t="str">
        <f t="shared" si="50"/>
        <v>February</v>
      </c>
      <c r="F428" s="128">
        <f t="shared" si="51"/>
        <v>2021</v>
      </c>
      <c r="G428" s="194" t="str">
        <f t="shared" si="52"/>
        <v>2021-02</v>
      </c>
      <c r="H428" s="193">
        <f t="shared" si="53"/>
        <v>44261</v>
      </c>
      <c r="I428">
        <f t="shared" si="54"/>
        <v>9</v>
      </c>
    </row>
    <row r="429" spans="1:9" x14ac:dyDescent="0.3">
      <c r="A429">
        <f t="shared" si="48"/>
        <v>20210301</v>
      </c>
      <c r="B429" s="193">
        <v>44256</v>
      </c>
      <c r="C429" s="196" t="str">
        <f t="shared" si="55"/>
        <v>01 March 2021</v>
      </c>
      <c r="D429">
        <f t="shared" si="49"/>
        <v>3</v>
      </c>
      <c r="E429" t="str">
        <f t="shared" si="50"/>
        <v>March</v>
      </c>
      <c r="F429" s="128">
        <f t="shared" si="51"/>
        <v>2021</v>
      </c>
      <c r="G429" s="194" t="str">
        <f t="shared" si="52"/>
        <v>2021-03</v>
      </c>
      <c r="H429" s="193">
        <f t="shared" si="53"/>
        <v>44261</v>
      </c>
      <c r="I429">
        <f t="shared" si="54"/>
        <v>10</v>
      </c>
    </row>
    <row r="430" spans="1:9" x14ac:dyDescent="0.3">
      <c r="A430">
        <f t="shared" si="48"/>
        <v>20210302</v>
      </c>
      <c r="B430" s="193">
        <v>44257</v>
      </c>
      <c r="C430" s="196" t="str">
        <f t="shared" si="55"/>
        <v>02 March 2021</v>
      </c>
      <c r="D430">
        <f t="shared" si="49"/>
        <v>3</v>
      </c>
      <c r="E430" t="str">
        <f t="shared" si="50"/>
        <v>March</v>
      </c>
      <c r="F430" s="128">
        <f t="shared" si="51"/>
        <v>2021</v>
      </c>
      <c r="G430" s="194" t="str">
        <f t="shared" si="52"/>
        <v>2021-03</v>
      </c>
      <c r="H430" s="193">
        <f t="shared" si="53"/>
        <v>44261</v>
      </c>
      <c r="I430">
        <f t="shared" si="54"/>
        <v>10</v>
      </c>
    </row>
    <row r="431" spans="1:9" x14ac:dyDescent="0.3">
      <c r="A431">
        <f t="shared" si="48"/>
        <v>20210303</v>
      </c>
      <c r="B431" s="193">
        <v>44258</v>
      </c>
      <c r="C431" s="196" t="str">
        <f t="shared" si="55"/>
        <v>03 March 2021</v>
      </c>
      <c r="D431">
        <f t="shared" si="49"/>
        <v>3</v>
      </c>
      <c r="E431" t="str">
        <f t="shared" si="50"/>
        <v>March</v>
      </c>
      <c r="F431" s="128">
        <f t="shared" si="51"/>
        <v>2021</v>
      </c>
      <c r="G431" s="194" t="str">
        <f t="shared" si="52"/>
        <v>2021-03</v>
      </c>
      <c r="H431" s="193">
        <f t="shared" si="53"/>
        <v>44261</v>
      </c>
      <c r="I431">
        <f t="shared" si="54"/>
        <v>10</v>
      </c>
    </row>
    <row r="432" spans="1:9" x14ac:dyDescent="0.3">
      <c r="A432">
        <f t="shared" si="48"/>
        <v>20210304</v>
      </c>
      <c r="B432" s="193">
        <v>44259</v>
      </c>
      <c r="C432" s="196" t="str">
        <f t="shared" si="55"/>
        <v>04 March 2021</v>
      </c>
      <c r="D432">
        <f t="shared" si="49"/>
        <v>3</v>
      </c>
      <c r="E432" t="str">
        <f t="shared" si="50"/>
        <v>March</v>
      </c>
      <c r="F432" s="128">
        <f t="shared" si="51"/>
        <v>2021</v>
      </c>
      <c r="G432" s="194" t="str">
        <f t="shared" si="52"/>
        <v>2021-03</v>
      </c>
      <c r="H432" s="193">
        <f t="shared" si="53"/>
        <v>44261</v>
      </c>
      <c r="I432">
        <f t="shared" si="54"/>
        <v>10</v>
      </c>
    </row>
    <row r="433" spans="1:9" x14ac:dyDescent="0.3">
      <c r="A433">
        <f t="shared" si="48"/>
        <v>20210305</v>
      </c>
      <c r="B433" s="193">
        <v>44260</v>
      </c>
      <c r="C433" s="196" t="str">
        <f t="shared" si="55"/>
        <v>05 March 2021</v>
      </c>
      <c r="D433">
        <f t="shared" si="49"/>
        <v>3</v>
      </c>
      <c r="E433" t="str">
        <f t="shared" si="50"/>
        <v>March</v>
      </c>
      <c r="F433" s="128">
        <f t="shared" si="51"/>
        <v>2021</v>
      </c>
      <c r="G433" s="194" t="str">
        <f t="shared" si="52"/>
        <v>2021-03</v>
      </c>
      <c r="H433" s="193">
        <f t="shared" si="53"/>
        <v>44261</v>
      </c>
      <c r="I433">
        <f t="shared" si="54"/>
        <v>10</v>
      </c>
    </row>
    <row r="434" spans="1:9" x14ac:dyDescent="0.3">
      <c r="A434">
        <f t="shared" si="48"/>
        <v>20210306</v>
      </c>
      <c r="B434" s="193">
        <v>44261</v>
      </c>
      <c r="C434" s="196" t="str">
        <f t="shared" si="55"/>
        <v>06 March 2021</v>
      </c>
      <c r="D434">
        <f t="shared" si="49"/>
        <v>3</v>
      </c>
      <c r="E434" t="str">
        <f t="shared" si="50"/>
        <v>March</v>
      </c>
      <c r="F434" s="128">
        <f t="shared" si="51"/>
        <v>2021</v>
      </c>
      <c r="G434" s="194" t="str">
        <f t="shared" si="52"/>
        <v>2021-03</v>
      </c>
      <c r="H434" s="193">
        <f t="shared" si="53"/>
        <v>44261</v>
      </c>
      <c r="I434">
        <f t="shared" si="54"/>
        <v>10</v>
      </c>
    </row>
    <row r="435" spans="1:9" x14ac:dyDescent="0.3">
      <c r="A435">
        <f t="shared" si="48"/>
        <v>20210307</v>
      </c>
      <c r="B435" s="193">
        <v>44262</v>
      </c>
      <c r="C435" s="196" t="str">
        <f t="shared" si="55"/>
        <v>07 March 2021</v>
      </c>
      <c r="D435">
        <f t="shared" si="49"/>
        <v>3</v>
      </c>
      <c r="E435" t="str">
        <f t="shared" si="50"/>
        <v>March</v>
      </c>
      <c r="F435" s="128">
        <f t="shared" si="51"/>
        <v>2021</v>
      </c>
      <c r="G435" s="194" t="str">
        <f t="shared" si="52"/>
        <v>2021-03</v>
      </c>
      <c r="H435" s="193">
        <f t="shared" si="53"/>
        <v>44268</v>
      </c>
      <c r="I435">
        <f t="shared" si="54"/>
        <v>10</v>
      </c>
    </row>
    <row r="436" spans="1:9" x14ac:dyDescent="0.3">
      <c r="A436">
        <f t="shared" si="48"/>
        <v>20210308</v>
      </c>
      <c r="B436" s="193">
        <v>44263</v>
      </c>
      <c r="C436" s="196" t="str">
        <f t="shared" si="55"/>
        <v>08 March 2021</v>
      </c>
      <c r="D436">
        <f t="shared" si="49"/>
        <v>3</v>
      </c>
      <c r="E436" t="str">
        <f t="shared" si="50"/>
        <v>March</v>
      </c>
      <c r="F436" s="128">
        <f t="shared" si="51"/>
        <v>2021</v>
      </c>
      <c r="G436" s="194" t="str">
        <f t="shared" si="52"/>
        <v>2021-03</v>
      </c>
      <c r="H436" s="193">
        <f t="shared" si="53"/>
        <v>44268</v>
      </c>
      <c r="I436">
        <f t="shared" si="54"/>
        <v>11</v>
      </c>
    </row>
    <row r="437" spans="1:9" x14ac:dyDescent="0.3">
      <c r="A437">
        <f t="shared" si="48"/>
        <v>20210309</v>
      </c>
      <c r="B437" s="193">
        <v>44264</v>
      </c>
      <c r="C437" s="196" t="str">
        <f t="shared" si="55"/>
        <v>09 March 2021</v>
      </c>
      <c r="D437">
        <f t="shared" si="49"/>
        <v>3</v>
      </c>
      <c r="E437" t="str">
        <f t="shared" si="50"/>
        <v>March</v>
      </c>
      <c r="F437" s="128">
        <f t="shared" si="51"/>
        <v>2021</v>
      </c>
      <c r="G437" s="194" t="str">
        <f t="shared" si="52"/>
        <v>2021-03</v>
      </c>
      <c r="H437" s="193">
        <f t="shared" si="53"/>
        <v>44268</v>
      </c>
      <c r="I437">
        <f t="shared" si="54"/>
        <v>11</v>
      </c>
    </row>
    <row r="438" spans="1:9" x14ac:dyDescent="0.3">
      <c r="A438">
        <f t="shared" si="48"/>
        <v>20210310</v>
      </c>
      <c r="B438" s="193">
        <v>44265</v>
      </c>
      <c r="C438" s="196" t="str">
        <f t="shared" si="55"/>
        <v>10 March 2021</v>
      </c>
      <c r="D438">
        <f t="shared" si="49"/>
        <v>3</v>
      </c>
      <c r="E438" t="str">
        <f t="shared" si="50"/>
        <v>March</v>
      </c>
      <c r="F438" s="128">
        <f t="shared" si="51"/>
        <v>2021</v>
      </c>
      <c r="G438" s="194" t="str">
        <f t="shared" si="52"/>
        <v>2021-03</v>
      </c>
      <c r="H438" s="193">
        <f t="shared" si="53"/>
        <v>44268</v>
      </c>
      <c r="I438">
        <f t="shared" si="54"/>
        <v>11</v>
      </c>
    </row>
    <row r="439" spans="1:9" x14ac:dyDescent="0.3">
      <c r="A439">
        <f t="shared" si="48"/>
        <v>20210311</v>
      </c>
      <c r="B439" s="193">
        <v>44266</v>
      </c>
      <c r="C439" s="196" t="str">
        <f t="shared" si="55"/>
        <v>11 March 2021</v>
      </c>
      <c r="D439">
        <f t="shared" si="49"/>
        <v>3</v>
      </c>
      <c r="E439" t="str">
        <f t="shared" si="50"/>
        <v>March</v>
      </c>
      <c r="F439" s="128">
        <f t="shared" si="51"/>
        <v>2021</v>
      </c>
      <c r="G439" s="194" t="str">
        <f t="shared" si="52"/>
        <v>2021-03</v>
      </c>
      <c r="H439" s="193">
        <f t="shared" si="53"/>
        <v>44268</v>
      </c>
      <c r="I439">
        <f t="shared" si="54"/>
        <v>11</v>
      </c>
    </row>
    <row r="440" spans="1:9" x14ac:dyDescent="0.3">
      <c r="A440">
        <f t="shared" si="48"/>
        <v>20210312</v>
      </c>
      <c r="B440" s="193">
        <v>44267</v>
      </c>
      <c r="C440" s="196" t="str">
        <f t="shared" si="55"/>
        <v>12 March 2021</v>
      </c>
      <c r="D440">
        <f t="shared" si="49"/>
        <v>3</v>
      </c>
      <c r="E440" t="str">
        <f t="shared" si="50"/>
        <v>March</v>
      </c>
      <c r="F440" s="128">
        <f t="shared" si="51"/>
        <v>2021</v>
      </c>
      <c r="G440" s="194" t="str">
        <f t="shared" si="52"/>
        <v>2021-03</v>
      </c>
      <c r="H440" s="193">
        <f t="shared" si="53"/>
        <v>44268</v>
      </c>
      <c r="I440">
        <f t="shared" si="54"/>
        <v>11</v>
      </c>
    </row>
    <row r="441" spans="1:9" x14ac:dyDescent="0.3">
      <c r="A441">
        <f t="shared" si="48"/>
        <v>20210313</v>
      </c>
      <c r="B441" s="193">
        <v>44268</v>
      </c>
      <c r="C441" s="196" t="str">
        <f t="shared" si="55"/>
        <v>13 March 2021</v>
      </c>
      <c r="D441">
        <f t="shared" si="49"/>
        <v>3</v>
      </c>
      <c r="E441" t="str">
        <f t="shared" si="50"/>
        <v>March</v>
      </c>
      <c r="F441" s="128">
        <f t="shared" si="51"/>
        <v>2021</v>
      </c>
      <c r="G441" s="194" t="str">
        <f t="shared" si="52"/>
        <v>2021-03</v>
      </c>
      <c r="H441" s="193">
        <f t="shared" si="53"/>
        <v>44268</v>
      </c>
      <c r="I441">
        <f t="shared" si="54"/>
        <v>11</v>
      </c>
    </row>
    <row r="442" spans="1:9" x14ac:dyDescent="0.3">
      <c r="A442">
        <f t="shared" si="48"/>
        <v>20210314</v>
      </c>
      <c r="B442" s="193">
        <v>44269</v>
      </c>
      <c r="C442" s="196" t="str">
        <f t="shared" si="55"/>
        <v>14 March 2021</v>
      </c>
      <c r="D442">
        <f t="shared" si="49"/>
        <v>3</v>
      </c>
      <c r="E442" t="str">
        <f t="shared" si="50"/>
        <v>March</v>
      </c>
      <c r="F442" s="128">
        <f t="shared" si="51"/>
        <v>2021</v>
      </c>
      <c r="G442" s="194" t="str">
        <f t="shared" si="52"/>
        <v>2021-03</v>
      </c>
      <c r="H442" s="193">
        <f t="shared" si="53"/>
        <v>44275</v>
      </c>
      <c r="I442">
        <f t="shared" si="54"/>
        <v>11</v>
      </c>
    </row>
    <row r="443" spans="1:9" x14ac:dyDescent="0.3">
      <c r="A443">
        <f t="shared" si="48"/>
        <v>20210315</v>
      </c>
      <c r="B443" s="193">
        <v>44270</v>
      </c>
      <c r="C443" s="196" t="str">
        <f t="shared" si="55"/>
        <v>15 March 2021</v>
      </c>
      <c r="D443">
        <f t="shared" si="49"/>
        <v>3</v>
      </c>
      <c r="E443" t="str">
        <f t="shared" si="50"/>
        <v>March</v>
      </c>
      <c r="F443" s="128">
        <f t="shared" si="51"/>
        <v>2021</v>
      </c>
      <c r="G443" s="194" t="str">
        <f t="shared" si="52"/>
        <v>2021-03</v>
      </c>
      <c r="H443" s="193">
        <f t="shared" si="53"/>
        <v>44275</v>
      </c>
      <c r="I443">
        <f t="shared" si="54"/>
        <v>12</v>
      </c>
    </row>
    <row r="444" spans="1:9" x14ac:dyDescent="0.3">
      <c r="A444">
        <f t="shared" si="48"/>
        <v>20210316</v>
      </c>
      <c r="B444" s="193">
        <v>44271</v>
      </c>
      <c r="C444" s="196" t="str">
        <f t="shared" si="55"/>
        <v>16 March 2021</v>
      </c>
      <c r="D444">
        <f t="shared" si="49"/>
        <v>3</v>
      </c>
      <c r="E444" t="str">
        <f t="shared" si="50"/>
        <v>March</v>
      </c>
      <c r="F444" s="128">
        <f t="shared" si="51"/>
        <v>2021</v>
      </c>
      <c r="G444" s="194" t="str">
        <f t="shared" si="52"/>
        <v>2021-03</v>
      </c>
      <c r="H444" s="193">
        <f t="shared" si="53"/>
        <v>44275</v>
      </c>
      <c r="I444">
        <f t="shared" si="54"/>
        <v>12</v>
      </c>
    </row>
    <row r="445" spans="1:9" x14ac:dyDescent="0.3">
      <c r="A445">
        <f t="shared" si="48"/>
        <v>20210317</v>
      </c>
      <c r="B445" s="193">
        <v>44272</v>
      </c>
      <c r="C445" s="196" t="str">
        <f t="shared" si="55"/>
        <v>17 March 2021</v>
      </c>
      <c r="D445">
        <f t="shared" si="49"/>
        <v>3</v>
      </c>
      <c r="E445" t="str">
        <f t="shared" si="50"/>
        <v>March</v>
      </c>
      <c r="F445" s="128">
        <f t="shared" si="51"/>
        <v>2021</v>
      </c>
      <c r="G445" s="194" t="str">
        <f t="shared" si="52"/>
        <v>2021-03</v>
      </c>
      <c r="H445" s="193">
        <f t="shared" si="53"/>
        <v>44275</v>
      </c>
      <c r="I445">
        <f t="shared" si="54"/>
        <v>12</v>
      </c>
    </row>
    <row r="446" spans="1:9" x14ac:dyDescent="0.3">
      <c r="A446">
        <f t="shared" si="48"/>
        <v>20210318</v>
      </c>
      <c r="B446" s="193">
        <v>44273</v>
      </c>
      <c r="C446" s="196" t="str">
        <f t="shared" si="55"/>
        <v>18 March 2021</v>
      </c>
      <c r="D446">
        <f t="shared" si="49"/>
        <v>3</v>
      </c>
      <c r="E446" t="str">
        <f t="shared" si="50"/>
        <v>March</v>
      </c>
      <c r="F446" s="128">
        <f t="shared" si="51"/>
        <v>2021</v>
      </c>
      <c r="G446" s="194" t="str">
        <f t="shared" si="52"/>
        <v>2021-03</v>
      </c>
      <c r="H446" s="193">
        <f t="shared" si="53"/>
        <v>44275</v>
      </c>
      <c r="I446">
        <f t="shared" si="54"/>
        <v>12</v>
      </c>
    </row>
    <row r="447" spans="1:9" x14ac:dyDescent="0.3">
      <c r="A447">
        <f t="shared" si="48"/>
        <v>20210319</v>
      </c>
      <c r="B447" s="193">
        <v>44274</v>
      </c>
      <c r="C447" s="196" t="str">
        <f t="shared" si="55"/>
        <v>19 March 2021</v>
      </c>
      <c r="D447">
        <f t="shared" si="49"/>
        <v>3</v>
      </c>
      <c r="E447" t="str">
        <f t="shared" si="50"/>
        <v>March</v>
      </c>
      <c r="F447" s="128">
        <f t="shared" si="51"/>
        <v>2021</v>
      </c>
      <c r="G447" s="194" t="str">
        <f t="shared" si="52"/>
        <v>2021-03</v>
      </c>
      <c r="H447" s="193">
        <f t="shared" si="53"/>
        <v>44275</v>
      </c>
      <c r="I447">
        <f t="shared" si="54"/>
        <v>12</v>
      </c>
    </row>
    <row r="448" spans="1:9" x14ac:dyDescent="0.3">
      <c r="A448">
        <f t="shared" si="48"/>
        <v>20210320</v>
      </c>
      <c r="B448" s="193">
        <v>44275</v>
      </c>
      <c r="C448" s="196" t="str">
        <f t="shared" si="55"/>
        <v>20 March 2021</v>
      </c>
      <c r="D448">
        <f t="shared" si="49"/>
        <v>3</v>
      </c>
      <c r="E448" t="str">
        <f t="shared" si="50"/>
        <v>March</v>
      </c>
      <c r="F448" s="128">
        <f t="shared" si="51"/>
        <v>2021</v>
      </c>
      <c r="G448" s="194" t="str">
        <f t="shared" si="52"/>
        <v>2021-03</v>
      </c>
      <c r="H448" s="193">
        <f t="shared" si="53"/>
        <v>44275</v>
      </c>
      <c r="I448">
        <f t="shared" si="54"/>
        <v>12</v>
      </c>
    </row>
    <row r="449" spans="1:9" x14ac:dyDescent="0.3">
      <c r="A449">
        <f t="shared" si="48"/>
        <v>20210321</v>
      </c>
      <c r="B449" s="193">
        <v>44276</v>
      </c>
      <c r="C449" s="196" t="str">
        <f t="shared" si="55"/>
        <v>21 March 2021</v>
      </c>
      <c r="D449">
        <f t="shared" si="49"/>
        <v>3</v>
      </c>
      <c r="E449" t="str">
        <f t="shared" si="50"/>
        <v>March</v>
      </c>
      <c r="F449" s="128">
        <f t="shared" si="51"/>
        <v>2021</v>
      </c>
      <c r="G449" s="194" t="str">
        <f t="shared" si="52"/>
        <v>2021-03</v>
      </c>
      <c r="H449" s="193">
        <f t="shared" si="53"/>
        <v>44282</v>
      </c>
      <c r="I449">
        <f t="shared" si="54"/>
        <v>12</v>
      </c>
    </row>
    <row r="450" spans="1:9" x14ac:dyDescent="0.3">
      <c r="A450">
        <f t="shared" si="48"/>
        <v>20210322</v>
      </c>
      <c r="B450" s="193">
        <v>44277</v>
      </c>
      <c r="C450" s="196" t="str">
        <f t="shared" si="55"/>
        <v>22 March 2021</v>
      </c>
      <c r="D450">
        <f t="shared" si="49"/>
        <v>3</v>
      </c>
      <c r="E450" t="str">
        <f t="shared" si="50"/>
        <v>March</v>
      </c>
      <c r="F450" s="128">
        <f t="shared" si="51"/>
        <v>2021</v>
      </c>
      <c r="G450" s="194" t="str">
        <f t="shared" si="52"/>
        <v>2021-03</v>
      </c>
      <c r="H450" s="193">
        <f t="shared" si="53"/>
        <v>44282</v>
      </c>
      <c r="I450">
        <f t="shared" si="54"/>
        <v>13</v>
      </c>
    </row>
    <row r="451" spans="1:9" x14ac:dyDescent="0.3">
      <c r="A451">
        <f t="shared" ref="A451:A514" si="56">YEAR(B451)*10000+MONTH(B451)*100+DAY(B451)</f>
        <v>20210323</v>
      </c>
      <c r="B451" s="193">
        <v>44278</v>
      </c>
      <c r="C451" s="196" t="str">
        <f t="shared" si="55"/>
        <v>23 March 2021</v>
      </c>
      <c r="D451">
        <f t="shared" ref="D451:D514" si="57">MONTH(B451)</f>
        <v>3</v>
      </c>
      <c r="E451" t="str">
        <f t="shared" ref="E451:E514" si="58">TEXT(B451,"MMMM")</f>
        <v>March</v>
      </c>
      <c r="F451" s="128">
        <f t="shared" ref="F451:F514" si="59">YEAR(B451)</f>
        <v>2021</v>
      </c>
      <c r="G451" s="194" t="str">
        <f t="shared" ref="G451:G514" si="60">TEXT(B451,"YYYY-MM")</f>
        <v>2021-03</v>
      </c>
      <c r="H451" s="193">
        <f t="shared" ref="H451:H514" si="61">B451-WEEKDAY(B451)+7</f>
        <v>44282</v>
      </c>
      <c r="I451">
        <f t="shared" ref="I451:I514" si="62">WEEKNUM(B451,2)</f>
        <v>13</v>
      </c>
    </row>
    <row r="452" spans="1:9" x14ac:dyDescent="0.3">
      <c r="A452">
        <f t="shared" si="56"/>
        <v>20210324</v>
      </c>
      <c r="B452" s="193">
        <v>44279</v>
      </c>
      <c r="C452" s="196" t="str">
        <f t="shared" ref="C452:C515" si="63">TEXT(B452,"dd MMMM YYYY")</f>
        <v>24 March 2021</v>
      </c>
      <c r="D452">
        <f t="shared" si="57"/>
        <v>3</v>
      </c>
      <c r="E452" t="str">
        <f t="shared" si="58"/>
        <v>March</v>
      </c>
      <c r="F452" s="128">
        <f t="shared" si="59"/>
        <v>2021</v>
      </c>
      <c r="G452" s="194" t="str">
        <f t="shared" si="60"/>
        <v>2021-03</v>
      </c>
      <c r="H452" s="193">
        <f t="shared" si="61"/>
        <v>44282</v>
      </c>
      <c r="I452">
        <f t="shared" si="62"/>
        <v>13</v>
      </c>
    </row>
    <row r="453" spans="1:9" x14ac:dyDescent="0.3">
      <c r="A453">
        <f t="shared" si="56"/>
        <v>20210325</v>
      </c>
      <c r="B453" s="193">
        <v>44280</v>
      </c>
      <c r="C453" s="196" t="str">
        <f t="shared" si="63"/>
        <v>25 March 2021</v>
      </c>
      <c r="D453">
        <f t="shared" si="57"/>
        <v>3</v>
      </c>
      <c r="E453" t="str">
        <f t="shared" si="58"/>
        <v>March</v>
      </c>
      <c r="F453" s="128">
        <f t="shared" si="59"/>
        <v>2021</v>
      </c>
      <c r="G453" s="194" t="str">
        <f t="shared" si="60"/>
        <v>2021-03</v>
      </c>
      <c r="H453" s="193">
        <f t="shared" si="61"/>
        <v>44282</v>
      </c>
      <c r="I453">
        <f t="shared" si="62"/>
        <v>13</v>
      </c>
    </row>
    <row r="454" spans="1:9" x14ac:dyDescent="0.3">
      <c r="A454">
        <f t="shared" si="56"/>
        <v>20210326</v>
      </c>
      <c r="B454" s="193">
        <v>44281</v>
      </c>
      <c r="C454" s="196" t="str">
        <f t="shared" si="63"/>
        <v>26 March 2021</v>
      </c>
      <c r="D454">
        <f t="shared" si="57"/>
        <v>3</v>
      </c>
      <c r="E454" t="str">
        <f t="shared" si="58"/>
        <v>March</v>
      </c>
      <c r="F454" s="128">
        <f t="shared" si="59"/>
        <v>2021</v>
      </c>
      <c r="G454" s="194" t="str">
        <f t="shared" si="60"/>
        <v>2021-03</v>
      </c>
      <c r="H454" s="193">
        <f t="shared" si="61"/>
        <v>44282</v>
      </c>
      <c r="I454">
        <f t="shared" si="62"/>
        <v>13</v>
      </c>
    </row>
    <row r="455" spans="1:9" x14ac:dyDescent="0.3">
      <c r="A455">
        <f t="shared" si="56"/>
        <v>20210327</v>
      </c>
      <c r="B455" s="193">
        <v>44282</v>
      </c>
      <c r="C455" s="196" t="str">
        <f t="shared" si="63"/>
        <v>27 March 2021</v>
      </c>
      <c r="D455">
        <f t="shared" si="57"/>
        <v>3</v>
      </c>
      <c r="E455" t="str">
        <f t="shared" si="58"/>
        <v>March</v>
      </c>
      <c r="F455" s="128">
        <f t="shared" si="59"/>
        <v>2021</v>
      </c>
      <c r="G455" s="194" t="str">
        <f t="shared" si="60"/>
        <v>2021-03</v>
      </c>
      <c r="H455" s="193">
        <f t="shared" si="61"/>
        <v>44282</v>
      </c>
      <c r="I455">
        <f t="shared" si="62"/>
        <v>13</v>
      </c>
    </row>
    <row r="456" spans="1:9" x14ac:dyDescent="0.3">
      <c r="A456">
        <f t="shared" si="56"/>
        <v>20210328</v>
      </c>
      <c r="B456" s="193">
        <v>44283</v>
      </c>
      <c r="C456" s="196" t="str">
        <f t="shared" si="63"/>
        <v>28 March 2021</v>
      </c>
      <c r="D456">
        <f t="shared" si="57"/>
        <v>3</v>
      </c>
      <c r="E456" t="str">
        <f t="shared" si="58"/>
        <v>March</v>
      </c>
      <c r="F456" s="128">
        <f t="shared" si="59"/>
        <v>2021</v>
      </c>
      <c r="G456" s="194" t="str">
        <f t="shared" si="60"/>
        <v>2021-03</v>
      </c>
      <c r="H456" s="193">
        <f t="shared" si="61"/>
        <v>44289</v>
      </c>
      <c r="I456">
        <f t="shared" si="62"/>
        <v>13</v>
      </c>
    </row>
    <row r="457" spans="1:9" x14ac:dyDescent="0.3">
      <c r="A457">
        <f t="shared" si="56"/>
        <v>20210329</v>
      </c>
      <c r="B457" s="193">
        <v>44284</v>
      </c>
      <c r="C457" s="196" t="str">
        <f t="shared" si="63"/>
        <v>29 March 2021</v>
      </c>
      <c r="D457">
        <f t="shared" si="57"/>
        <v>3</v>
      </c>
      <c r="E457" t="str">
        <f t="shared" si="58"/>
        <v>March</v>
      </c>
      <c r="F457" s="128">
        <f t="shared" si="59"/>
        <v>2021</v>
      </c>
      <c r="G457" s="194" t="str">
        <f t="shared" si="60"/>
        <v>2021-03</v>
      </c>
      <c r="H457" s="193">
        <f t="shared" si="61"/>
        <v>44289</v>
      </c>
      <c r="I457">
        <f t="shared" si="62"/>
        <v>14</v>
      </c>
    </row>
    <row r="458" spans="1:9" x14ac:dyDescent="0.3">
      <c r="A458">
        <f t="shared" si="56"/>
        <v>20210330</v>
      </c>
      <c r="B458" s="193">
        <v>44285</v>
      </c>
      <c r="C458" s="196" t="str">
        <f t="shared" si="63"/>
        <v>30 March 2021</v>
      </c>
      <c r="D458">
        <f t="shared" si="57"/>
        <v>3</v>
      </c>
      <c r="E458" t="str">
        <f t="shared" si="58"/>
        <v>March</v>
      </c>
      <c r="F458" s="128">
        <f t="shared" si="59"/>
        <v>2021</v>
      </c>
      <c r="G458" s="194" t="str">
        <f t="shared" si="60"/>
        <v>2021-03</v>
      </c>
      <c r="H458" s="193">
        <f t="shared" si="61"/>
        <v>44289</v>
      </c>
      <c r="I458">
        <f t="shared" si="62"/>
        <v>14</v>
      </c>
    </row>
    <row r="459" spans="1:9" x14ac:dyDescent="0.3">
      <c r="A459">
        <f t="shared" si="56"/>
        <v>20210331</v>
      </c>
      <c r="B459" s="193">
        <v>44286</v>
      </c>
      <c r="C459" s="196" t="str">
        <f t="shared" si="63"/>
        <v>31 March 2021</v>
      </c>
      <c r="D459">
        <f t="shared" si="57"/>
        <v>3</v>
      </c>
      <c r="E459" t="str">
        <f t="shared" si="58"/>
        <v>March</v>
      </c>
      <c r="F459" s="128">
        <f t="shared" si="59"/>
        <v>2021</v>
      </c>
      <c r="G459" s="194" t="str">
        <f t="shared" si="60"/>
        <v>2021-03</v>
      </c>
      <c r="H459" s="193">
        <f t="shared" si="61"/>
        <v>44289</v>
      </c>
      <c r="I459">
        <f t="shared" si="62"/>
        <v>14</v>
      </c>
    </row>
    <row r="460" spans="1:9" x14ac:dyDescent="0.3">
      <c r="A460">
        <f t="shared" si="56"/>
        <v>20210401</v>
      </c>
      <c r="B460" s="193">
        <v>44287</v>
      </c>
      <c r="C460" s="196" t="str">
        <f t="shared" si="63"/>
        <v>01 April 2021</v>
      </c>
      <c r="D460">
        <f t="shared" si="57"/>
        <v>4</v>
      </c>
      <c r="E460" t="str">
        <f t="shared" si="58"/>
        <v>April</v>
      </c>
      <c r="F460" s="128">
        <f t="shared" si="59"/>
        <v>2021</v>
      </c>
      <c r="G460" s="194" t="str">
        <f t="shared" si="60"/>
        <v>2021-04</v>
      </c>
      <c r="H460" s="193">
        <f t="shared" si="61"/>
        <v>44289</v>
      </c>
      <c r="I460">
        <f t="shared" si="62"/>
        <v>14</v>
      </c>
    </row>
    <row r="461" spans="1:9" x14ac:dyDescent="0.3">
      <c r="A461">
        <f t="shared" si="56"/>
        <v>20210402</v>
      </c>
      <c r="B461" s="193">
        <v>44288</v>
      </c>
      <c r="C461" s="196" t="str">
        <f t="shared" si="63"/>
        <v>02 April 2021</v>
      </c>
      <c r="D461">
        <f t="shared" si="57"/>
        <v>4</v>
      </c>
      <c r="E461" t="str">
        <f t="shared" si="58"/>
        <v>April</v>
      </c>
      <c r="F461" s="128">
        <f t="shared" si="59"/>
        <v>2021</v>
      </c>
      <c r="G461" s="194" t="str">
        <f t="shared" si="60"/>
        <v>2021-04</v>
      </c>
      <c r="H461" s="193">
        <f t="shared" si="61"/>
        <v>44289</v>
      </c>
      <c r="I461">
        <f t="shared" si="62"/>
        <v>14</v>
      </c>
    </row>
    <row r="462" spans="1:9" x14ac:dyDescent="0.3">
      <c r="A462">
        <f t="shared" si="56"/>
        <v>20210403</v>
      </c>
      <c r="B462" s="193">
        <v>44289</v>
      </c>
      <c r="C462" s="196" t="str">
        <f t="shared" si="63"/>
        <v>03 April 2021</v>
      </c>
      <c r="D462">
        <f t="shared" si="57"/>
        <v>4</v>
      </c>
      <c r="E462" t="str">
        <f t="shared" si="58"/>
        <v>April</v>
      </c>
      <c r="F462" s="128">
        <f t="shared" si="59"/>
        <v>2021</v>
      </c>
      <c r="G462" s="194" t="str">
        <f t="shared" si="60"/>
        <v>2021-04</v>
      </c>
      <c r="H462" s="193">
        <f t="shared" si="61"/>
        <v>44289</v>
      </c>
      <c r="I462">
        <f t="shared" si="62"/>
        <v>14</v>
      </c>
    </row>
    <row r="463" spans="1:9" x14ac:dyDescent="0.3">
      <c r="A463">
        <f t="shared" si="56"/>
        <v>20210404</v>
      </c>
      <c r="B463" s="193">
        <v>44290</v>
      </c>
      <c r="C463" s="196" t="str">
        <f t="shared" si="63"/>
        <v>04 April 2021</v>
      </c>
      <c r="D463">
        <f t="shared" si="57"/>
        <v>4</v>
      </c>
      <c r="E463" t="str">
        <f t="shared" si="58"/>
        <v>April</v>
      </c>
      <c r="F463" s="128">
        <f t="shared" si="59"/>
        <v>2021</v>
      </c>
      <c r="G463" s="194" t="str">
        <f t="shared" si="60"/>
        <v>2021-04</v>
      </c>
      <c r="H463" s="193">
        <f t="shared" si="61"/>
        <v>44296</v>
      </c>
      <c r="I463">
        <f t="shared" si="62"/>
        <v>14</v>
      </c>
    </row>
    <row r="464" spans="1:9" x14ac:dyDescent="0.3">
      <c r="A464">
        <f t="shared" si="56"/>
        <v>20210405</v>
      </c>
      <c r="B464" s="193">
        <v>44291</v>
      </c>
      <c r="C464" s="196" t="str">
        <f t="shared" si="63"/>
        <v>05 April 2021</v>
      </c>
      <c r="D464">
        <f t="shared" si="57"/>
        <v>4</v>
      </c>
      <c r="E464" t="str">
        <f t="shared" si="58"/>
        <v>April</v>
      </c>
      <c r="F464" s="128">
        <f t="shared" si="59"/>
        <v>2021</v>
      </c>
      <c r="G464" s="194" t="str">
        <f t="shared" si="60"/>
        <v>2021-04</v>
      </c>
      <c r="H464" s="193">
        <f t="shared" si="61"/>
        <v>44296</v>
      </c>
      <c r="I464">
        <f t="shared" si="62"/>
        <v>15</v>
      </c>
    </row>
    <row r="465" spans="1:9" x14ac:dyDescent="0.3">
      <c r="A465">
        <f t="shared" si="56"/>
        <v>20210406</v>
      </c>
      <c r="B465" s="193">
        <v>44292</v>
      </c>
      <c r="C465" s="196" t="str">
        <f t="shared" si="63"/>
        <v>06 April 2021</v>
      </c>
      <c r="D465">
        <f t="shared" si="57"/>
        <v>4</v>
      </c>
      <c r="E465" t="str">
        <f t="shared" si="58"/>
        <v>April</v>
      </c>
      <c r="F465" s="128">
        <f t="shared" si="59"/>
        <v>2021</v>
      </c>
      <c r="G465" s="194" t="str">
        <f t="shared" si="60"/>
        <v>2021-04</v>
      </c>
      <c r="H465" s="193">
        <f t="shared" si="61"/>
        <v>44296</v>
      </c>
      <c r="I465">
        <f t="shared" si="62"/>
        <v>15</v>
      </c>
    </row>
    <row r="466" spans="1:9" x14ac:dyDescent="0.3">
      <c r="A466">
        <f t="shared" si="56"/>
        <v>20210407</v>
      </c>
      <c r="B466" s="193">
        <v>44293</v>
      </c>
      <c r="C466" s="196" t="str">
        <f t="shared" si="63"/>
        <v>07 April 2021</v>
      </c>
      <c r="D466">
        <f t="shared" si="57"/>
        <v>4</v>
      </c>
      <c r="E466" t="str">
        <f t="shared" si="58"/>
        <v>April</v>
      </c>
      <c r="F466" s="128">
        <f t="shared" si="59"/>
        <v>2021</v>
      </c>
      <c r="G466" s="194" t="str">
        <f t="shared" si="60"/>
        <v>2021-04</v>
      </c>
      <c r="H466" s="193">
        <f t="shared" si="61"/>
        <v>44296</v>
      </c>
      <c r="I466">
        <f t="shared" si="62"/>
        <v>15</v>
      </c>
    </row>
    <row r="467" spans="1:9" x14ac:dyDescent="0.3">
      <c r="A467">
        <f t="shared" si="56"/>
        <v>20210408</v>
      </c>
      <c r="B467" s="193">
        <v>44294</v>
      </c>
      <c r="C467" s="196" t="str">
        <f t="shared" si="63"/>
        <v>08 April 2021</v>
      </c>
      <c r="D467">
        <f t="shared" si="57"/>
        <v>4</v>
      </c>
      <c r="E467" t="str">
        <f t="shared" si="58"/>
        <v>April</v>
      </c>
      <c r="F467" s="128">
        <f t="shared" si="59"/>
        <v>2021</v>
      </c>
      <c r="G467" s="194" t="str">
        <f t="shared" si="60"/>
        <v>2021-04</v>
      </c>
      <c r="H467" s="193">
        <f t="shared" si="61"/>
        <v>44296</v>
      </c>
      <c r="I467">
        <f t="shared" si="62"/>
        <v>15</v>
      </c>
    </row>
    <row r="468" spans="1:9" x14ac:dyDescent="0.3">
      <c r="A468">
        <f t="shared" si="56"/>
        <v>20210409</v>
      </c>
      <c r="B468" s="193">
        <v>44295</v>
      </c>
      <c r="C468" s="196" t="str">
        <f t="shared" si="63"/>
        <v>09 April 2021</v>
      </c>
      <c r="D468">
        <f t="shared" si="57"/>
        <v>4</v>
      </c>
      <c r="E468" t="str">
        <f t="shared" si="58"/>
        <v>April</v>
      </c>
      <c r="F468" s="128">
        <f t="shared" si="59"/>
        <v>2021</v>
      </c>
      <c r="G468" s="194" t="str">
        <f t="shared" si="60"/>
        <v>2021-04</v>
      </c>
      <c r="H468" s="193">
        <f t="shared" si="61"/>
        <v>44296</v>
      </c>
      <c r="I468">
        <f t="shared" si="62"/>
        <v>15</v>
      </c>
    </row>
    <row r="469" spans="1:9" x14ac:dyDescent="0.3">
      <c r="A469">
        <f t="shared" si="56"/>
        <v>20210410</v>
      </c>
      <c r="B469" s="193">
        <v>44296</v>
      </c>
      <c r="C469" s="196" t="str">
        <f t="shared" si="63"/>
        <v>10 April 2021</v>
      </c>
      <c r="D469">
        <f t="shared" si="57"/>
        <v>4</v>
      </c>
      <c r="E469" t="str">
        <f t="shared" si="58"/>
        <v>April</v>
      </c>
      <c r="F469" s="128">
        <f t="shared" si="59"/>
        <v>2021</v>
      </c>
      <c r="G469" s="194" t="str">
        <f t="shared" si="60"/>
        <v>2021-04</v>
      </c>
      <c r="H469" s="193">
        <f t="shared" si="61"/>
        <v>44296</v>
      </c>
      <c r="I469">
        <f t="shared" si="62"/>
        <v>15</v>
      </c>
    </row>
    <row r="470" spans="1:9" x14ac:dyDescent="0.3">
      <c r="A470">
        <f t="shared" si="56"/>
        <v>20210411</v>
      </c>
      <c r="B470" s="193">
        <v>44297</v>
      </c>
      <c r="C470" s="196" t="str">
        <f t="shared" si="63"/>
        <v>11 April 2021</v>
      </c>
      <c r="D470">
        <f t="shared" si="57"/>
        <v>4</v>
      </c>
      <c r="E470" t="str">
        <f t="shared" si="58"/>
        <v>April</v>
      </c>
      <c r="F470" s="128">
        <f t="shared" si="59"/>
        <v>2021</v>
      </c>
      <c r="G470" s="194" t="str">
        <f t="shared" si="60"/>
        <v>2021-04</v>
      </c>
      <c r="H470" s="193">
        <f t="shared" si="61"/>
        <v>44303</v>
      </c>
      <c r="I470">
        <f t="shared" si="62"/>
        <v>15</v>
      </c>
    </row>
    <row r="471" spans="1:9" x14ac:dyDescent="0.3">
      <c r="A471">
        <f t="shared" si="56"/>
        <v>20210412</v>
      </c>
      <c r="B471" s="193">
        <v>44298</v>
      </c>
      <c r="C471" s="196" t="str">
        <f t="shared" si="63"/>
        <v>12 April 2021</v>
      </c>
      <c r="D471">
        <f t="shared" si="57"/>
        <v>4</v>
      </c>
      <c r="E471" t="str">
        <f t="shared" si="58"/>
        <v>April</v>
      </c>
      <c r="F471" s="128">
        <f t="shared" si="59"/>
        <v>2021</v>
      </c>
      <c r="G471" s="194" t="str">
        <f t="shared" si="60"/>
        <v>2021-04</v>
      </c>
      <c r="H471" s="193">
        <f t="shared" si="61"/>
        <v>44303</v>
      </c>
      <c r="I471">
        <f t="shared" si="62"/>
        <v>16</v>
      </c>
    </row>
    <row r="472" spans="1:9" x14ac:dyDescent="0.3">
      <c r="A472">
        <f t="shared" si="56"/>
        <v>20210413</v>
      </c>
      <c r="B472" s="193">
        <v>44299</v>
      </c>
      <c r="C472" s="196" t="str">
        <f t="shared" si="63"/>
        <v>13 April 2021</v>
      </c>
      <c r="D472">
        <f t="shared" si="57"/>
        <v>4</v>
      </c>
      <c r="E472" t="str">
        <f t="shared" si="58"/>
        <v>April</v>
      </c>
      <c r="F472" s="128">
        <f t="shared" si="59"/>
        <v>2021</v>
      </c>
      <c r="G472" s="194" t="str">
        <f t="shared" si="60"/>
        <v>2021-04</v>
      </c>
      <c r="H472" s="193">
        <f t="shared" si="61"/>
        <v>44303</v>
      </c>
      <c r="I472">
        <f t="shared" si="62"/>
        <v>16</v>
      </c>
    </row>
    <row r="473" spans="1:9" x14ac:dyDescent="0.3">
      <c r="A473">
        <f t="shared" si="56"/>
        <v>20210414</v>
      </c>
      <c r="B473" s="193">
        <v>44300</v>
      </c>
      <c r="C473" s="196" t="str">
        <f t="shared" si="63"/>
        <v>14 April 2021</v>
      </c>
      <c r="D473">
        <f t="shared" si="57"/>
        <v>4</v>
      </c>
      <c r="E473" t="str">
        <f t="shared" si="58"/>
        <v>April</v>
      </c>
      <c r="F473" s="128">
        <f t="shared" si="59"/>
        <v>2021</v>
      </c>
      <c r="G473" s="194" t="str">
        <f t="shared" si="60"/>
        <v>2021-04</v>
      </c>
      <c r="H473" s="193">
        <f t="shared" si="61"/>
        <v>44303</v>
      </c>
      <c r="I473">
        <f t="shared" si="62"/>
        <v>16</v>
      </c>
    </row>
    <row r="474" spans="1:9" x14ac:dyDescent="0.3">
      <c r="A474">
        <f t="shared" si="56"/>
        <v>20210415</v>
      </c>
      <c r="B474" s="193">
        <v>44301</v>
      </c>
      <c r="C474" s="196" t="str">
        <f t="shared" si="63"/>
        <v>15 April 2021</v>
      </c>
      <c r="D474">
        <f t="shared" si="57"/>
        <v>4</v>
      </c>
      <c r="E474" t="str">
        <f t="shared" si="58"/>
        <v>April</v>
      </c>
      <c r="F474" s="128">
        <f t="shared" si="59"/>
        <v>2021</v>
      </c>
      <c r="G474" s="194" t="str">
        <f t="shared" si="60"/>
        <v>2021-04</v>
      </c>
      <c r="H474" s="193">
        <f t="shared" si="61"/>
        <v>44303</v>
      </c>
      <c r="I474">
        <f t="shared" si="62"/>
        <v>16</v>
      </c>
    </row>
    <row r="475" spans="1:9" x14ac:dyDescent="0.3">
      <c r="A475">
        <f t="shared" si="56"/>
        <v>20210416</v>
      </c>
      <c r="B475" s="193">
        <v>44302</v>
      </c>
      <c r="C475" s="196" t="str">
        <f t="shared" si="63"/>
        <v>16 April 2021</v>
      </c>
      <c r="D475">
        <f t="shared" si="57"/>
        <v>4</v>
      </c>
      <c r="E475" t="str">
        <f t="shared" si="58"/>
        <v>April</v>
      </c>
      <c r="F475" s="128">
        <f t="shared" si="59"/>
        <v>2021</v>
      </c>
      <c r="G475" s="194" t="str">
        <f t="shared" si="60"/>
        <v>2021-04</v>
      </c>
      <c r="H475" s="193">
        <f t="shared" si="61"/>
        <v>44303</v>
      </c>
      <c r="I475">
        <f t="shared" si="62"/>
        <v>16</v>
      </c>
    </row>
    <row r="476" spans="1:9" x14ac:dyDescent="0.3">
      <c r="A476">
        <f t="shared" si="56"/>
        <v>20210417</v>
      </c>
      <c r="B476" s="193">
        <v>44303</v>
      </c>
      <c r="C476" s="196" t="str">
        <f t="shared" si="63"/>
        <v>17 April 2021</v>
      </c>
      <c r="D476">
        <f t="shared" si="57"/>
        <v>4</v>
      </c>
      <c r="E476" t="str">
        <f t="shared" si="58"/>
        <v>April</v>
      </c>
      <c r="F476" s="128">
        <f t="shared" si="59"/>
        <v>2021</v>
      </c>
      <c r="G476" s="194" t="str">
        <f t="shared" si="60"/>
        <v>2021-04</v>
      </c>
      <c r="H476" s="193">
        <f t="shared" si="61"/>
        <v>44303</v>
      </c>
      <c r="I476">
        <f t="shared" si="62"/>
        <v>16</v>
      </c>
    </row>
    <row r="477" spans="1:9" x14ac:dyDescent="0.3">
      <c r="A477">
        <f t="shared" si="56"/>
        <v>20210418</v>
      </c>
      <c r="B477" s="193">
        <v>44304</v>
      </c>
      <c r="C477" s="196" t="str">
        <f t="shared" si="63"/>
        <v>18 April 2021</v>
      </c>
      <c r="D477">
        <f t="shared" si="57"/>
        <v>4</v>
      </c>
      <c r="E477" t="str">
        <f t="shared" si="58"/>
        <v>April</v>
      </c>
      <c r="F477" s="128">
        <f t="shared" si="59"/>
        <v>2021</v>
      </c>
      <c r="G477" s="194" t="str">
        <f t="shared" si="60"/>
        <v>2021-04</v>
      </c>
      <c r="H477" s="193">
        <f t="shared" si="61"/>
        <v>44310</v>
      </c>
      <c r="I477">
        <f t="shared" si="62"/>
        <v>16</v>
      </c>
    </row>
    <row r="478" spans="1:9" x14ac:dyDescent="0.3">
      <c r="A478">
        <f t="shared" si="56"/>
        <v>20210419</v>
      </c>
      <c r="B478" s="193">
        <v>44305</v>
      </c>
      <c r="C478" s="196" t="str">
        <f t="shared" si="63"/>
        <v>19 April 2021</v>
      </c>
      <c r="D478">
        <f t="shared" si="57"/>
        <v>4</v>
      </c>
      <c r="E478" t="str">
        <f t="shared" si="58"/>
        <v>April</v>
      </c>
      <c r="F478" s="128">
        <f t="shared" si="59"/>
        <v>2021</v>
      </c>
      <c r="G478" s="194" t="str">
        <f t="shared" si="60"/>
        <v>2021-04</v>
      </c>
      <c r="H478" s="193">
        <f t="shared" si="61"/>
        <v>44310</v>
      </c>
      <c r="I478">
        <f t="shared" si="62"/>
        <v>17</v>
      </c>
    </row>
    <row r="479" spans="1:9" x14ac:dyDescent="0.3">
      <c r="A479">
        <f t="shared" si="56"/>
        <v>20210420</v>
      </c>
      <c r="B479" s="193">
        <v>44306</v>
      </c>
      <c r="C479" s="196" t="str">
        <f t="shared" si="63"/>
        <v>20 April 2021</v>
      </c>
      <c r="D479">
        <f t="shared" si="57"/>
        <v>4</v>
      </c>
      <c r="E479" t="str">
        <f t="shared" si="58"/>
        <v>April</v>
      </c>
      <c r="F479" s="128">
        <f t="shared" si="59"/>
        <v>2021</v>
      </c>
      <c r="G479" s="194" t="str">
        <f t="shared" si="60"/>
        <v>2021-04</v>
      </c>
      <c r="H479" s="193">
        <f t="shared" si="61"/>
        <v>44310</v>
      </c>
      <c r="I479">
        <f t="shared" si="62"/>
        <v>17</v>
      </c>
    </row>
    <row r="480" spans="1:9" x14ac:dyDescent="0.3">
      <c r="A480">
        <f t="shared" si="56"/>
        <v>20210421</v>
      </c>
      <c r="B480" s="193">
        <v>44307</v>
      </c>
      <c r="C480" s="196" t="str">
        <f t="shared" si="63"/>
        <v>21 April 2021</v>
      </c>
      <c r="D480">
        <f t="shared" si="57"/>
        <v>4</v>
      </c>
      <c r="E480" t="str">
        <f t="shared" si="58"/>
        <v>April</v>
      </c>
      <c r="F480" s="128">
        <f t="shared" si="59"/>
        <v>2021</v>
      </c>
      <c r="G480" s="194" t="str">
        <f t="shared" si="60"/>
        <v>2021-04</v>
      </c>
      <c r="H480" s="193">
        <f t="shared" si="61"/>
        <v>44310</v>
      </c>
      <c r="I480">
        <f t="shared" si="62"/>
        <v>17</v>
      </c>
    </row>
    <row r="481" spans="1:9" x14ac:dyDescent="0.3">
      <c r="A481">
        <f t="shared" si="56"/>
        <v>20210422</v>
      </c>
      <c r="B481" s="193">
        <v>44308</v>
      </c>
      <c r="C481" s="196" t="str">
        <f t="shared" si="63"/>
        <v>22 April 2021</v>
      </c>
      <c r="D481">
        <f t="shared" si="57"/>
        <v>4</v>
      </c>
      <c r="E481" t="str">
        <f t="shared" si="58"/>
        <v>April</v>
      </c>
      <c r="F481" s="128">
        <f t="shared" si="59"/>
        <v>2021</v>
      </c>
      <c r="G481" s="194" t="str">
        <f t="shared" si="60"/>
        <v>2021-04</v>
      </c>
      <c r="H481" s="193">
        <f t="shared" si="61"/>
        <v>44310</v>
      </c>
      <c r="I481">
        <f t="shared" si="62"/>
        <v>17</v>
      </c>
    </row>
    <row r="482" spans="1:9" x14ac:dyDescent="0.3">
      <c r="A482">
        <f t="shared" si="56"/>
        <v>20210423</v>
      </c>
      <c r="B482" s="193">
        <v>44309</v>
      </c>
      <c r="C482" s="196" t="str">
        <f t="shared" si="63"/>
        <v>23 April 2021</v>
      </c>
      <c r="D482">
        <f t="shared" si="57"/>
        <v>4</v>
      </c>
      <c r="E482" t="str">
        <f t="shared" si="58"/>
        <v>April</v>
      </c>
      <c r="F482" s="128">
        <f t="shared" si="59"/>
        <v>2021</v>
      </c>
      <c r="G482" s="194" t="str">
        <f t="shared" si="60"/>
        <v>2021-04</v>
      </c>
      <c r="H482" s="193">
        <f t="shared" si="61"/>
        <v>44310</v>
      </c>
      <c r="I482">
        <f t="shared" si="62"/>
        <v>17</v>
      </c>
    </row>
    <row r="483" spans="1:9" x14ac:dyDescent="0.3">
      <c r="A483">
        <f t="shared" si="56"/>
        <v>20210424</v>
      </c>
      <c r="B483" s="193">
        <v>44310</v>
      </c>
      <c r="C483" s="196" t="str">
        <f t="shared" si="63"/>
        <v>24 April 2021</v>
      </c>
      <c r="D483">
        <f t="shared" si="57"/>
        <v>4</v>
      </c>
      <c r="E483" t="str">
        <f t="shared" si="58"/>
        <v>April</v>
      </c>
      <c r="F483" s="128">
        <f t="shared" si="59"/>
        <v>2021</v>
      </c>
      <c r="G483" s="194" t="str">
        <f t="shared" si="60"/>
        <v>2021-04</v>
      </c>
      <c r="H483" s="193">
        <f t="shared" si="61"/>
        <v>44310</v>
      </c>
      <c r="I483">
        <f t="shared" si="62"/>
        <v>17</v>
      </c>
    </row>
    <row r="484" spans="1:9" x14ac:dyDescent="0.3">
      <c r="A484">
        <f t="shared" si="56"/>
        <v>20210425</v>
      </c>
      <c r="B484" s="193">
        <v>44311</v>
      </c>
      <c r="C484" s="196" t="str">
        <f t="shared" si="63"/>
        <v>25 April 2021</v>
      </c>
      <c r="D484">
        <f t="shared" si="57"/>
        <v>4</v>
      </c>
      <c r="E484" t="str">
        <f t="shared" si="58"/>
        <v>April</v>
      </c>
      <c r="F484" s="128">
        <f t="shared" si="59"/>
        <v>2021</v>
      </c>
      <c r="G484" s="194" t="str">
        <f t="shared" si="60"/>
        <v>2021-04</v>
      </c>
      <c r="H484" s="193">
        <f t="shared" si="61"/>
        <v>44317</v>
      </c>
      <c r="I484">
        <f t="shared" si="62"/>
        <v>17</v>
      </c>
    </row>
    <row r="485" spans="1:9" x14ac:dyDescent="0.3">
      <c r="A485">
        <f t="shared" si="56"/>
        <v>20210426</v>
      </c>
      <c r="B485" s="193">
        <v>44312</v>
      </c>
      <c r="C485" s="196" t="str">
        <f t="shared" si="63"/>
        <v>26 April 2021</v>
      </c>
      <c r="D485">
        <f t="shared" si="57"/>
        <v>4</v>
      </c>
      <c r="E485" t="str">
        <f t="shared" si="58"/>
        <v>April</v>
      </c>
      <c r="F485" s="128">
        <f t="shared" si="59"/>
        <v>2021</v>
      </c>
      <c r="G485" s="194" t="str">
        <f t="shared" si="60"/>
        <v>2021-04</v>
      </c>
      <c r="H485" s="193">
        <f t="shared" si="61"/>
        <v>44317</v>
      </c>
      <c r="I485">
        <f t="shared" si="62"/>
        <v>18</v>
      </c>
    </row>
    <row r="486" spans="1:9" x14ac:dyDescent="0.3">
      <c r="A486">
        <f t="shared" si="56"/>
        <v>20210427</v>
      </c>
      <c r="B486" s="193">
        <v>44313</v>
      </c>
      <c r="C486" s="196" t="str">
        <f t="shared" si="63"/>
        <v>27 April 2021</v>
      </c>
      <c r="D486">
        <f t="shared" si="57"/>
        <v>4</v>
      </c>
      <c r="E486" t="str">
        <f t="shared" si="58"/>
        <v>April</v>
      </c>
      <c r="F486" s="128">
        <f t="shared" si="59"/>
        <v>2021</v>
      </c>
      <c r="G486" s="194" t="str">
        <f t="shared" si="60"/>
        <v>2021-04</v>
      </c>
      <c r="H486" s="193">
        <f t="shared" si="61"/>
        <v>44317</v>
      </c>
      <c r="I486">
        <f t="shared" si="62"/>
        <v>18</v>
      </c>
    </row>
    <row r="487" spans="1:9" x14ac:dyDescent="0.3">
      <c r="A487">
        <f t="shared" si="56"/>
        <v>20210428</v>
      </c>
      <c r="B487" s="193">
        <v>44314</v>
      </c>
      <c r="C487" s="196" t="str">
        <f t="shared" si="63"/>
        <v>28 April 2021</v>
      </c>
      <c r="D487">
        <f t="shared" si="57"/>
        <v>4</v>
      </c>
      <c r="E487" t="str">
        <f t="shared" si="58"/>
        <v>April</v>
      </c>
      <c r="F487" s="128">
        <f t="shared" si="59"/>
        <v>2021</v>
      </c>
      <c r="G487" s="194" t="str">
        <f t="shared" si="60"/>
        <v>2021-04</v>
      </c>
      <c r="H487" s="193">
        <f t="shared" si="61"/>
        <v>44317</v>
      </c>
      <c r="I487">
        <f t="shared" si="62"/>
        <v>18</v>
      </c>
    </row>
    <row r="488" spans="1:9" x14ac:dyDescent="0.3">
      <c r="A488">
        <f t="shared" si="56"/>
        <v>20210429</v>
      </c>
      <c r="B488" s="193">
        <v>44315</v>
      </c>
      <c r="C488" s="196" t="str">
        <f t="shared" si="63"/>
        <v>29 April 2021</v>
      </c>
      <c r="D488">
        <f t="shared" si="57"/>
        <v>4</v>
      </c>
      <c r="E488" t="str">
        <f t="shared" si="58"/>
        <v>April</v>
      </c>
      <c r="F488" s="128">
        <f t="shared" si="59"/>
        <v>2021</v>
      </c>
      <c r="G488" s="194" t="str">
        <f t="shared" si="60"/>
        <v>2021-04</v>
      </c>
      <c r="H488" s="193">
        <f t="shared" si="61"/>
        <v>44317</v>
      </c>
      <c r="I488">
        <f t="shared" si="62"/>
        <v>18</v>
      </c>
    </row>
    <row r="489" spans="1:9" x14ac:dyDescent="0.3">
      <c r="A489">
        <f t="shared" si="56"/>
        <v>20210430</v>
      </c>
      <c r="B489" s="193">
        <v>44316</v>
      </c>
      <c r="C489" s="196" t="str">
        <f t="shared" si="63"/>
        <v>30 April 2021</v>
      </c>
      <c r="D489">
        <f t="shared" si="57"/>
        <v>4</v>
      </c>
      <c r="E489" t="str">
        <f t="shared" si="58"/>
        <v>April</v>
      </c>
      <c r="F489" s="128">
        <f t="shared" si="59"/>
        <v>2021</v>
      </c>
      <c r="G489" s="194" t="str">
        <f t="shared" si="60"/>
        <v>2021-04</v>
      </c>
      <c r="H489" s="193">
        <f t="shared" si="61"/>
        <v>44317</v>
      </c>
      <c r="I489">
        <f t="shared" si="62"/>
        <v>18</v>
      </c>
    </row>
    <row r="490" spans="1:9" x14ac:dyDescent="0.3">
      <c r="A490">
        <f t="shared" si="56"/>
        <v>20210501</v>
      </c>
      <c r="B490" s="193">
        <v>44317</v>
      </c>
      <c r="C490" s="196" t="str">
        <f t="shared" si="63"/>
        <v>01 May 2021</v>
      </c>
      <c r="D490">
        <f t="shared" si="57"/>
        <v>5</v>
      </c>
      <c r="E490" t="str">
        <f t="shared" si="58"/>
        <v>May</v>
      </c>
      <c r="F490" s="128">
        <f t="shared" si="59"/>
        <v>2021</v>
      </c>
      <c r="G490" s="194" t="str">
        <f t="shared" si="60"/>
        <v>2021-05</v>
      </c>
      <c r="H490" s="193">
        <f t="shared" si="61"/>
        <v>44317</v>
      </c>
      <c r="I490">
        <f t="shared" si="62"/>
        <v>18</v>
      </c>
    </row>
    <row r="491" spans="1:9" x14ac:dyDescent="0.3">
      <c r="A491">
        <f t="shared" si="56"/>
        <v>20210502</v>
      </c>
      <c r="B491" s="193">
        <v>44318</v>
      </c>
      <c r="C491" s="196" t="str">
        <f t="shared" si="63"/>
        <v>02 May 2021</v>
      </c>
      <c r="D491">
        <f t="shared" si="57"/>
        <v>5</v>
      </c>
      <c r="E491" t="str">
        <f t="shared" si="58"/>
        <v>May</v>
      </c>
      <c r="F491" s="128">
        <f t="shared" si="59"/>
        <v>2021</v>
      </c>
      <c r="G491" s="194" t="str">
        <f t="shared" si="60"/>
        <v>2021-05</v>
      </c>
      <c r="H491" s="193">
        <f t="shared" si="61"/>
        <v>44324</v>
      </c>
      <c r="I491">
        <f t="shared" si="62"/>
        <v>18</v>
      </c>
    </row>
    <row r="492" spans="1:9" x14ac:dyDescent="0.3">
      <c r="A492">
        <f t="shared" si="56"/>
        <v>20210503</v>
      </c>
      <c r="B492" s="193">
        <v>44319</v>
      </c>
      <c r="C492" s="196" t="str">
        <f t="shared" si="63"/>
        <v>03 May 2021</v>
      </c>
      <c r="D492">
        <f t="shared" si="57"/>
        <v>5</v>
      </c>
      <c r="E492" t="str">
        <f t="shared" si="58"/>
        <v>May</v>
      </c>
      <c r="F492" s="128">
        <f t="shared" si="59"/>
        <v>2021</v>
      </c>
      <c r="G492" s="194" t="str">
        <f t="shared" si="60"/>
        <v>2021-05</v>
      </c>
      <c r="H492" s="193">
        <f t="shared" si="61"/>
        <v>44324</v>
      </c>
      <c r="I492">
        <f t="shared" si="62"/>
        <v>19</v>
      </c>
    </row>
    <row r="493" spans="1:9" x14ac:dyDescent="0.3">
      <c r="A493">
        <f t="shared" si="56"/>
        <v>20210504</v>
      </c>
      <c r="B493" s="193">
        <v>44320</v>
      </c>
      <c r="C493" s="196" t="str">
        <f t="shared" si="63"/>
        <v>04 May 2021</v>
      </c>
      <c r="D493">
        <f t="shared" si="57"/>
        <v>5</v>
      </c>
      <c r="E493" t="str">
        <f t="shared" si="58"/>
        <v>May</v>
      </c>
      <c r="F493" s="128">
        <f t="shared" si="59"/>
        <v>2021</v>
      </c>
      <c r="G493" s="194" t="str">
        <f t="shared" si="60"/>
        <v>2021-05</v>
      </c>
      <c r="H493" s="193">
        <f t="shared" si="61"/>
        <v>44324</v>
      </c>
      <c r="I493">
        <f t="shared" si="62"/>
        <v>19</v>
      </c>
    </row>
    <row r="494" spans="1:9" x14ac:dyDescent="0.3">
      <c r="A494">
        <f t="shared" si="56"/>
        <v>20210505</v>
      </c>
      <c r="B494" s="193">
        <v>44321</v>
      </c>
      <c r="C494" s="196" t="str">
        <f t="shared" si="63"/>
        <v>05 May 2021</v>
      </c>
      <c r="D494">
        <f t="shared" si="57"/>
        <v>5</v>
      </c>
      <c r="E494" t="str">
        <f t="shared" si="58"/>
        <v>May</v>
      </c>
      <c r="F494" s="128">
        <f t="shared" si="59"/>
        <v>2021</v>
      </c>
      <c r="G494" s="194" t="str">
        <f t="shared" si="60"/>
        <v>2021-05</v>
      </c>
      <c r="H494" s="193">
        <f t="shared" si="61"/>
        <v>44324</v>
      </c>
      <c r="I494">
        <f t="shared" si="62"/>
        <v>19</v>
      </c>
    </row>
    <row r="495" spans="1:9" x14ac:dyDescent="0.3">
      <c r="A495">
        <f t="shared" si="56"/>
        <v>20210506</v>
      </c>
      <c r="B495" s="193">
        <v>44322</v>
      </c>
      <c r="C495" s="196" t="str">
        <f t="shared" si="63"/>
        <v>06 May 2021</v>
      </c>
      <c r="D495">
        <f t="shared" si="57"/>
        <v>5</v>
      </c>
      <c r="E495" t="str">
        <f t="shared" si="58"/>
        <v>May</v>
      </c>
      <c r="F495" s="128">
        <f t="shared" si="59"/>
        <v>2021</v>
      </c>
      <c r="G495" s="194" t="str">
        <f t="shared" si="60"/>
        <v>2021-05</v>
      </c>
      <c r="H495" s="193">
        <f t="shared" si="61"/>
        <v>44324</v>
      </c>
      <c r="I495">
        <f t="shared" si="62"/>
        <v>19</v>
      </c>
    </row>
    <row r="496" spans="1:9" x14ac:dyDescent="0.3">
      <c r="A496">
        <f t="shared" si="56"/>
        <v>20210507</v>
      </c>
      <c r="B496" s="193">
        <v>44323</v>
      </c>
      <c r="C496" s="196" t="str">
        <f t="shared" si="63"/>
        <v>07 May 2021</v>
      </c>
      <c r="D496">
        <f t="shared" si="57"/>
        <v>5</v>
      </c>
      <c r="E496" t="str">
        <f t="shared" si="58"/>
        <v>May</v>
      </c>
      <c r="F496" s="128">
        <f t="shared" si="59"/>
        <v>2021</v>
      </c>
      <c r="G496" s="194" t="str">
        <f t="shared" si="60"/>
        <v>2021-05</v>
      </c>
      <c r="H496" s="193">
        <f t="shared" si="61"/>
        <v>44324</v>
      </c>
      <c r="I496">
        <f t="shared" si="62"/>
        <v>19</v>
      </c>
    </row>
    <row r="497" spans="1:9" x14ac:dyDescent="0.3">
      <c r="A497">
        <f t="shared" si="56"/>
        <v>20210508</v>
      </c>
      <c r="B497" s="193">
        <v>44324</v>
      </c>
      <c r="C497" s="196" t="str">
        <f t="shared" si="63"/>
        <v>08 May 2021</v>
      </c>
      <c r="D497">
        <f t="shared" si="57"/>
        <v>5</v>
      </c>
      <c r="E497" t="str">
        <f t="shared" si="58"/>
        <v>May</v>
      </c>
      <c r="F497" s="128">
        <f t="shared" si="59"/>
        <v>2021</v>
      </c>
      <c r="G497" s="194" t="str">
        <f t="shared" si="60"/>
        <v>2021-05</v>
      </c>
      <c r="H497" s="193">
        <f t="shared" si="61"/>
        <v>44324</v>
      </c>
      <c r="I497">
        <f t="shared" si="62"/>
        <v>19</v>
      </c>
    </row>
    <row r="498" spans="1:9" x14ac:dyDescent="0.3">
      <c r="A498">
        <f t="shared" si="56"/>
        <v>20210509</v>
      </c>
      <c r="B498" s="193">
        <v>44325</v>
      </c>
      <c r="C498" s="196" t="str">
        <f t="shared" si="63"/>
        <v>09 May 2021</v>
      </c>
      <c r="D498">
        <f t="shared" si="57"/>
        <v>5</v>
      </c>
      <c r="E498" t="str">
        <f t="shared" si="58"/>
        <v>May</v>
      </c>
      <c r="F498" s="128">
        <f t="shared" si="59"/>
        <v>2021</v>
      </c>
      <c r="G498" s="194" t="str">
        <f t="shared" si="60"/>
        <v>2021-05</v>
      </c>
      <c r="H498" s="193">
        <f t="shared" si="61"/>
        <v>44331</v>
      </c>
      <c r="I498">
        <f t="shared" si="62"/>
        <v>19</v>
      </c>
    </row>
    <row r="499" spans="1:9" x14ac:dyDescent="0.3">
      <c r="A499">
        <f t="shared" si="56"/>
        <v>20210510</v>
      </c>
      <c r="B499" s="193">
        <v>44326</v>
      </c>
      <c r="C499" s="196" t="str">
        <f t="shared" si="63"/>
        <v>10 May 2021</v>
      </c>
      <c r="D499">
        <f t="shared" si="57"/>
        <v>5</v>
      </c>
      <c r="E499" t="str">
        <f t="shared" si="58"/>
        <v>May</v>
      </c>
      <c r="F499" s="128">
        <f t="shared" si="59"/>
        <v>2021</v>
      </c>
      <c r="G499" s="194" t="str">
        <f t="shared" si="60"/>
        <v>2021-05</v>
      </c>
      <c r="H499" s="193">
        <f t="shared" si="61"/>
        <v>44331</v>
      </c>
      <c r="I499">
        <f t="shared" si="62"/>
        <v>20</v>
      </c>
    </row>
    <row r="500" spans="1:9" x14ac:dyDescent="0.3">
      <c r="A500">
        <f t="shared" si="56"/>
        <v>20210511</v>
      </c>
      <c r="B500" s="193">
        <v>44327</v>
      </c>
      <c r="C500" s="196" t="str">
        <f t="shared" si="63"/>
        <v>11 May 2021</v>
      </c>
      <c r="D500">
        <f t="shared" si="57"/>
        <v>5</v>
      </c>
      <c r="E500" t="str">
        <f t="shared" si="58"/>
        <v>May</v>
      </c>
      <c r="F500" s="128">
        <f t="shared" si="59"/>
        <v>2021</v>
      </c>
      <c r="G500" s="194" t="str">
        <f t="shared" si="60"/>
        <v>2021-05</v>
      </c>
      <c r="H500" s="193">
        <f t="shared" si="61"/>
        <v>44331</v>
      </c>
      <c r="I500">
        <f t="shared" si="62"/>
        <v>20</v>
      </c>
    </row>
    <row r="501" spans="1:9" x14ac:dyDescent="0.3">
      <c r="A501">
        <f t="shared" si="56"/>
        <v>20210512</v>
      </c>
      <c r="B501" s="193">
        <v>44328</v>
      </c>
      <c r="C501" s="196" t="str">
        <f t="shared" si="63"/>
        <v>12 May 2021</v>
      </c>
      <c r="D501">
        <f t="shared" si="57"/>
        <v>5</v>
      </c>
      <c r="E501" t="str">
        <f t="shared" si="58"/>
        <v>May</v>
      </c>
      <c r="F501" s="128">
        <f t="shared" si="59"/>
        <v>2021</v>
      </c>
      <c r="G501" s="194" t="str">
        <f t="shared" si="60"/>
        <v>2021-05</v>
      </c>
      <c r="H501" s="193">
        <f t="shared" si="61"/>
        <v>44331</v>
      </c>
      <c r="I501">
        <f t="shared" si="62"/>
        <v>20</v>
      </c>
    </row>
    <row r="502" spans="1:9" x14ac:dyDescent="0.3">
      <c r="A502">
        <f t="shared" si="56"/>
        <v>20210513</v>
      </c>
      <c r="B502" s="193">
        <v>44329</v>
      </c>
      <c r="C502" s="196" t="str">
        <f t="shared" si="63"/>
        <v>13 May 2021</v>
      </c>
      <c r="D502">
        <f t="shared" si="57"/>
        <v>5</v>
      </c>
      <c r="E502" t="str">
        <f t="shared" si="58"/>
        <v>May</v>
      </c>
      <c r="F502" s="128">
        <f t="shared" si="59"/>
        <v>2021</v>
      </c>
      <c r="G502" s="194" t="str">
        <f t="shared" si="60"/>
        <v>2021-05</v>
      </c>
      <c r="H502" s="193">
        <f t="shared" si="61"/>
        <v>44331</v>
      </c>
      <c r="I502">
        <f t="shared" si="62"/>
        <v>20</v>
      </c>
    </row>
    <row r="503" spans="1:9" x14ac:dyDescent="0.3">
      <c r="A503">
        <f t="shared" si="56"/>
        <v>20210514</v>
      </c>
      <c r="B503" s="193">
        <v>44330</v>
      </c>
      <c r="C503" s="196" t="str">
        <f t="shared" si="63"/>
        <v>14 May 2021</v>
      </c>
      <c r="D503">
        <f t="shared" si="57"/>
        <v>5</v>
      </c>
      <c r="E503" t="str">
        <f t="shared" si="58"/>
        <v>May</v>
      </c>
      <c r="F503" s="128">
        <f t="shared" si="59"/>
        <v>2021</v>
      </c>
      <c r="G503" s="194" t="str">
        <f t="shared" si="60"/>
        <v>2021-05</v>
      </c>
      <c r="H503" s="193">
        <f t="shared" si="61"/>
        <v>44331</v>
      </c>
      <c r="I503">
        <f t="shared" si="62"/>
        <v>20</v>
      </c>
    </row>
    <row r="504" spans="1:9" x14ac:dyDescent="0.3">
      <c r="A504">
        <f t="shared" si="56"/>
        <v>20210515</v>
      </c>
      <c r="B504" s="193">
        <v>44331</v>
      </c>
      <c r="C504" s="196" t="str">
        <f t="shared" si="63"/>
        <v>15 May 2021</v>
      </c>
      <c r="D504">
        <f t="shared" si="57"/>
        <v>5</v>
      </c>
      <c r="E504" t="str">
        <f t="shared" si="58"/>
        <v>May</v>
      </c>
      <c r="F504" s="128">
        <f t="shared" si="59"/>
        <v>2021</v>
      </c>
      <c r="G504" s="194" t="str">
        <f t="shared" si="60"/>
        <v>2021-05</v>
      </c>
      <c r="H504" s="193">
        <f t="shared" si="61"/>
        <v>44331</v>
      </c>
      <c r="I504">
        <f t="shared" si="62"/>
        <v>20</v>
      </c>
    </row>
    <row r="505" spans="1:9" x14ac:dyDescent="0.3">
      <c r="A505">
        <f t="shared" si="56"/>
        <v>20210516</v>
      </c>
      <c r="B505" s="193">
        <v>44332</v>
      </c>
      <c r="C505" s="196" t="str">
        <f t="shared" si="63"/>
        <v>16 May 2021</v>
      </c>
      <c r="D505">
        <f t="shared" si="57"/>
        <v>5</v>
      </c>
      <c r="E505" t="str">
        <f t="shared" si="58"/>
        <v>May</v>
      </c>
      <c r="F505" s="128">
        <f t="shared" si="59"/>
        <v>2021</v>
      </c>
      <c r="G505" s="194" t="str">
        <f t="shared" si="60"/>
        <v>2021-05</v>
      </c>
      <c r="H505" s="193">
        <f t="shared" si="61"/>
        <v>44338</v>
      </c>
      <c r="I505">
        <f t="shared" si="62"/>
        <v>20</v>
      </c>
    </row>
    <row r="506" spans="1:9" x14ac:dyDescent="0.3">
      <c r="A506">
        <f t="shared" si="56"/>
        <v>20210517</v>
      </c>
      <c r="B506" s="193">
        <v>44333</v>
      </c>
      <c r="C506" s="196" t="str">
        <f t="shared" si="63"/>
        <v>17 May 2021</v>
      </c>
      <c r="D506">
        <f t="shared" si="57"/>
        <v>5</v>
      </c>
      <c r="E506" t="str">
        <f t="shared" si="58"/>
        <v>May</v>
      </c>
      <c r="F506" s="128">
        <f t="shared" si="59"/>
        <v>2021</v>
      </c>
      <c r="G506" s="194" t="str">
        <f t="shared" si="60"/>
        <v>2021-05</v>
      </c>
      <c r="H506" s="193">
        <f t="shared" si="61"/>
        <v>44338</v>
      </c>
      <c r="I506">
        <f t="shared" si="62"/>
        <v>21</v>
      </c>
    </row>
    <row r="507" spans="1:9" x14ac:dyDescent="0.3">
      <c r="A507">
        <f t="shared" si="56"/>
        <v>20210518</v>
      </c>
      <c r="B507" s="193">
        <v>44334</v>
      </c>
      <c r="C507" s="196" t="str">
        <f t="shared" si="63"/>
        <v>18 May 2021</v>
      </c>
      <c r="D507">
        <f t="shared" si="57"/>
        <v>5</v>
      </c>
      <c r="E507" t="str">
        <f t="shared" si="58"/>
        <v>May</v>
      </c>
      <c r="F507" s="128">
        <f t="shared" si="59"/>
        <v>2021</v>
      </c>
      <c r="G507" s="194" t="str">
        <f t="shared" si="60"/>
        <v>2021-05</v>
      </c>
      <c r="H507" s="193">
        <f t="shared" si="61"/>
        <v>44338</v>
      </c>
      <c r="I507">
        <f t="shared" si="62"/>
        <v>21</v>
      </c>
    </row>
    <row r="508" spans="1:9" x14ac:dyDescent="0.3">
      <c r="A508">
        <f t="shared" si="56"/>
        <v>20210519</v>
      </c>
      <c r="B508" s="193">
        <v>44335</v>
      </c>
      <c r="C508" s="196" t="str">
        <f t="shared" si="63"/>
        <v>19 May 2021</v>
      </c>
      <c r="D508">
        <f t="shared" si="57"/>
        <v>5</v>
      </c>
      <c r="E508" t="str">
        <f t="shared" si="58"/>
        <v>May</v>
      </c>
      <c r="F508" s="128">
        <f t="shared" si="59"/>
        <v>2021</v>
      </c>
      <c r="G508" s="194" t="str">
        <f t="shared" si="60"/>
        <v>2021-05</v>
      </c>
      <c r="H508" s="193">
        <f t="shared" si="61"/>
        <v>44338</v>
      </c>
      <c r="I508">
        <f t="shared" si="62"/>
        <v>21</v>
      </c>
    </row>
    <row r="509" spans="1:9" x14ac:dyDescent="0.3">
      <c r="A509">
        <f t="shared" si="56"/>
        <v>20210520</v>
      </c>
      <c r="B509" s="193">
        <v>44336</v>
      </c>
      <c r="C509" s="196" t="str">
        <f t="shared" si="63"/>
        <v>20 May 2021</v>
      </c>
      <c r="D509">
        <f t="shared" si="57"/>
        <v>5</v>
      </c>
      <c r="E509" t="str">
        <f t="shared" si="58"/>
        <v>May</v>
      </c>
      <c r="F509" s="128">
        <f t="shared" si="59"/>
        <v>2021</v>
      </c>
      <c r="G509" s="194" t="str">
        <f t="shared" si="60"/>
        <v>2021-05</v>
      </c>
      <c r="H509" s="193">
        <f t="shared" si="61"/>
        <v>44338</v>
      </c>
      <c r="I509">
        <f t="shared" si="62"/>
        <v>21</v>
      </c>
    </row>
    <row r="510" spans="1:9" x14ac:dyDescent="0.3">
      <c r="A510">
        <f t="shared" si="56"/>
        <v>20210521</v>
      </c>
      <c r="B510" s="193">
        <v>44337</v>
      </c>
      <c r="C510" s="196" t="str">
        <f t="shared" si="63"/>
        <v>21 May 2021</v>
      </c>
      <c r="D510">
        <f t="shared" si="57"/>
        <v>5</v>
      </c>
      <c r="E510" t="str">
        <f t="shared" si="58"/>
        <v>May</v>
      </c>
      <c r="F510" s="128">
        <f t="shared" si="59"/>
        <v>2021</v>
      </c>
      <c r="G510" s="194" t="str">
        <f t="shared" si="60"/>
        <v>2021-05</v>
      </c>
      <c r="H510" s="193">
        <f t="shared" si="61"/>
        <v>44338</v>
      </c>
      <c r="I510">
        <f t="shared" si="62"/>
        <v>21</v>
      </c>
    </row>
    <row r="511" spans="1:9" x14ac:dyDescent="0.3">
      <c r="A511">
        <f t="shared" si="56"/>
        <v>20210522</v>
      </c>
      <c r="B511" s="193">
        <v>44338</v>
      </c>
      <c r="C511" s="196" t="str">
        <f t="shared" si="63"/>
        <v>22 May 2021</v>
      </c>
      <c r="D511">
        <f t="shared" si="57"/>
        <v>5</v>
      </c>
      <c r="E511" t="str">
        <f t="shared" si="58"/>
        <v>May</v>
      </c>
      <c r="F511" s="128">
        <f t="shared" si="59"/>
        <v>2021</v>
      </c>
      <c r="G511" s="194" t="str">
        <f t="shared" si="60"/>
        <v>2021-05</v>
      </c>
      <c r="H511" s="193">
        <f t="shared" si="61"/>
        <v>44338</v>
      </c>
      <c r="I511">
        <f t="shared" si="62"/>
        <v>21</v>
      </c>
    </row>
    <row r="512" spans="1:9" x14ac:dyDescent="0.3">
      <c r="A512">
        <f t="shared" si="56"/>
        <v>20210523</v>
      </c>
      <c r="B512" s="193">
        <v>44339</v>
      </c>
      <c r="C512" s="196" t="str">
        <f t="shared" si="63"/>
        <v>23 May 2021</v>
      </c>
      <c r="D512">
        <f t="shared" si="57"/>
        <v>5</v>
      </c>
      <c r="E512" t="str">
        <f t="shared" si="58"/>
        <v>May</v>
      </c>
      <c r="F512" s="128">
        <f t="shared" si="59"/>
        <v>2021</v>
      </c>
      <c r="G512" s="194" t="str">
        <f t="shared" si="60"/>
        <v>2021-05</v>
      </c>
      <c r="H512" s="193">
        <f t="shared" si="61"/>
        <v>44345</v>
      </c>
      <c r="I512">
        <f t="shared" si="62"/>
        <v>21</v>
      </c>
    </row>
    <row r="513" spans="1:9" x14ac:dyDescent="0.3">
      <c r="A513">
        <f t="shared" si="56"/>
        <v>20210524</v>
      </c>
      <c r="B513" s="193">
        <v>44340</v>
      </c>
      <c r="C513" s="196" t="str">
        <f t="shared" si="63"/>
        <v>24 May 2021</v>
      </c>
      <c r="D513">
        <f t="shared" si="57"/>
        <v>5</v>
      </c>
      <c r="E513" t="str">
        <f t="shared" si="58"/>
        <v>May</v>
      </c>
      <c r="F513" s="128">
        <f t="shared" si="59"/>
        <v>2021</v>
      </c>
      <c r="G513" s="194" t="str">
        <f t="shared" si="60"/>
        <v>2021-05</v>
      </c>
      <c r="H513" s="193">
        <f t="shared" si="61"/>
        <v>44345</v>
      </c>
      <c r="I513">
        <f t="shared" si="62"/>
        <v>22</v>
      </c>
    </row>
    <row r="514" spans="1:9" x14ac:dyDescent="0.3">
      <c r="A514">
        <f t="shared" si="56"/>
        <v>20210525</v>
      </c>
      <c r="B514" s="193">
        <v>44341</v>
      </c>
      <c r="C514" s="196" t="str">
        <f t="shared" si="63"/>
        <v>25 May 2021</v>
      </c>
      <c r="D514">
        <f t="shared" si="57"/>
        <v>5</v>
      </c>
      <c r="E514" t="str">
        <f t="shared" si="58"/>
        <v>May</v>
      </c>
      <c r="F514" s="128">
        <f t="shared" si="59"/>
        <v>2021</v>
      </c>
      <c r="G514" s="194" t="str">
        <f t="shared" si="60"/>
        <v>2021-05</v>
      </c>
      <c r="H514" s="193">
        <f t="shared" si="61"/>
        <v>44345</v>
      </c>
      <c r="I514">
        <f t="shared" si="62"/>
        <v>22</v>
      </c>
    </row>
    <row r="515" spans="1:9" x14ac:dyDescent="0.3">
      <c r="A515">
        <f t="shared" ref="A515:A578" si="64">YEAR(B515)*10000+MONTH(B515)*100+DAY(B515)</f>
        <v>20210526</v>
      </c>
      <c r="B515" s="193">
        <v>44342</v>
      </c>
      <c r="C515" s="196" t="str">
        <f t="shared" si="63"/>
        <v>26 May 2021</v>
      </c>
      <c r="D515">
        <f t="shared" ref="D515:D578" si="65">MONTH(B515)</f>
        <v>5</v>
      </c>
      <c r="E515" t="str">
        <f t="shared" ref="E515:E578" si="66">TEXT(B515,"MMMM")</f>
        <v>May</v>
      </c>
      <c r="F515" s="128">
        <f t="shared" ref="F515:F578" si="67">YEAR(B515)</f>
        <v>2021</v>
      </c>
      <c r="G515" s="194" t="str">
        <f t="shared" ref="G515:G578" si="68">TEXT(B515,"YYYY-MM")</f>
        <v>2021-05</v>
      </c>
      <c r="H515" s="193">
        <f t="shared" ref="H515:H578" si="69">B515-WEEKDAY(B515)+7</f>
        <v>44345</v>
      </c>
      <c r="I515">
        <f t="shared" ref="I515:I578" si="70">WEEKNUM(B515,2)</f>
        <v>22</v>
      </c>
    </row>
    <row r="516" spans="1:9" x14ac:dyDescent="0.3">
      <c r="A516">
        <f t="shared" si="64"/>
        <v>20210527</v>
      </c>
      <c r="B516" s="193">
        <v>44343</v>
      </c>
      <c r="C516" s="196" t="str">
        <f t="shared" ref="C516:C579" si="71">TEXT(B516,"dd MMMM YYYY")</f>
        <v>27 May 2021</v>
      </c>
      <c r="D516">
        <f t="shared" si="65"/>
        <v>5</v>
      </c>
      <c r="E516" t="str">
        <f t="shared" si="66"/>
        <v>May</v>
      </c>
      <c r="F516" s="128">
        <f t="shared" si="67"/>
        <v>2021</v>
      </c>
      <c r="G516" s="194" t="str">
        <f t="shared" si="68"/>
        <v>2021-05</v>
      </c>
      <c r="H516" s="193">
        <f t="shared" si="69"/>
        <v>44345</v>
      </c>
      <c r="I516">
        <f t="shared" si="70"/>
        <v>22</v>
      </c>
    </row>
    <row r="517" spans="1:9" x14ac:dyDescent="0.3">
      <c r="A517">
        <f t="shared" si="64"/>
        <v>20210528</v>
      </c>
      <c r="B517" s="193">
        <v>44344</v>
      </c>
      <c r="C517" s="196" t="str">
        <f t="shared" si="71"/>
        <v>28 May 2021</v>
      </c>
      <c r="D517">
        <f t="shared" si="65"/>
        <v>5</v>
      </c>
      <c r="E517" t="str">
        <f t="shared" si="66"/>
        <v>May</v>
      </c>
      <c r="F517" s="128">
        <f t="shared" si="67"/>
        <v>2021</v>
      </c>
      <c r="G517" s="194" t="str">
        <f t="shared" si="68"/>
        <v>2021-05</v>
      </c>
      <c r="H517" s="193">
        <f t="shared" si="69"/>
        <v>44345</v>
      </c>
      <c r="I517">
        <f t="shared" si="70"/>
        <v>22</v>
      </c>
    </row>
    <row r="518" spans="1:9" x14ac:dyDescent="0.3">
      <c r="A518">
        <f t="shared" si="64"/>
        <v>20210529</v>
      </c>
      <c r="B518" s="193">
        <v>44345</v>
      </c>
      <c r="C518" s="196" t="str">
        <f t="shared" si="71"/>
        <v>29 May 2021</v>
      </c>
      <c r="D518">
        <f t="shared" si="65"/>
        <v>5</v>
      </c>
      <c r="E518" t="str">
        <f t="shared" si="66"/>
        <v>May</v>
      </c>
      <c r="F518" s="128">
        <f t="shared" si="67"/>
        <v>2021</v>
      </c>
      <c r="G518" s="194" t="str">
        <f t="shared" si="68"/>
        <v>2021-05</v>
      </c>
      <c r="H518" s="193">
        <f t="shared" si="69"/>
        <v>44345</v>
      </c>
      <c r="I518">
        <f t="shared" si="70"/>
        <v>22</v>
      </c>
    </row>
    <row r="519" spans="1:9" x14ac:dyDescent="0.3">
      <c r="A519">
        <f t="shared" si="64"/>
        <v>20210530</v>
      </c>
      <c r="B519" s="193">
        <v>44346</v>
      </c>
      <c r="C519" s="196" t="str">
        <f t="shared" si="71"/>
        <v>30 May 2021</v>
      </c>
      <c r="D519">
        <f t="shared" si="65"/>
        <v>5</v>
      </c>
      <c r="E519" t="str">
        <f t="shared" si="66"/>
        <v>May</v>
      </c>
      <c r="F519" s="128">
        <f t="shared" si="67"/>
        <v>2021</v>
      </c>
      <c r="G519" s="194" t="str">
        <f t="shared" si="68"/>
        <v>2021-05</v>
      </c>
      <c r="H519" s="193">
        <f t="shared" si="69"/>
        <v>44352</v>
      </c>
      <c r="I519">
        <f t="shared" si="70"/>
        <v>22</v>
      </c>
    </row>
    <row r="520" spans="1:9" x14ac:dyDescent="0.3">
      <c r="A520">
        <f t="shared" si="64"/>
        <v>20210531</v>
      </c>
      <c r="B520" s="193">
        <v>44347</v>
      </c>
      <c r="C520" s="196" t="str">
        <f t="shared" si="71"/>
        <v>31 May 2021</v>
      </c>
      <c r="D520">
        <f t="shared" si="65"/>
        <v>5</v>
      </c>
      <c r="E520" t="str">
        <f t="shared" si="66"/>
        <v>May</v>
      </c>
      <c r="F520" s="128">
        <f t="shared" si="67"/>
        <v>2021</v>
      </c>
      <c r="G520" s="194" t="str">
        <f t="shared" si="68"/>
        <v>2021-05</v>
      </c>
      <c r="H520" s="193">
        <f t="shared" si="69"/>
        <v>44352</v>
      </c>
      <c r="I520">
        <f t="shared" si="70"/>
        <v>23</v>
      </c>
    </row>
    <row r="521" spans="1:9" x14ac:dyDescent="0.3">
      <c r="A521">
        <f t="shared" si="64"/>
        <v>20210601</v>
      </c>
      <c r="B521" s="193">
        <v>44348</v>
      </c>
      <c r="C521" s="196" t="str">
        <f t="shared" si="71"/>
        <v>01 June 2021</v>
      </c>
      <c r="D521">
        <f t="shared" si="65"/>
        <v>6</v>
      </c>
      <c r="E521" t="str">
        <f t="shared" si="66"/>
        <v>June</v>
      </c>
      <c r="F521" s="128">
        <f t="shared" si="67"/>
        <v>2021</v>
      </c>
      <c r="G521" s="194" t="str">
        <f t="shared" si="68"/>
        <v>2021-06</v>
      </c>
      <c r="H521" s="193">
        <f t="shared" si="69"/>
        <v>44352</v>
      </c>
      <c r="I521">
        <f t="shared" si="70"/>
        <v>23</v>
      </c>
    </row>
    <row r="522" spans="1:9" x14ac:dyDescent="0.3">
      <c r="A522">
        <f t="shared" si="64"/>
        <v>20210602</v>
      </c>
      <c r="B522" s="193">
        <v>44349</v>
      </c>
      <c r="C522" s="196" t="str">
        <f t="shared" si="71"/>
        <v>02 June 2021</v>
      </c>
      <c r="D522">
        <f t="shared" si="65"/>
        <v>6</v>
      </c>
      <c r="E522" t="str">
        <f t="shared" si="66"/>
        <v>June</v>
      </c>
      <c r="F522" s="128">
        <f t="shared" si="67"/>
        <v>2021</v>
      </c>
      <c r="G522" s="194" t="str">
        <f t="shared" si="68"/>
        <v>2021-06</v>
      </c>
      <c r="H522" s="193">
        <f t="shared" si="69"/>
        <v>44352</v>
      </c>
      <c r="I522">
        <f t="shared" si="70"/>
        <v>23</v>
      </c>
    </row>
    <row r="523" spans="1:9" x14ac:dyDescent="0.3">
      <c r="A523">
        <f t="shared" si="64"/>
        <v>20210603</v>
      </c>
      <c r="B523" s="193">
        <v>44350</v>
      </c>
      <c r="C523" s="196" t="str">
        <f t="shared" si="71"/>
        <v>03 June 2021</v>
      </c>
      <c r="D523">
        <f t="shared" si="65"/>
        <v>6</v>
      </c>
      <c r="E523" t="str">
        <f t="shared" si="66"/>
        <v>June</v>
      </c>
      <c r="F523" s="128">
        <f t="shared" si="67"/>
        <v>2021</v>
      </c>
      <c r="G523" s="194" t="str">
        <f t="shared" si="68"/>
        <v>2021-06</v>
      </c>
      <c r="H523" s="193">
        <f t="shared" si="69"/>
        <v>44352</v>
      </c>
      <c r="I523">
        <f t="shared" si="70"/>
        <v>23</v>
      </c>
    </row>
    <row r="524" spans="1:9" x14ac:dyDescent="0.3">
      <c r="A524">
        <f t="shared" si="64"/>
        <v>20210604</v>
      </c>
      <c r="B524" s="193">
        <v>44351</v>
      </c>
      <c r="C524" s="196" t="str">
        <f t="shared" si="71"/>
        <v>04 June 2021</v>
      </c>
      <c r="D524">
        <f t="shared" si="65"/>
        <v>6</v>
      </c>
      <c r="E524" t="str">
        <f t="shared" si="66"/>
        <v>June</v>
      </c>
      <c r="F524" s="128">
        <f t="shared" si="67"/>
        <v>2021</v>
      </c>
      <c r="G524" s="194" t="str">
        <f t="shared" si="68"/>
        <v>2021-06</v>
      </c>
      <c r="H524" s="193">
        <f t="shared" si="69"/>
        <v>44352</v>
      </c>
      <c r="I524">
        <f t="shared" si="70"/>
        <v>23</v>
      </c>
    </row>
    <row r="525" spans="1:9" x14ac:dyDescent="0.3">
      <c r="A525">
        <f t="shared" si="64"/>
        <v>20210605</v>
      </c>
      <c r="B525" s="193">
        <v>44352</v>
      </c>
      <c r="C525" s="196" t="str">
        <f t="shared" si="71"/>
        <v>05 June 2021</v>
      </c>
      <c r="D525">
        <f t="shared" si="65"/>
        <v>6</v>
      </c>
      <c r="E525" t="str">
        <f t="shared" si="66"/>
        <v>June</v>
      </c>
      <c r="F525" s="128">
        <f t="shared" si="67"/>
        <v>2021</v>
      </c>
      <c r="G525" s="194" t="str">
        <f t="shared" si="68"/>
        <v>2021-06</v>
      </c>
      <c r="H525" s="193">
        <f t="shared" si="69"/>
        <v>44352</v>
      </c>
      <c r="I525">
        <f t="shared" si="70"/>
        <v>23</v>
      </c>
    </row>
    <row r="526" spans="1:9" x14ac:dyDescent="0.3">
      <c r="A526">
        <f t="shared" si="64"/>
        <v>20210606</v>
      </c>
      <c r="B526" s="193">
        <v>44353</v>
      </c>
      <c r="C526" s="196" t="str">
        <f t="shared" si="71"/>
        <v>06 June 2021</v>
      </c>
      <c r="D526">
        <f t="shared" si="65"/>
        <v>6</v>
      </c>
      <c r="E526" t="str">
        <f t="shared" si="66"/>
        <v>June</v>
      </c>
      <c r="F526" s="128">
        <f t="shared" si="67"/>
        <v>2021</v>
      </c>
      <c r="G526" s="194" t="str">
        <f t="shared" si="68"/>
        <v>2021-06</v>
      </c>
      <c r="H526" s="193">
        <f t="shared" si="69"/>
        <v>44359</v>
      </c>
      <c r="I526">
        <f t="shared" si="70"/>
        <v>23</v>
      </c>
    </row>
    <row r="527" spans="1:9" x14ac:dyDescent="0.3">
      <c r="A527">
        <f t="shared" si="64"/>
        <v>20210607</v>
      </c>
      <c r="B527" s="193">
        <v>44354</v>
      </c>
      <c r="C527" s="196" t="str">
        <f t="shared" si="71"/>
        <v>07 June 2021</v>
      </c>
      <c r="D527">
        <f t="shared" si="65"/>
        <v>6</v>
      </c>
      <c r="E527" t="str">
        <f t="shared" si="66"/>
        <v>June</v>
      </c>
      <c r="F527" s="128">
        <f t="shared" si="67"/>
        <v>2021</v>
      </c>
      <c r="G527" s="194" t="str">
        <f t="shared" si="68"/>
        <v>2021-06</v>
      </c>
      <c r="H527" s="193">
        <f t="shared" si="69"/>
        <v>44359</v>
      </c>
      <c r="I527">
        <f t="shared" si="70"/>
        <v>24</v>
      </c>
    </row>
    <row r="528" spans="1:9" x14ac:dyDescent="0.3">
      <c r="A528">
        <f t="shared" si="64"/>
        <v>20210608</v>
      </c>
      <c r="B528" s="193">
        <v>44355</v>
      </c>
      <c r="C528" s="196" t="str">
        <f t="shared" si="71"/>
        <v>08 June 2021</v>
      </c>
      <c r="D528">
        <f t="shared" si="65"/>
        <v>6</v>
      </c>
      <c r="E528" t="str">
        <f t="shared" si="66"/>
        <v>June</v>
      </c>
      <c r="F528" s="128">
        <f t="shared" si="67"/>
        <v>2021</v>
      </c>
      <c r="G528" s="194" t="str">
        <f t="shared" si="68"/>
        <v>2021-06</v>
      </c>
      <c r="H528" s="193">
        <f t="shared" si="69"/>
        <v>44359</v>
      </c>
      <c r="I528">
        <f t="shared" si="70"/>
        <v>24</v>
      </c>
    </row>
    <row r="529" spans="1:9" x14ac:dyDescent="0.3">
      <c r="A529">
        <f t="shared" si="64"/>
        <v>20210609</v>
      </c>
      <c r="B529" s="193">
        <v>44356</v>
      </c>
      <c r="C529" s="196" t="str">
        <f t="shared" si="71"/>
        <v>09 June 2021</v>
      </c>
      <c r="D529">
        <f t="shared" si="65"/>
        <v>6</v>
      </c>
      <c r="E529" t="str">
        <f t="shared" si="66"/>
        <v>June</v>
      </c>
      <c r="F529" s="128">
        <f t="shared" si="67"/>
        <v>2021</v>
      </c>
      <c r="G529" s="194" t="str">
        <f t="shared" si="68"/>
        <v>2021-06</v>
      </c>
      <c r="H529" s="193">
        <f t="shared" si="69"/>
        <v>44359</v>
      </c>
      <c r="I529">
        <f t="shared" si="70"/>
        <v>24</v>
      </c>
    </row>
    <row r="530" spans="1:9" x14ac:dyDescent="0.3">
      <c r="A530">
        <f t="shared" si="64"/>
        <v>20210610</v>
      </c>
      <c r="B530" s="193">
        <v>44357</v>
      </c>
      <c r="C530" s="196" t="str">
        <f t="shared" si="71"/>
        <v>10 June 2021</v>
      </c>
      <c r="D530">
        <f t="shared" si="65"/>
        <v>6</v>
      </c>
      <c r="E530" t="str">
        <f t="shared" si="66"/>
        <v>June</v>
      </c>
      <c r="F530" s="128">
        <f t="shared" si="67"/>
        <v>2021</v>
      </c>
      <c r="G530" s="194" t="str">
        <f t="shared" si="68"/>
        <v>2021-06</v>
      </c>
      <c r="H530" s="193">
        <f t="shared" si="69"/>
        <v>44359</v>
      </c>
      <c r="I530">
        <f t="shared" si="70"/>
        <v>24</v>
      </c>
    </row>
    <row r="531" spans="1:9" x14ac:dyDescent="0.3">
      <c r="A531">
        <f t="shared" si="64"/>
        <v>20210611</v>
      </c>
      <c r="B531" s="193">
        <v>44358</v>
      </c>
      <c r="C531" s="196" t="str">
        <f t="shared" si="71"/>
        <v>11 June 2021</v>
      </c>
      <c r="D531">
        <f t="shared" si="65"/>
        <v>6</v>
      </c>
      <c r="E531" t="str">
        <f t="shared" si="66"/>
        <v>June</v>
      </c>
      <c r="F531" s="128">
        <f t="shared" si="67"/>
        <v>2021</v>
      </c>
      <c r="G531" s="194" t="str">
        <f t="shared" si="68"/>
        <v>2021-06</v>
      </c>
      <c r="H531" s="193">
        <f t="shared" si="69"/>
        <v>44359</v>
      </c>
      <c r="I531">
        <f t="shared" si="70"/>
        <v>24</v>
      </c>
    </row>
    <row r="532" spans="1:9" x14ac:dyDescent="0.3">
      <c r="A532">
        <f t="shared" si="64"/>
        <v>20210612</v>
      </c>
      <c r="B532" s="193">
        <v>44359</v>
      </c>
      <c r="C532" s="196" t="str">
        <f t="shared" si="71"/>
        <v>12 June 2021</v>
      </c>
      <c r="D532">
        <f t="shared" si="65"/>
        <v>6</v>
      </c>
      <c r="E532" t="str">
        <f t="shared" si="66"/>
        <v>June</v>
      </c>
      <c r="F532" s="128">
        <f t="shared" si="67"/>
        <v>2021</v>
      </c>
      <c r="G532" s="194" t="str">
        <f t="shared" si="68"/>
        <v>2021-06</v>
      </c>
      <c r="H532" s="193">
        <f t="shared" si="69"/>
        <v>44359</v>
      </c>
      <c r="I532">
        <f t="shared" si="70"/>
        <v>24</v>
      </c>
    </row>
    <row r="533" spans="1:9" x14ac:dyDescent="0.3">
      <c r="A533">
        <f t="shared" si="64"/>
        <v>20210613</v>
      </c>
      <c r="B533" s="193">
        <v>44360</v>
      </c>
      <c r="C533" s="196" t="str">
        <f t="shared" si="71"/>
        <v>13 June 2021</v>
      </c>
      <c r="D533">
        <f t="shared" si="65"/>
        <v>6</v>
      </c>
      <c r="E533" t="str">
        <f t="shared" si="66"/>
        <v>June</v>
      </c>
      <c r="F533" s="128">
        <f t="shared" si="67"/>
        <v>2021</v>
      </c>
      <c r="G533" s="194" t="str">
        <f t="shared" si="68"/>
        <v>2021-06</v>
      </c>
      <c r="H533" s="193">
        <f t="shared" si="69"/>
        <v>44366</v>
      </c>
      <c r="I533">
        <f t="shared" si="70"/>
        <v>24</v>
      </c>
    </row>
    <row r="534" spans="1:9" x14ac:dyDescent="0.3">
      <c r="A534">
        <f t="shared" si="64"/>
        <v>20210614</v>
      </c>
      <c r="B534" s="193">
        <v>44361</v>
      </c>
      <c r="C534" s="196" t="str">
        <f t="shared" si="71"/>
        <v>14 June 2021</v>
      </c>
      <c r="D534">
        <f t="shared" si="65"/>
        <v>6</v>
      </c>
      <c r="E534" t="str">
        <f t="shared" si="66"/>
        <v>June</v>
      </c>
      <c r="F534" s="128">
        <f t="shared" si="67"/>
        <v>2021</v>
      </c>
      <c r="G534" s="194" t="str">
        <f t="shared" si="68"/>
        <v>2021-06</v>
      </c>
      <c r="H534" s="193">
        <f t="shared" si="69"/>
        <v>44366</v>
      </c>
      <c r="I534">
        <f t="shared" si="70"/>
        <v>25</v>
      </c>
    </row>
    <row r="535" spans="1:9" x14ac:dyDescent="0.3">
      <c r="A535">
        <f t="shared" si="64"/>
        <v>20210615</v>
      </c>
      <c r="B535" s="193">
        <v>44362</v>
      </c>
      <c r="C535" s="196" t="str">
        <f t="shared" si="71"/>
        <v>15 June 2021</v>
      </c>
      <c r="D535">
        <f t="shared" si="65"/>
        <v>6</v>
      </c>
      <c r="E535" t="str">
        <f t="shared" si="66"/>
        <v>June</v>
      </c>
      <c r="F535" s="128">
        <f t="shared" si="67"/>
        <v>2021</v>
      </c>
      <c r="G535" s="194" t="str">
        <f t="shared" si="68"/>
        <v>2021-06</v>
      </c>
      <c r="H535" s="193">
        <f t="shared" si="69"/>
        <v>44366</v>
      </c>
      <c r="I535">
        <f t="shared" si="70"/>
        <v>25</v>
      </c>
    </row>
    <row r="536" spans="1:9" x14ac:dyDescent="0.3">
      <c r="A536">
        <f t="shared" si="64"/>
        <v>20210616</v>
      </c>
      <c r="B536" s="193">
        <v>44363</v>
      </c>
      <c r="C536" s="196" t="str">
        <f t="shared" si="71"/>
        <v>16 June 2021</v>
      </c>
      <c r="D536">
        <f t="shared" si="65"/>
        <v>6</v>
      </c>
      <c r="E536" t="str">
        <f t="shared" si="66"/>
        <v>June</v>
      </c>
      <c r="F536" s="128">
        <f t="shared" si="67"/>
        <v>2021</v>
      </c>
      <c r="G536" s="194" t="str">
        <f t="shared" si="68"/>
        <v>2021-06</v>
      </c>
      <c r="H536" s="193">
        <f t="shared" si="69"/>
        <v>44366</v>
      </c>
      <c r="I536">
        <f t="shared" si="70"/>
        <v>25</v>
      </c>
    </row>
    <row r="537" spans="1:9" x14ac:dyDescent="0.3">
      <c r="A537">
        <f t="shared" si="64"/>
        <v>20210617</v>
      </c>
      <c r="B537" s="193">
        <v>44364</v>
      </c>
      <c r="C537" s="196" t="str">
        <f t="shared" si="71"/>
        <v>17 June 2021</v>
      </c>
      <c r="D537">
        <f t="shared" si="65"/>
        <v>6</v>
      </c>
      <c r="E537" t="str">
        <f t="shared" si="66"/>
        <v>June</v>
      </c>
      <c r="F537" s="128">
        <f t="shared" si="67"/>
        <v>2021</v>
      </c>
      <c r="G537" s="194" t="str">
        <f t="shared" si="68"/>
        <v>2021-06</v>
      </c>
      <c r="H537" s="193">
        <f t="shared" si="69"/>
        <v>44366</v>
      </c>
      <c r="I537">
        <f t="shared" si="70"/>
        <v>25</v>
      </c>
    </row>
    <row r="538" spans="1:9" x14ac:dyDescent="0.3">
      <c r="A538">
        <f t="shared" si="64"/>
        <v>20210618</v>
      </c>
      <c r="B538" s="193">
        <v>44365</v>
      </c>
      <c r="C538" s="196" t="str">
        <f t="shared" si="71"/>
        <v>18 June 2021</v>
      </c>
      <c r="D538">
        <f t="shared" si="65"/>
        <v>6</v>
      </c>
      <c r="E538" t="str">
        <f t="shared" si="66"/>
        <v>June</v>
      </c>
      <c r="F538" s="128">
        <f t="shared" si="67"/>
        <v>2021</v>
      </c>
      <c r="G538" s="194" t="str">
        <f t="shared" si="68"/>
        <v>2021-06</v>
      </c>
      <c r="H538" s="193">
        <f t="shared" si="69"/>
        <v>44366</v>
      </c>
      <c r="I538">
        <f t="shared" si="70"/>
        <v>25</v>
      </c>
    </row>
    <row r="539" spans="1:9" x14ac:dyDescent="0.3">
      <c r="A539">
        <f t="shared" si="64"/>
        <v>20210619</v>
      </c>
      <c r="B539" s="193">
        <v>44366</v>
      </c>
      <c r="C539" s="196" t="str">
        <f t="shared" si="71"/>
        <v>19 June 2021</v>
      </c>
      <c r="D539">
        <f t="shared" si="65"/>
        <v>6</v>
      </c>
      <c r="E539" t="str">
        <f t="shared" si="66"/>
        <v>June</v>
      </c>
      <c r="F539" s="128">
        <f t="shared" si="67"/>
        <v>2021</v>
      </c>
      <c r="G539" s="194" t="str">
        <f t="shared" si="68"/>
        <v>2021-06</v>
      </c>
      <c r="H539" s="193">
        <f t="shared" si="69"/>
        <v>44366</v>
      </c>
      <c r="I539">
        <f t="shared" si="70"/>
        <v>25</v>
      </c>
    </row>
    <row r="540" spans="1:9" x14ac:dyDescent="0.3">
      <c r="A540">
        <f t="shared" si="64"/>
        <v>20210620</v>
      </c>
      <c r="B540" s="193">
        <v>44367</v>
      </c>
      <c r="C540" s="196" t="str">
        <f t="shared" si="71"/>
        <v>20 June 2021</v>
      </c>
      <c r="D540">
        <f t="shared" si="65"/>
        <v>6</v>
      </c>
      <c r="E540" t="str">
        <f t="shared" si="66"/>
        <v>June</v>
      </c>
      <c r="F540" s="128">
        <f t="shared" si="67"/>
        <v>2021</v>
      </c>
      <c r="G540" s="194" t="str">
        <f t="shared" si="68"/>
        <v>2021-06</v>
      </c>
      <c r="H540" s="193">
        <f t="shared" si="69"/>
        <v>44373</v>
      </c>
      <c r="I540">
        <f t="shared" si="70"/>
        <v>25</v>
      </c>
    </row>
    <row r="541" spans="1:9" x14ac:dyDescent="0.3">
      <c r="A541">
        <f t="shared" si="64"/>
        <v>20210621</v>
      </c>
      <c r="B541" s="193">
        <v>44368</v>
      </c>
      <c r="C541" s="196" t="str">
        <f t="shared" si="71"/>
        <v>21 June 2021</v>
      </c>
      <c r="D541">
        <f t="shared" si="65"/>
        <v>6</v>
      </c>
      <c r="E541" t="str">
        <f t="shared" si="66"/>
        <v>June</v>
      </c>
      <c r="F541" s="128">
        <f t="shared" si="67"/>
        <v>2021</v>
      </c>
      <c r="G541" s="194" t="str">
        <f t="shared" si="68"/>
        <v>2021-06</v>
      </c>
      <c r="H541" s="193">
        <f t="shared" si="69"/>
        <v>44373</v>
      </c>
      <c r="I541">
        <f t="shared" si="70"/>
        <v>26</v>
      </c>
    </row>
    <row r="542" spans="1:9" x14ac:dyDescent="0.3">
      <c r="A542">
        <f t="shared" si="64"/>
        <v>20210622</v>
      </c>
      <c r="B542" s="193">
        <v>44369</v>
      </c>
      <c r="C542" s="196" t="str">
        <f t="shared" si="71"/>
        <v>22 June 2021</v>
      </c>
      <c r="D542">
        <f t="shared" si="65"/>
        <v>6</v>
      </c>
      <c r="E542" t="str">
        <f t="shared" si="66"/>
        <v>June</v>
      </c>
      <c r="F542" s="128">
        <f t="shared" si="67"/>
        <v>2021</v>
      </c>
      <c r="G542" s="194" t="str">
        <f t="shared" si="68"/>
        <v>2021-06</v>
      </c>
      <c r="H542" s="193">
        <f t="shared" si="69"/>
        <v>44373</v>
      </c>
      <c r="I542">
        <f t="shared" si="70"/>
        <v>26</v>
      </c>
    </row>
    <row r="543" spans="1:9" x14ac:dyDescent="0.3">
      <c r="A543">
        <f t="shared" si="64"/>
        <v>20210623</v>
      </c>
      <c r="B543" s="193">
        <v>44370</v>
      </c>
      <c r="C543" s="196" t="str">
        <f t="shared" si="71"/>
        <v>23 June 2021</v>
      </c>
      <c r="D543">
        <f t="shared" si="65"/>
        <v>6</v>
      </c>
      <c r="E543" t="str">
        <f t="shared" si="66"/>
        <v>June</v>
      </c>
      <c r="F543" s="128">
        <f t="shared" si="67"/>
        <v>2021</v>
      </c>
      <c r="G543" s="194" t="str">
        <f t="shared" si="68"/>
        <v>2021-06</v>
      </c>
      <c r="H543" s="193">
        <f t="shared" si="69"/>
        <v>44373</v>
      </c>
      <c r="I543">
        <f t="shared" si="70"/>
        <v>26</v>
      </c>
    </row>
    <row r="544" spans="1:9" x14ac:dyDescent="0.3">
      <c r="A544">
        <f t="shared" si="64"/>
        <v>20210624</v>
      </c>
      <c r="B544" s="193">
        <v>44371</v>
      </c>
      <c r="C544" s="196" t="str">
        <f t="shared" si="71"/>
        <v>24 June 2021</v>
      </c>
      <c r="D544">
        <f t="shared" si="65"/>
        <v>6</v>
      </c>
      <c r="E544" t="str">
        <f t="shared" si="66"/>
        <v>June</v>
      </c>
      <c r="F544" s="128">
        <f t="shared" si="67"/>
        <v>2021</v>
      </c>
      <c r="G544" s="194" t="str">
        <f t="shared" si="68"/>
        <v>2021-06</v>
      </c>
      <c r="H544" s="193">
        <f t="shared" si="69"/>
        <v>44373</v>
      </c>
      <c r="I544">
        <f t="shared" si="70"/>
        <v>26</v>
      </c>
    </row>
    <row r="545" spans="1:9" x14ac:dyDescent="0.3">
      <c r="A545">
        <f t="shared" si="64"/>
        <v>20210625</v>
      </c>
      <c r="B545" s="193">
        <v>44372</v>
      </c>
      <c r="C545" s="196" t="str">
        <f t="shared" si="71"/>
        <v>25 June 2021</v>
      </c>
      <c r="D545">
        <f t="shared" si="65"/>
        <v>6</v>
      </c>
      <c r="E545" t="str">
        <f t="shared" si="66"/>
        <v>June</v>
      </c>
      <c r="F545" s="128">
        <f t="shared" si="67"/>
        <v>2021</v>
      </c>
      <c r="G545" s="194" t="str">
        <f t="shared" si="68"/>
        <v>2021-06</v>
      </c>
      <c r="H545" s="193">
        <f t="shared" si="69"/>
        <v>44373</v>
      </c>
      <c r="I545">
        <f t="shared" si="70"/>
        <v>26</v>
      </c>
    </row>
    <row r="546" spans="1:9" x14ac:dyDescent="0.3">
      <c r="A546">
        <f t="shared" si="64"/>
        <v>20210626</v>
      </c>
      <c r="B546" s="193">
        <v>44373</v>
      </c>
      <c r="C546" s="196" t="str">
        <f t="shared" si="71"/>
        <v>26 June 2021</v>
      </c>
      <c r="D546">
        <f t="shared" si="65"/>
        <v>6</v>
      </c>
      <c r="E546" t="str">
        <f t="shared" si="66"/>
        <v>June</v>
      </c>
      <c r="F546" s="128">
        <f t="shared" si="67"/>
        <v>2021</v>
      </c>
      <c r="G546" s="194" t="str">
        <f t="shared" si="68"/>
        <v>2021-06</v>
      </c>
      <c r="H546" s="193">
        <f t="shared" si="69"/>
        <v>44373</v>
      </c>
      <c r="I546">
        <f t="shared" si="70"/>
        <v>26</v>
      </c>
    </row>
    <row r="547" spans="1:9" x14ac:dyDescent="0.3">
      <c r="A547">
        <f t="shared" si="64"/>
        <v>20210627</v>
      </c>
      <c r="B547" s="193">
        <v>44374</v>
      </c>
      <c r="C547" s="196" t="str">
        <f t="shared" si="71"/>
        <v>27 June 2021</v>
      </c>
      <c r="D547">
        <f t="shared" si="65"/>
        <v>6</v>
      </c>
      <c r="E547" t="str">
        <f t="shared" si="66"/>
        <v>June</v>
      </c>
      <c r="F547" s="128">
        <f t="shared" si="67"/>
        <v>2021</v>
      </c>
      <c r="G547" s="194" t="str">
        <f t="shared" si="68"/>
        <v>2021-06</v>
      </c>
      <c r="H547" s="193">
        <f t="shared" si="69"/>
        <v>44380</v>
      </c>
      <c r="I547">
        <f t="shared" si="70"/>
        <v>26</v>
      </c>
    </row>
    <row r="548" spans="1:9" x14ac:dyDescent="0.3">
      <c r="A548">
        <f t="shared" si="64"/>
        <v>20210628</v>
      </c>
      <c r="B548" s="193">
        <v>44375</v>
      </c>
      <c r="C548" s="196" t="str">
        <f t="shared" si="71"/>
        <v>28 June 2021</v>
      </c>
      <c r="D548">
        <f t="shared" si="65"/>
        <v>6</v>
      </c>
      <c r="E548" t="str">
        <f t="shared" si="66"/>
        <v>June</v>
      </c>
      <c r="F548" s="128">
        <f t="shared" si="67"/>
        <v>2021</v>
      </c>
      <c r="G548" s="194" t="str">
        <f t="shared" si="68"/>
        <v>2021-06</v>
      </c>
      <c r="H548" s="193">
        <f t="shared" si="69"/>
        <v>44380</v>
      </c>
      <c r="I548">
        <f t="shared" si="70"/>
        <v>27</v>
      </c>
    </row>
    <row r="549" spans="1:9" x14ac:dyDescent="0.3">
      <c r="A549">
        <f t="shared" si="64"/>
        <v>20210629</v>
      </c>
      <c r="B549" s="193">
        <v>44376</v>
      </c>
      <c r="C549" s="196" t="str">
        <f t="shared" si="71"/>
        <v>29 June 2021</v>
      </c>
      <c r="D549">
        <f t="shared" si="65"/>
        <v>6</v>
      </c>
      <c r="E549" t="str">
        <f t="shared" si="66"/>
        <v>June</v>
      </c>
      <c r="F549" s="128">
        <f t="shared" si="67"/>
        <v>2021</v>
      </c>
      <c r="G549" s="194" t="str">
        <f t="shared" si="68"/>
        <v>2021-06</v>
      </c>
      <c r="H549" s="193">
        <f t="shared" si="69"/>
        <v>44380</v>
      </c>
      <c r="I549">
        <f t="shared" si="70"/>
        <v>27</v>
      </c>
    </row>
    <row r="550" spans="1:9" x14ac:dyDescent="0.3">
      <c r="A550">
        <f t="shared" si="64"/>
        <v>20210630</v>
      </c>
      <c r="B550" s="193">
        <v>44377</v>
      </c>
      <c r="C550" s="196" t="str">
        <f t="shared" si="71"/>
        <v>30 June 2021</v>
      </c>
      <c r="D550">
        <f t="shared" si="65"/>
        <v>6</v>
      </c>
      <c r="E550" t="str">
        <f t="shared" si="66"/>
        <v>June</v>
      </c>
      <c r="F550" s="128">
        <f t="shared" si="67"/>
        <v>2021</v>
      </c>
      <c r="G550" s="194" t="str">
        <f t="shared" si="68"/>
        <v>2021-06</v>
      </c>
      <c r="H550" s="193">
        <f t="shared" si="69"/>
        <v>44380</v>
      </c>
      <c r="I550">
        <f t="shared" si="70"/>
        <v>27</v>
      </c>
    </row>
    <row r="551" spans="1:9" x14ac:dyDescent="0.3">
      <c r="A551">
        <f t="shared" si="64"/>
        <v>20210701</v>
      </c>
      <c r="B551" s="193">
        <v>44378</v>
      </c>
      <c r="C551" s="196" t="str">
        <f t="shared" si="71"/>
        <v>01 July 2021</v>
      </c>
      <c r="D551">
        <f t="shared" si="65"/>
        <v>7</v>
      </c>
      <c r="E551" t="str">
        <f t="shared" si="66"/>
        <v>July</v>
      </c>
      <c r="F551" s="128">
        <f t="shared" si="67"/>
        <v>2021</v>
      </c>
      <c r="G551" s="194" t="str">
        <f t="shared" si="68"/>
        <v>2021-07</v>
      </c>
      <c r="H551" s="193">
        <f t="shared" si="69"/>
        <v>44380</v>
      </c>
      <c r="I551">
        <f t="shared" si="70"/>
        <v>27</v>
      </c>
    </row>
    <row r="552" spans="1:9" x14ac:dyDescent="0.3">
      <c r="A552">
        <f t="shared" si="64"/>
        <v>20210702</v>
      </c>
      <c r="B552" s="193">
        <v>44379</v>
      </c>
      <c r="C552" s="196" t="str">
        <f t="shared" si="71"/>
        <v>02 July 2021</v>
      </c>
      <c r="D552">
        <f t="shared" si="65"/>
        <v>7</v>
      </c>
      <c r="E552" t="str">
        <f t="shared" si="66"/>
        <v>July</v>
      </c>
      <c r="F552" s="128">
        <f t="shared" si="67"/>
        <v>2021</v>
      </c>
      <c r="G552" s="194" t="str">
        <f t="shared" si="68"/>
        <v>2021-07</v>
      </c>
      <c r="H552" s="193">
        <f t="shared" si="69"/>
        <v>44380</v>
      </c>
      <c r="I552">
        <f t="shared" si="70"/>
        <v>27</v>
      </c>
    </row>
    <row r="553" spans="1:9" x14ac:dyDescent="0.3">
      <c r="A553">
        <f t="shared" si="64"/>
        <v>20210703</v>
      </c>
      <c r="B553" s="193">
        <v>44380</v>
      </c>
      <c r="C553" s="196" t="str">
        <f t="shared" si="71"/>
        <v>03 July 2021</v>
      </c>
      <c r="D553">
        <f t="shared" si="65"/>
        <v>7</v>
      </c>
      <c r="E553" t="str">
        <f t="shared" si="66"/>
        <v>July</v>
      </c>
      <c r="F553" s="128">
        <f t="shared" si="67"/>
        <v>2021</v>
      </c>
      <c r="G553" s="194" t="str">
        <f t="shared" si="68"/>
        <v>2021-07</v>
      </c>
      <c r="H553" s="193">
        <f t="shared" si="69"/>
        <v>44380</v>
      </c>
      <c r="I553">
        <f t="shared" si="70"/>
        <v>27</v>
      </c>
    </row>
    <row r="554" spans="1:9" x14ac:dyDescent="0.3">
      <c r="A554">
        <f t="shared" si="64"/>
        <v>20210704</v>
      </c>
      <c r="B554" s="193">
        <v>44381</v>
      </c>
      <c r="C554" s="196" t="str">
        <f t="shared" si="71"/>
        <v>04 July 2021</v>
      </c>
      <c r="D554">
        <f t="shared" si="65"/>
        <v>7</v>
      </c>
      <c r="E554" t="str">
        <f t="shared" si="66"/>
        <v>July</v>
      </c>
      <c r="F554" s="128">
        <f t="shared" si="67"/>
        <v>2021</v>
      </c>
      <c r="G554" s="194" t="str">
        <f t="shared" si="68"/>
        <v>2021-07</v>
      </c>
      <c r="H554" s="193">
        <f t="shared" si="69"/>
        <v>44387</v>
      </c>
      <c r="I554">
        <f t="shared" si="70"/>
        <v>27</v>
      </c>
    </row>
    <row r="555" spans="1:9" x14ac:dyDescent="0.3">
      <c r="A555">
        <f t="shared" si="64"/>
        <v>20210705</v>
      </c>
      <c r="B555" s="193">
        <v>44382</v>
      </c>
      <c r="C555" s="196" t="str">
        <f t="shared" si="71"/>
        <v>05 July 2021</v>
      </c>
      <c r="D555">
        <f t="shared" si="65"/>
        <v>7</v>
      </c>
      <c r="E555" t="str">
        <f t="shared" si="66"/>
        <v>July</v>
      </c>
      <c r="F555" s="128">
        <f t="shared" si="67"/>
        <v>2021</v>
      </c>
      <c r="G555" s="194" t="str">
        <f t="shared" si="68"/>
        <v>2021-07</v>
      </c>
      <c r="H555" s="193">
        <f t="shared" si="69"/>
        <v>44387</v>
      </c>
      <c r="I555">
        <f t="shared" si="70"/>
        <v>28</v>
      </c>
    </row>
    <row r="556" spans="1:9" x14ac:dyDescent="0.3">
      <c r="A556">
        <f t="shared" si="64"/>
        <v>20210706</v>
      </c>
      <c r="B556" s="193">
        <v>44383</v>
      </c>
      <c r="C556" s="196" t="str">
        <f t="shared" si="71"/>
        <v>06 July 2021</v>
      </c>
      <c r="D556">
        <f t="shared" si="65"/>
        <v>7</v>
      </c>
      <c r="E556" t="str">
        <f t="shared" si="66"/>
        <v>July</v>
      </c>
      <c r="F556" s="128">
        <f t="shared" si="67"/>
        <v>2021</v>
      </c>
      <c r="G556" s="194" t="str">
        <f t="shared" si="68"/>
        <v>2021-07</v>
      </c>
      <c r="H556" s="193">
        <f t="shared" si="69"/>
        <v>44387</v>
      </c>
      <c r="I556">
        <f t="shared" si="70"/>
        <v>28</v>
      </c>
    </row>
    <row r="557" spans="1:9" x14ac:dyDescent="0.3">
      <c r="A557">
        <f t="shared" si="64"/>
        <v>20210707</v>
      </c>
      <c r="B557" s="193">
        <v>44384</v>
      </c>
      <c r="C557" s="196" t="str">
        <f t="shared" si="71"/>
        <v>07 July 2021</v>
      </c>
      <c r="D557">
        <f t="shared" si="65"/>
        <v>7</v>
      </c>
      <c r="E557" t="str">
        <f t="shared" si="66"/>
        <v>July</v>
      </c>
      <c r="F557" s="128">
        <f t="shared" si="67"/>
        <v>2021</v>
      </c>
      <c r="G557" s="194" t="str">
        <f t="shared" si="68"/>
        <v>2021-07</v>
      </c>
      <c r="H557" s="193">
        <f t="shared" si="69"/>
        <v>44387</v>
      </c>
      <c r="I557">
        <f t="shared" si="70"/>
        <v>28</v>
      </c>
    </row>
    <row r="558" spans="1:9" x14ac:dyDescent="0.3">
      <c r="A558">
        <f t="shared" si="64"/>
        <v>20210708</v>
      </c>
      <c r="B558" s="193">
        <v>44385</v>
      </c>
      <c r="C558" s="196" t="str">
        <f t="shared" si="71"/>
        <v>08 July 2021</v>
      </c>
      <c r="D558">
        <f t="shared" si="65"/>
        <v>7</v>
      </c>
      <c r="E558" t="str">
        <f t="shared" si="66"/>
        <v>July</v>
      </c>
      <c r="F558" s="128">
        <f t="shared" si="67"/>
        <v>2021</v>
      </c>
      <c r="G558" s="194" t="str">
        <f t="shared" si="68"/>
        <v>2021-07</v>
      </c>
      <c r="H558" s="193">
        <f t="shared" si="69"/>
        <v>44387</v>
      </c>
      <c r="I558">
        <f t="shared" si="70"/>
        <v>28</v>
      </c>
    </row>
    <row r="559" spans="1:9" x14ac:dyDescent="0.3">
      <c r="A559">
        <f t="shared" si="64"/>
        <v>20210709</v>
      </c>
      <c r="B559" s="193">
        <v>44386</v>
      </c>
      <c r="C559" s="196" t="str">
        <f t="shared" si="71"/>
        <v>09 July 2021</v>
      </c>
      <c r="D559">
        <f t="shared" si="65"/>
        <v>7</v>
      </c>
      <c r="E559" t="str">
        <f t="shared" si="66"/>
        <v>July</v>
      </c>
      <c r="F559" s="128">
        <f t="shared" si="67"/>
        <v>2021</v>
      </c>
      <c r="G559" s="194" t="str">
        <f t="shared" si="68"/>
        <v>2021-07</v>
      </c>
      <c r="H559" s="193">
        <f t="shared" si="69"/>
        <v>44387</v>
      </c>
      <c r="I559">
        <f t="shared" si="70"/>
        <v>28</v>
      </c>
    </row>
    <row r="560" spans="1:9" x14ac:dyDescent="0.3">
      <c r="A560">
        <f t="shared" si="64"/>
        <v>20210710</v>
      </c>
      <c r="B560" s="193">
        <v>44387</v>
      </c>
      <c r="C560" s="196" t="str">
        <f t="shared" si="71"/>
        <v>10 July 2021</v>
      </c>
      <c r="D560">
        <f t="shared" si="65"/>
        <v>7</v>
      </c>
      <c r="E560" t="str">
        <f t="shared" si="66"/>
        <v>July</v>
      </c>
      <c r="F560" s="128">
        <f t="shared" si="67"/>
        <v>2021</v>
      </c>
      <c r="G560" s="194" t="str">
        <f t="shared" si="68"/>
        <v>2021-07</v>
      </c>
      <c r="H560" s="193">
        <f t="shared" si="69"/>
        <v>44387</v>
      </c>
      <c r="I560">
        <f t="shared" si="70"/>
        <v>28</v>
      </c>
    </row>
    <row r="561" spans="1:9" x14ac:dyDescent="0.3">
      <c r="A561">
        <f t="shared" si="64"/>
        <v>20210711</v>
      </c>
      <c r="B561" s="193">
        <v>44388</v>
      </c>
      <c r="C561" s="196" t="str">
        <f t="shared" si="71"/>
        <v>11 July 2021</v>
      </c>
      <c r="D561">
        <f t="shared" si="65"/>
        <v>7</v>
      </c>
      <c r="E561" t="str">
        <f t="shared" si="66"/>
        <v>July</v>
      </c>
      <c r="F561" s="128">
        <f t="shared" si="67"/>
        <v>2021</v>
      </c>
      <c r="G561" s="194" t="str">
        <f t="shared" si="68"/>
        <v>2021-07</v>
      </c>
      <c r="H561" s="193">
        <f t="shared" si="69"/>
        <v>44394</v>
      </c>
      <c r="I561">
        <f t="shared" si="70"/>
        <v>28</v>
      </c>
    </row>
    <row r="562" spans="1:9" x14ac:dyDescent="0.3">
      <c r="A562">
        <f t="shared" si="64"/>
        <v>20210712</v>
      </c>
      <c r="B562" s="193">
        <v>44389</v>
      </c>
      <c r="C562" s="196" t="str">
        <f t="shared" si="71"/>
        <v>12 July 2021</v>
      </c>
      <c r="D562">
        <f t="shared" si="65"/>
        <v>7</v>
      </c>
      <c r="E562" t="str">
        <f t="shared" si="66"/>
        <v>July</v>
      </c>
      <c r="F562" s="128">
        <f t="shared" si="67"/>
        <v>2021</v>
      </c>
      <c r="G562" s="194" t="str">
        <f t="shared" si="68"/>
        <v>2021-07</v>
      </c>
      <c r="H562" s="193">
        <f t="shared" si="69"/>
        <v>44394</v>
      </c>
      <c r="I562">
        <f t="shared" si="70"/>
        <v>29</v>
      </c>
    </row>
    <row r="563" spans="1:9" x14ac:dyDescent="0.3">
      <c r="A563">
        <f t="shared" si="64"/>
        <v>20210713</v>
      </c>
      <c r="B563" s="193">
        <v>44390</v>
      </c>
      <c r="C563" s="196" t="str">
        <f t="shared" si="71"/>
        <v>13 July 2021</v>
      </c>
      <c r="D563">
        <f t="shared" si="65"/>
        <v>7</v>
      </c>
      <c r="E563" t="str">
        <f t="shared" si="66"/>
        <v>July</v>
      </c>
      <c r="F563" s="128">
        <f t="shared" si="67"/>
        <v>2021</v>
      </c>
      <c r="G563" s="194" t="str">
        <f t="shared" si="68"/>
        <v>2021-07</v>
      </c>
      <c r="H563" s="193">
        <f t="shared" si="69"/>
        <v>44394</v>
      </c>
      <c r="I563">
        <f t="shared" si="70"/>
        <v>29</v>
      </c>
    </row>
    <row r="564" spans="1:9" x14ac:dyDescent="0.3">
      <c r="A564">
        <f t="shared" si="64"/>
        <v>20210714</v>
      </c>
      <c r="B564" s="193">
        <v>44391</v>
      </c>
      <c r="C564" s="196" t="str">
        <f t="shared" si="71"/>
        <v>14 July 2021</v>
      </c>
      <c r="D564">
        <f t="shared" si="65"/>
        <v>7</v>
      </c>
      <c r="E564" t="str">
        <f t="shared" si="66"/>
        <v>July</v>
      </c>
      <c r="F564" s="128">
        <f t="shared" si="67"/>
        <v>2021</v>
      </c>
      <c r="G564" s="194" t="str">
        <f t="shared" si="68"/>
        <v>2021-07</v>
      </c>
      <c r="H564" s="193">
        <f t="shared" si="69"/>
        <v>44394</v>
      </c>
      <c r="I564">
        <f t="shared" si="70"/>
        <v>29</v>
      </c>
    </row>
    <row r="565" spans="1:9" x14ac:dyDescent="0.3">
      <c r="A565">
        <f t="shared" si="64"/>
        <v>20210715</v>
      </c>
      <c r="B565" s="193">
        <v>44392</v>
      </c>
      <c r="C565" s="196" t="str">
        <f t="shared" si="71"/>
        <v>15 July 2021</v>
      </c>
      <c r="D565">
        <f t="shared" si="65"/>
        <v>7</v>
      </c>
      <c r="E565" t="str">
        <f t="shared" si="66"/>
        <v>July</v>
      </c>
      <c r="F565" s="128">
        <f t="shared" si="67"/>
        <v>2021</v>
      </c>
      <c r="G565" s="194" t="str">
        <f t="shared" si="68"/>
        <v>2021-07</v>
      </c>
      <c r="H565" s="193">
        <f t="shared" si="69"/>
        <v>44394</v>
      </c>
      <c r="I565">
        <f t="shared" si="70"/>
        <v>29</v>
      </c>
    </row>
    <row r="566" spans="1:9" x14ac:dyDescent="0.3">
      <c r="A566">
        <f t="shared" si="64"/>
        <v>20210716</v>
      </c>
      <c r="B566" s="193">
        <v>44393</v>
      </c>
      <c r="C566" s="196" t="str">
        <f t="shared" si="71"/>
        <v>16 July 2021</v>
      </c>
      <c r="D566">
        <f t="shared" si="65"/>
        <v>7</v>
      </c>
      <c r="E566" t="str">
        <f t="shared" si="66"/>
        <v>July</v>
      </c>
      <c r="F566" s="128">
        <f t="shared" si="67"/>
        <v>2021</v>
      </c>
      <c r="G566" s="194" t="str">
        <f t="shared" si="68"/>
        <v>2021-07</v>
      </c>
      <c r="H566" s="193">
        <f t="shared" si="69"/>
        <v>44394</v>
      </c>
      <c r="I566">
        <f t="shared" si="70"/>
        <v>29</v>
      </c>
    </row>
    <row r="567" spans="1:9" x14ac:dyDescent="0.3">
      <c r="A567">
        <f t="shared" si="64"/>
        <v>20210717</v>
      </c>
      <c r="B567" s="193">
        <v>44394</v>
      </c>
      <c r="C567" s="196" t="str">
        <f t="shared" si="71"/>
        <v>17 July 2021</v>
      </c>
      <c r="D567">
        <f t="shared" si="65"/>
        <v>7</v>
      </c>
      <c r="E567" t="str">
        <f t="shared" si="66"/>
        <v>July</v>
      </c>
      <c r="F567" s="128">
        <f t="shared" si="67"/>
        <v>2021</v>
      </c>
      <c r="G567" s="194" t="str">
        <f t="shared" si="68"/>
        <v>2021-07</v>
      </c>
      <c r="H567" s="193">
        <f t="shared" si="69"/>
        <v>44394</v>
      </c>
      <c r="I567">
        <f t="shared" si="70"/>
        <v>29</v>
      </c>
    </row>
    <row r="568" spans="1:9" x14ac:dyDescent="0.3">
      <c r="A568">
        <f t="shared" si="64"/>
        <v>20210718</v>
      </c>
      <c r="B568" s="193">
        <v>44395</v>
      </c>
      <c r="C568" s="196" t="str">
        <f t="shared" si="71"/>
        <v>18 July 2021</v>
      </c>
      <c r="D568">
        <f t="shared" si="65"/>
        <v>7</v>
      </c>
      <c r="E568" t="str">
        <f t="shared" si="66"/>
        <v>July</v>
      </c>
      <c r="F568" s="128">
        <f t="shared" si="67"/>
        <v>2021</v>
      </c>
      <c r="G568" s="194" t="str">
        <f t="shared" si="68"/>
        <v>2021-07</v>
      </c>
      <c r="H568" s="193">
        <f t="shared" si="69"/>
        <v>44401</v>
      </c>
      <c r="I568">
        <f t="shared" si="70"/>
        <v>29</v>
      </c>
    </row>
    <row r="569" spans="1:9" x14ac:dyDescent="0.3">
      <c r="A569">
        <f t="shared" si="64"/>
        <v>20210719</v>
      </c>
      <c r="B569" s="193">
        <v>44396</v>
      </c>
      <c r="C569" s="196" t="str">
        <f t="shared" si="71"/>
        <v>19 July 2021</v>
      </c>
      <c r="D569">
        <f t="shared" si="65"/>
        <v>7</v>
      </c>
      <c r="E569" t="str">
        <f t="shared" si="66"/>
        <v>July</v>
      </c>
      <c r="F569" s="128">
        <f t="shared" si="67"/>
        <v>2021</v>
      </c>
      <c r="G569" s="194" t="str">
        <f t="shared" si="68"/>
        <v>2021-07</v>
      </c>
      <c r="H569" s="193">
        <f t="shared" si="69"/>
        <v>44401</v>
      </c>
      <c r="I569">
        <f t="shared" si="70"/>
        <v>30</v>
      </c>
    </row>
    <row r="570" spans="1:9" x14ac:dyDescent="0.3">
      <c r="A570">
        <f t="shared" si="64"/>
        <v>20210720</v>
      </c>
      <c r="B570" s="193">
        <v>44397</v>
      </c>
      <c r="C570" s="196" t="str">
        <f t="shared" si="71"/>
        <v>20 July 2021</v>
      </c>
      <c r="D570">
        <f t="shared" si="65"/>
        <v>7</v>
      </c>
      <c r="E570" t="str">
        <f t="shared" si="66"/>
        <v>July</v>
      </c>
      <c r="F570" s="128">
        <f t="shared" si="67"/>
        <v>2021</v>
      </c>
      <c r="G570" s="194" t="str">
        <f t="shared" si="68"/>
        <v>2021-07</v>
      </c>
      <c r="H570" s="193">
        <f t="shared" si="69"/>
        <v>44401</v>
      </c>
      <c r="I570">
        <f t="shared" si="70"/>
        <v>30</v>
      </c>
    </row>
    <row r="571" spans="1:9" x14ac:dyDescent="0.3">
      <c r="A571">
        <f t="shared" si="64"/>
        <v>20210721</v>
      </c>
      <c r="B571" s="193">
        <v>44398</v>
      </c>
      <c r="C571" s="196" t="str">
        <f t="shared" si="71"/>
        <v>21 July 2021</v>
      </c>
      <c r="D571">
        <f t="shared" si="65"/>
        <v>7</v>
      </c>
      <c r="E571" t="str">
        <f t="shared" si="66"/>
        <v>July</v>
      </c>
      <c r="F571" s="128">
        <f t="shared" si="67"/>
        <v>2021</v>
      </c>
      <c r="G571" s="194" t="str">
        <f t="shared" si="68"/>
        <v>2021-07</v>
      </c>
      <c r="H571" s="193">
        <f t="shared" si="69"/>
        <v>44401</v>
      </c>
      <c r="I571">
        <f t="shared" si="70"/>
        <v>30</v>
      </c>
    </row>
    <row r="572" spans="1:9" x14ac:dyDescent="0.3">
      <c r="A572">
        <f t="shared" si="64"/>
        <v>20210722</v>
      </c>
      <c r="B572" s="193">
        <v>44399</v>
      </c>
      <c r="C572" s="196" t="str">
        <f t="shared" si="71"/>
        <v>22 July 2021</v>
      </c>
      <c r="D572">
        <f t="shared" si="65"/>
        <v>7</v>
      </c>
      <c r="E572" t="str">
        <f t="shared" si="66"/>
        <v>July</v>
      </c>
      <c r="F572" s="128">
        <f t="shared" si="67"/>
        <v>2021</v>
      </c>
      <c r="G572" s="194" t="str">
        <f t="shared" si="68"/>
        <v>2021-07</v>
      </c>
      <c r="H572" s="193">
        <f t="shared" si="69"/>
        <v>44401</v>
      </c>
      <c r="I572">
        <f t="shared" si="70"/>
        <v>30</v>
      </c>
    </row>
    <row r="573" spans="1:9" x14ac:dyDescent="0.3">
      <c r="A573">
        <f t="shared" si="64"/>
        <v>20210723</v>
      </c>
      <c r="B573" s="193">
        <v>44400</v>
      </c>
      <c r="C573" s="196" t="str">
        <f t="shared" si="71"/>
        <v>23 July 2021</v>
      </c>
      <c r="D573">
        <f t="shared" si="65"/>
        <v>7</v>
      </c>
      <c r="E573" t="str">
        <f t="shared" si="66"/>
        <v>July</v>
      </c>
      <c r="F573" s="128">
        <f t="shared" si="67"/>
        <v>2021</v>
      </c>
      <c r="G573" s="194" t="str">
        <f t="shared" si="68"/>
        <v>2021-07</v>
      </c>
      <c r="H573" s="193">
        <f t="shared" si="69"/>
        <v>44401</v>
      </c>
      <c r="I573">
        <f t="shared" si="70"/>
        <v>30</v>
      </c>
    </row>
    <row r="574" spans="1:9" x14ac:dyDescent="0.3">
      <c r="A574">
        <f t="shared" si="64"/>
        <v>20210724</v>
      </c>
      <c r="B574" s="193">
        <v>44401</v>
      </c>
      <c r="C574" s="196" t="str">
        <f t="shared" si="71"/>
        <v>24 July 2021</v>
      </c>
      <c r="D574">
        <f t="shared" si="65"/>
        <v>7</v>
      </c>
      <c r="E574" t="str">
        <f t="shared" si="66"/>
        <v>July</v>
      </c>
      <c r="F574" s="128">
        <f t="shared" si="67"/>
        <v>2021</v>
      </c>
      <c r="G574" s="194" t="str">
        <f t="shared" si="68"/>
        <v>2021-07</v>
      </c>
      <c r="H574" s="193">
        <f t="shared" si="69"/>
        <v>44401</v>
      </c>
      <c r="I574">
        <f t="shared" si="70"/>
        <v>30</v>
      </c>
    </row>
    <row r="575" spans="1:9" x14ac:dyDescent="0.3">
      <c r="A575">
        <f t="shared" si="64"/>
        <v>20210725</v>
      </c>
      <c r="B575" s="193">
        <v>44402</v>
      </c>
      <c r="C575" s="196" t="str">
        <f t="shared" si="71"/>
        <v>25 July 2021</v>
      </c>
      <c r="D575">
        <f t="shared" si="65"/>
        <v>7</v>
      </c>
      <c r="E575" t="str">
        <f t="shared" si="66"/>
        <v>July</v>
      </c>
      <c r="F575" s="128">
        <f t="shared" si="67"/>
        <v>2021</v>
      </c>
      <c r="G575" s="194" t="str">
        <f t="shared" si="68"/>
        <v>2021-07</v>
      </c>
      <c r="H575" s="193">
        <f t="shared" si="69"/>
        <v>44408</v>
      </c>
      <c r="I575">
        <f t="shared" si="70"/>
        <v>30</v>
      </c>
    </row>
    <row r="576" spans="1:9" x14ac:dyDescent="0.3">
      <c r="A576">
        <f t="shared" si="64"/>
        <v>20210726</v>
      </c>
      <c r="B576" s="193">
        <v>44403</v>
      </c>
      <c r="C576" s="196" t="str">
        <f t="shared" si="71"/>
        <v>26 July 2021</v>
      </c>
      <c r="D576">
        <f t="shared" si="65"/>
        <v>7</v>
      </c>
      <c r="E576" t="str">
        <f t="shared" si="66"/>
        <v>July</v>
      </c>
      <c r="F576" s="128">
        <f t="shared" si="67"/>
        <v>2021</v>
      </c>
      <c r="G576" s="194" t="str">
        <f t="shared" si="68"/>
        <v>2021-07</v>
      </c>
      <c r="H576" s="193">
        <f t="shared" si="69"/>
        <v>44408</v>
      </c>
      <c r="I576">
        <f t="shared" si="70"/>
        <v>31</v>
      </c>
    </row>
    <row r="577" spans="1:9" x14ac:dyDescent="0.3">
      <c r="A577">
        <f t="shared" si="64"/>
        <v>20210727</v>
      </c>
      <c r="B577" s="193">
        <v>44404</v>
      </c>
      <c r="C577" s="196" t="str">
        <f t="shared" si="71"/>
        <v>27 July 2021</v>
      </c>
      <c r="D577">
        <f t="shared" si="65"/>
        <v>7</v>
      </c>
      <c r="E577" t="str">
        <f t="shared" si="66"/>
        <v>July</v>
      </c>
      <c r="F577" s="128">
        <f t="shared" si="67"/>
        <v>2021</v>
      </c>
      <c r="G577" s="194" t="str">
        <f t="shared" si="68"/>
        <v>2021-07</v>
      </c>
      <c r="H577" s="193">
        <f t="shared" si="69"/>
        <v>44408</v>
      </c>
      <c r="I577">
        <f t="shared" si="70"/>
        <v>31</v>
      </c>
    </row>
    <row r="578" spans="1:9" x14ac:dyDescent="0.3">
      <c r="A578">
        <f t="shared" si="64"/>
        <v>20210728</v>
      </c>
      <c r="B578" s="193">
        <v>44405</v>
      </c>
      <c r="C578" s="196" t="str">
        <f t="shared" si="71"/>
        <v>28 July 2021</v>
      </c>
      <c r="D578">
        <f t="shared" si="65"/>
        <v>7</v>
      </c>
      <c r="E578" t="str">
        <f t="shared" si="66"/>
        <v>July</v>
      </c>
      <c r="F578" s="128">
        <f t="shared" si="67"/>
        <v>2021</v>
      </c>
      <c r="G578" s="194" t="str">
        <f t="shared" si="68"/>
        <v>2021-07</v>
      </c>
      <c r="H578" s="193">
        <f t="shared" si="69"/>
        <v>44408</v>
      </c>
      <c r="I578">
        <f t="shared" si="70"/>
        <v>31</v>
      </c>
    </row>
    <row r="579" spans="1:9" x14ac:dyDescent="0.3">
      <c r="A579">
        <f t="shared" ref="A579:A642" si="72">YEAR(B579)*10000+MONTH(B579)*100+DAY(B579)</f>
        <v>20210729</v>
      </c>
      <c r="B579" s="193">
        <v>44406</v>
      </c>
      <c r="C579" s="196" t="str">
        <f t="shared" si="71"/>
        <v>29 July 2021</v>
      </c>
      <c r="D579">
        <f t="shared" ref="D579:D642" si="73">MONTH(B579)</f>
        <v>7</v>
      </c>
      <c r="E579" t="str">
        <f t="shared" ref="E579:E642" si="74">TEXT(B579,"MMMM")</f>
        <v>July</v>
      </c>
      <c r="F579" s="128">
        <f t="shared" ref="F579:F642" si="75">YEAR(B579)</f>
        <v>2021</v>
      </c>
      <c r="G579" s="194" t="str">
        <f t="shared" ref="G579:G642" si="76">TEXT(B579,"YYYY-MM")</f>
        <v>2021-07</v>
      </c>
      <c r="H579" s="193">
        <f t="shared" ref="H579:H642" si="77">B579-WEEKDAY(B579)+7</f>
        <v>44408</v>
      </c>
      <c r="I579">
        <f t="shared" ref="I579:I642" si="78">WEEKNUM(B579,2)</f>
        <v>31</v>
      </c>
    </row>
    <row r="580" spans="1:9" x14ac:dyDescent="0.3">
      <c r="A580">
        <f t="shared" si="72"/>
        <v>20210730</v>
      </c>
      <c r="B580" s="193">
        <v>44407</v>
      </c>
      <c r="C580" s="196" t="str">
        <f t="shared" ref="C580:C643" si="79">TEXT(B580,"dd MMMM YYYY")</f>
        <v>30 July 2021</v>
      </c>
      <c r="D580">
        <f t="shared" si="73"/>
        <v>7</v>
      </c>
      <c r="E580" t="str">
        <f t="shared" si="74"/>
        <v>July</v>
      </c>
      <c r="F580" s="128">
        <f t="shared" si="75"/>
        <v>2021</v>
      </c>
      <c r="G580" s="194" t="str">
        <f t="shared" si="76"/>
        <v>2021-07</v>
      </c>
      <c r="H580" s="193">
        <f t="shared" si="77"/>
        <v>44408</v>
      </c>
      <c r="I580">
        <f t="shared" si="78"/>
        <v>31</v>
      </c>
    </row>
    <row r="581" spans="1:9" x14ac:dyDescent="0.3">
      <c r="A581">
        <f t="shared" si="72"/>
        <v>20210731</v>
      </c>
      <c r="B581" s="193">
        <v>44408</v>
      </c>
      <c r="C581" s="196" t="str">
        <f t="shared" si="79"/>
        <v>31 July 2021</v>
      </c>
      <c r="D581">
        <f t="shared" si="73"/>
        <v>7</v>
      </c>
      <c r="E581" t="str">
        <f t="shared" si="74"/>
        <v>July</v>
      </c>
      <c r="F581" s="128">
        <f t="shared" si="75"/>
        <v>2021</v>
      </c>
      <c r="G581" s="194" t="str">
        <f t="shared" si="76"/>
        <v>2021-07</v>
      </c>
      <c r="H581" s="193">
        <f t="shared" si="77"/>
        <v>44408</v>
      </c>
      <c r="I581">
        <f t="shared" si="78"/>
        <v>31</v>
      </c>
    </row>
    <row r="582" spans="1:9" x14ac:dyDescent="0.3">
      <c r="A582">
        <f t="shared" si="72"/>
        <v>20210801</v>
      </c>
      <c r="B582" s="193">
        <v>44409</v>
      </c>
      <c r="C582" s="196" t="str">
        <f t="shared" si="79"/>
        <v>01 August 2021</v>
      </c>
      <c r="D582">
        <f t="shared" si="73"/>
        <v>8</v>
      </c>
      <c r="E582" t="str">
        <f t="shared" si="74"/>
        <v>August</v>
      </c>
      <c r="F582" s="128">
        <f t="shared" si="75"/>
        <v>2021</v>
      </c>
      <c r="G582" s="194" t="str">
        <f t="shared" si="76"/>
        <v>2021-08</v>
      </c>
      <c r="H582" s="193">
        <f t="shared" si="77"/>
        <v>44415</v>
      </c>
      <c r="I582">
        <f t="shared" si="78"/>
        <v>31</v>
      </c>
    </row>
    <row r="583" spans="1:9" x14ac:dyDescent="0.3">
      <c r="A583">
        <f t="shared" si="72"/>
        <v>20210802</v>
      </c>
      <c r="B583" s="193">
        <v>44410</v>
      </c>
      <c r="C583" s="196" t="str">
        <f t="shared" si="79"/>
        <v>02 August 2021</v>
      </c>
      <c r="D583">
        <f t="shared" si="73"/>
        <v>8</v>
      </c>
      <c r="E583" t="str">
        <f t="shared" si="74"/>
        <v>August</v>
      </c>
      <c r="F583" s="128">
        <f t="shared" si="75"/>
        <v>2021</v>
      </c>
      <c r="G583" s="194" t="str">
        <f t="shared" si="76"/>
        <v>2021-08</v>
      </c>
      <c r="H583" s="193">
        <f t="shared" si="77"/>
        <v>44415</v>
      </c>
      <c r="I583">
        <f t="shared" si="78"/>
        <v>32</v>
      </c>
    </row>
    <row r="584" spans="1:9" x14ac:dyDescent="0.3">
      <c r="A584">
        <f t="shared" si="72"/>
        <v>20210803</v>
      </c>
      <c r="B584" s="193">
        <v>44411</v>
      </c>
      <c r="C584" s="196" t="str">
        <f t="shared" si="79"/>
        <v>03 August 2021</v>
      </c>
      <c r="D584">
        <f t="shared" si="73"/>
        <v>8</v>
      </c>
      <c r="E584" t="str">
        <f t="shared" si="74"/>
        <v>August</v>
      </c>
      <c r="F584" s="128">
        <f t="shared" si="75"/>
        <v>2021</v>
      </c>
      <c r="G584" s="194" t="str">
        <f t="shared" si="76"/>
        <v>2021-08</v>
      </c>
      <c r="H584" s="193">
        <f t="shared" si="77"/>
        <v>44415</v>
      </c>
      <c r="I584">
        <f t="shared" si="78"/>
        <v>32</v>
      </c>
    </row>
    <row r="585" spans="1:9" x14ac:dyDescent="0.3">
      <c r="A585">
        <f t="shared" si="72"/>
        <v>20210804</v>
      </c>
      <c r="B585" s="193">
        <v>44412</v>
      </c>
      <c r="C585" s="196" t="str">
        <f t="shared" si="79"/>
        <v>04 August 2021</v>
      </c>
      <c r="D585">
        <f t="shared" si="73"/>
        <v>8</v>
      </c>
      <c r="E585" t="str">
        <f t="shared" si="74"/>
        <v>August</v>
      </c>
      <c r="F585" s="128">
        <f t="shared" si="75"/>
        <v>2021</v>
      </c>
      <c r="G585" s="194" t="str">
        <f t="shared" si="76"/>
        <v>2021-08</v>
      </c>
      <c r="H585" s="193">
        <f t="shared" si="77"/>
        <v>44415</v>
      </c>
      <c r="I585">
        <f t="shared" si="78"/>
        <v>32</v>
      </c>
    </row>
    <row r="586" spans="1:9" x14ac:dyDescent="0.3">
      <c r="A586">
        <f t="shared" si="72"/>
        <v>20210805</v>
      </c>
      <c r="B586" s="193">
        <v>44413</v>
      </c>
      <c r="C586" s="196" t="str">
        <f t="shared" si="79"/>
        <v>05 August 2021</v>
      </c>
      <c r="D586">
        <f t="shared" si="73"/>
        <v>8</v>
      </c>
      <c r="E586" t="str">
        <f t="shared" si="74"/>
        <v>August</v>
      </c>
      <c r="F586" s="128">
        <f t="shared" si="75"/>
        <v>2021</v>
      </c>
      <c r="G586" s="194" t="str">
        <f t="shared" si="76"/>
        <v>2021-08</v>
      </c>
      <c r="H586" s="193">
        <f t="shared" si="77"/>
        <v>44415</v>
      </c>
      <c r="I586">
        <f t="shared" si="78"/>
        <v>32</v>
      </c>
    </row>
    <row r="587" spans="1:9" x14ac:dyDescent="0.3">
      <c r="A587">
        <f t="shared" si="72"/>
        <v>20210806</v>
      </c>
      <c r="B587" s="193">
        <v>44414</v>
      </c>
      <c r="C587" s="196" t="str">
        <f t="shared" si="79"/>
        <v>06 August 2021</v>
      </c>
      <c r="D587">
        <f t="shared" si="73"/>
        <v>8</v>
      </c>
      <c r="E587" t="str">
        <f t="shared" si="74"/>
        <v>August</v>
      </c>
      <c r="F587" s="128">
        <f t="shared" si="75"/>
        <v>2021</v>
      </c>
      <c r="G587" s="194" t="str">
        <f t="shared" si="76"/>
        <v>2021-08</v>
      </c>
      <c r="H587" s="193">
        <f t="shared" si="77"/>
        <v>44415</v>
      </c>
      <c r="I587">
        <f t="shared" si="78"/>
        <v>32</v>
      </c>
    </row>
    <row r="588" spans="1:9" x14ac:dyDescent="0.3">
      <c r="A588">
        <f t="shared" si="72"/>
        <v>20210807</v>
      </c>
      <c r="B588" s="193">
        <v>44415</v>
      </c>
      <c r="C588" s="196" t="str">
        <f t="shared" si="79"/>
        <v>07 August 2021</v>
      </c>
      <c r="D588">
        <f t="shared" si="73"/>
        <v>8</v>
      </c>
      <c r="E588" t="str">
        <f t="shared" si="74"/>
        <v>August</v>
      </c>
      <c r="F588" s="128">
        <f t="shared" si="75"/>
        <v>2021</v>
      </c>
      <c r="G588" s="194" t="str">
        <f t="shared" si="76"/>
        <v>2021-08</v>
      </c>
      <c r="H588" s="193">
        <f t="shared" si="77"/>
        <v>44415</v>
      </c>
      <c r="I588">
        <f t="shared" si="78"/>
        <v>32</v>
      </c>
    </row>
    <row r="589" spans="1:9" x14ac:dyDescent="0.3">
      <c r="A589">
        <f t="shared" si="72"/>
        <v>20210808</v>
      </c>
      <c r="B589" s="193">
        <v>44416</v>
      </c>
      <c r="C589" s="196" t="str">
        <f t="shared" si="79"/>
        <v>08 August 2021</v>
      </c>
      <c r="D589">
        <f t="shared" si="73"/>
        <v>8</v>
      </c>
      <c r="E589" t="str">
        <f t="shared" si="74"/>
        <v>August</v>
      </c>
      <c r="F589" s="128">
        <f t="shared" si="75"/>
        <v>2021</v>
      </c>
      <c r="G589" s="194" t="str">
        <f t="shared" si="76"/>
        <v>2021-08</v>
      </c>
      <c r="H589" s="193">
        <f t="shared" si="77"/>
        <v>44422</v>
      </c>
      <c r="I589">
        <f t="shared" si="78"/>
        <v>32</v>
      </c>
    </row>
    <row r="590" spans="1:9" x14ac:dyDescent="0.3">
      <c r="A590">
        <f t="shared" si="72"/>
        <v>20210809</v>
      </c>
      <c r="B590" s="193">
        <v>44417</v>
      </c>
      <c r="C590" s="196" t="str">
        <f t="shared" si="79"/>
        <v>09 August 2021</v>
      </c>
      <c r="D590">
        <f t="shared" si="73"/>
        <v>8</v>
      </c>
      <c r="E590" t="str">
        <f t="shared" si="74"/>
        <v>August</v>
      </c>
      <c r="F590" s="128">
        <f t="shared" si="75"/>
        <v>2021</v>
      </c>
      <c r="G590" s="194" t="str">
        <f t="shared" si="76"/>
        <v>2021-08</v>
      </c>
      <c r="H590" s="193">
        <f t="shared" si="77"/>
        <v>44422</v>
      </c>
      <c r="I590">
        <f t="shared" si="78"/>
        <v>33</v>
      </c>
    </row>
    <row r="591" spans="1:9" x14ac:dyDescent="0.3">
      <c r="A591">
        <f t="shared" si="72"/>
        <v>20210810</v>
      </c>
      <c r="B591" s="193">
        <v>44418</v>
      </c>
      <c r="C591" s="196" t="str">
        <f t="shared" si="79"/>
        <v>10 August 2021</v>
      </c>
      <c r="D591">
        <f t="shared" si="73"/>
        <v>8</v>
      </c>
      <c r="E591" t="str">
        <f t="shared" si="74"/>
        <v>August</v>
      </c>
      <c r="F591" s="128">
        <f t="shared" si="75"/>
        <v>2021</v>
      </c>
      <c r="G591" s="194" t="str">
        <f t="shared" si="76"/>
        <v>2021-08</v>
      </c>
      <c r="H591" s="193">
        <f t="shared" si="77"/>
        <v>44422</v>
      </c>
      <c r="I591">
        <f t="shared" si="78"/>
        <v>33</v>
      </c>
    </row>
    <row r="592" spans="1:9" x14ac:dyDescent="0.3">
      <c r="A592">
        <f t="shared" si="72"/>
        <v>20210811</v>
      </c>
      <c r="B592" s="193">
        <v>44419</v>
      </c>
      <c r="C592" s="196" t="str">
        <f t="shared" si="79"/>
        <v>11 August 2021</v>
      </c>
      <c r="D592">
        <f t="shared" si="73"/>
        <v>8</v>
      </c>
      <c r="E592" t="str">
        <f t="shared" si="74"/>
        <v>August</v>
      </c>
      <c r="F592" s="128">
        <f t="shared" si="75"/>
        <v>2021</v>
      </c>
      <c r="G592" s="194" t="str">
        <f t="shared" si="76"/>
        <v>2021-08</v>
      </c>
      <c r="H592" s="193">
        <f t="shared" si="77"/>
        <v>44422</v>
      </c>
      <c r="I592">
        <f t="shared" si="78"/>
        <v>33</v>
      </c>
    </row>
    <row r="593" spans="1:9" x14ac:dyDescent="0.3">
      <c r="A593">
        <f t="shared" si="72"/>
        <v>20210812</v>
      </c>
      <c r="B593" s="193">
        <v>44420</v>
      </c>
      <c r="C593" s="196" t="str">
        <f t="shared" si="79"/>
        <v>12 August 2021</v>
      </c>
      <c r="D593">
        <f t="shared" si="73"/>
        <v>8</v>
      </c>
      <c r="E593" t="str">
        <f t="shared" si="74"/>
        <v>August</v>
      </c>
      <c r="F593" s="128">
        <f t="shared" si="75"/>
        <v>2021</v>
      </c>
      <c r="G593" s="194" t="str">
        <f t="shared" si="76"/>
        <v>2021-08</v>
      </c>
      <c r="H593" s="193">
        <f t="shared" si="77"/>
        <v>44422</v>
      </c>
      <c r="I593">
        <f t="shared" si="78"/>
        <v>33</v>
      </c>
    </row>
    <row r="594" spans="1:9" x14ac:dyDescent="0.3">
      <c r="A594">
        <f t="shared" si="72"/>
        <v>20210813</v>
      </c>
      <c r="B594" s="193">
        <v>44421</v>
      </c>
      <c r="C594" s="196" t="str">
        <f t="shared" si="79"/>
        <v>13 August 2021</v>
      </c>
      <c r="D594">
        <f t="shared" si="73"/>
        <v>8</v>
      </c>
      <c r="E594" t="str">
        <f t="shared" si="74"/>
        <v>August</v>
      </c>
      <c r="F594" s="128">
        <f t="shared" si="75"/>
        <v>2021</v>
      </c>
      <c r="G594" s="194" t="str">
        <f t="shared" si="76"/>
        <v>2021-08</v>
      </c>
      <c r="H594" s="193">
        <f t="shared" si="77"/>
        <v>44422</v>
      </c>
      <c r="I594">
        <f t="shared" si="78"/>
        <v>33</v>
      </c>
    </row>
    <row r="595" spans="1:9" x14ac:dyDescent="0.3">
      <c r="A595">
        <f t="shared" si="72"/>
        <v>20210814</v>
      </c>
      <c r="B595" s="193">
        <v>44422</v>
      </c>
      <c r="C595" s="196" t="str">
        <f t="shared" si="79"/>
        <v>14 August 2021</v>
      </c>
      <c r="D595">
        <f t="shared" si="73"/>
        <v>8</v>
      </c>
      <c r="E595" t="str">
        <f t="shared" si="74"/>
        <v>August</v>
      </c>
      <c r="F595" s="128">
        <f t="shared" si="75"/>
        <v>2021</v>
      </c>
      <c r="G595" s="194" t="str">
        <f t="shared" si="76"/>
        <v>2021-08</v>
      </c>
      <c r="H595" s="193">
        <f t="shared" si="77"/>
        <v>44422</v>
      </c>
      <c r="I595">
        <f t="shared" si="78"/>
        <v>33</v>
      </c>
    </row>
    <row r="596" spans="1:9" x14ac:dyDescent="0.3">
      <c r="A596">
        <f t="shared" si="72"/>
        <v>20210815</v>
      </c>
      <c r="B596" s="193">
        <v>44423</v>
      </c>
      <c r="C596" s="196" t="str">
        <f t="shared" si="79"/>
        <v>15 August 2021</v>
      </c>
      <c r="D596">
        <f t="shared" si="73"/>
        <v>8</v>
      </c>
      <c r="E596" t="str">
        <f t="shared" si="74"/>
        <v>August</v>
      </c>
      <c r="F596" s="128">
        <f t="shared" si="75"/>
        <v>2021</v>
      </c>
      <c r="G596" s="194" t="str">
        <f t="shared" si="76"/>
        <v>2021-08</v>
      </c>
      <c r="H596" s="193">
        <f t="shared" si="77"/>
        <v>44429</v>
      </c>
      <c r="I596">
        <f t="shared" si="78"/>
        <v>33</v>
      </c>
    </row>
    <row r="597" spans="1:9" x14ac:dyDescent="0.3">
      <c r="A597">
        <f t="shared" si="72"/>
        <v>20210816</v>
      </c>
      <c r="B597" s="193">
        <v>44424</v>
      </c>
      <c r="C597" s="196" t="str">
        <f t="shared" si="79"/>
        <v>16 August 2021</v>
      </c>
      <c r="D597">
        <f t="shared" si="73"/>
        <v>8</v>
      </c>
      <c r="E597" t="str">
        <f t="shared" si="74"/>
        <v>August</v>
      </c>
      <c r="F597" s="128">
        <f t="shared" si="75"/>
        <v>2021</v>
      </c>
      <c r="G597" s="194" t="str">
        <f t="shared" si="76"/>
        <v>2021-08</v>
      </c>
      <c r="H597" s="193">
        <f t="shared" si="77"/>
        <v>44429</v>
      </c>
      <c r="I597">
        <f t="shared" si="78"/>
        <v>34</v>
      </c>
    </row>
    <row r="598" spans="1:9" x14ac:dyDescent="0.3">
      <c r="A598">
        <f t="shared" si="72"/>
        <v>20210817</v>
      </c>
      <c r="B598" s="193">
        <v>44425</v>
      </c>
      <c r="C598" s="196" t="str">
        <f t="shared" si="79"/>
        <v>17 August 2021</v>
      </c>
      <c r="D598">
        <f t="shared" si="73"/>
        <v>8</v>
      </c>
      <c r="E598" t="str">
        <f t="shared" si="74"/>
        <v>August</v>
      </c>
      <c r="F598" s="128">
        <f t="shared" si="75"/>
        <v>2021</v>
      </c>
      <c r="G598" s="194" t="str">
        <f t="shared" si="76"/>
        <v>2021-08</v>
      </c>
      <c r="H598" s="193">
        <f t="shared" si="77"/>
        <v>44429</v>
      </c>
      <c r="I598">
        <f t="shared" si="78"/>
        <v>34</v>
      </c>
    </row>
    <row r="599" spans="1:9" x14ac:dyDescent="0.3">
      <c r="A599">
        <f t="shared" si="72"/>
        <v>20210818</v>
      </c>
      <c r="B599" s="193">
        <v>44426</v>
      </c>
      <c r="C599" s="196" t="str">
        <f t="shared" si="79"/>
        <v>18 August 2021</v>
      </c>
      <c r="D599">
        <f t="shared" si="73"/>
        <v>8</v>
      </c>
      <c r="E599" t="str">
        <f t="shared" si="74"/>
        <v>August</v>
      </c>
      <c r="F599" s="128">
        <f t="shared" si="75"/>
        <v>2021</v>
      </c>
      <c r="G599" s="194" t="str">
        <f t="shared" si="76"/>
        <v>2021-08</v>
      </c>
      <c r="H599" s="193">
        <f t="shared" si="77"/>
        <v>44429</v>
      </c>
      <c r="I599">
        <f t="shared" si="78"/>
        <v>34</v>
      </c>
    </row>
    <row r="600" spans="1:9" x14ac:dyDescent="0.3">
      <c r="A600">
        <f t="shared" si="72"/>
        <v>20210819</v>
      </c>
      <c r="B600" s="193">
        <v>44427</v>
      </c>
      <c r="C600" s="196" t="str">
        <f t="shared" si="79"/>
        <v>19 August 2021</v>
      </c>
      <c r="D600">
        <f t="shared" si="73"/>
        <v>8</v>
      </c>
      <c r="E600" t="str">
        <f t="shared" si="74"/>
        <v>August</v>
      </c>
      <c r="F600" s="128">
        <f t="shared" si="75"/>
        <v>2021</v>
      </c>
      <c r="G600" s="194" t="str">
        <f t="shared" si="76"/>
        <v>2021-08</v>
      </c>
      <c r="H600" s="193">
        <f t="shared" si="77"/>
        <v>44429</v>
      </c>
      <c r="I600">
        <f t="shared" si="78"/>
        <v>34</v>
      </c>
    </row>
    <row r="601" spans="1:9" x14ac:dyDescent="0.3">
      <c r="A601">
        <f t="shared" si="72"/>
        <v>20210820</v>
      </c>
      <c r="B601" s="193">
        <v>44428</v>
      </c>
      <c r="C601" s="196" t="str">
        <f t="shared" si="79"/>
        <v>20 August 2021</v>
      </c>
      <c r="D601">
        <f t="shared" si="73"/>
        <v>8</v>
      </c>
      <c r="E601" t="str">
        <f t="shared" si="74"/>
        <v>August</v>
      </c>
      <c r="F601" s="128">
        <f t="shared" si="75"/>
        <v>2021</v>
      </c>
      <c r="G601" s="194" t="str">
        <f t="shared" si="76"/>
        <v>2021-08</v>
      </c>
      <c r="H601" s="193">
        <f t="shared" si="77"/>
        <v>44429</v>
      </c>
      <c r="I601">
        <f t="shared" si="78"/>
        <v>34</v>
      </c>
    </row>
    <row r="602" spans="1:9" x14ac:dyDescent="0.3">
      <c r="A602">
        <f t="shared" si="72"/>
        <v>20210821</v>
      </c>
      <c r="B602" s="193">
        <v>44429</v>
      </c>
      <c r="C602" s="196" t="str">
        <f t="shared" si="79"/>
        <v>21 August 2021</v>
      </c>
      <c r="D602">
        <f t="shared" si="73"/>
        <v>8</v>
      </c>
      <c r="E602" t="str">
        <f t="shared" si="74"/>
        <v>August</v>
      </c>
      <c r="F602" s="128">
        <f t="shared" si="75"/>
        <v>2021</v>
      </c>
      <c r="G602" s="194" t="str">
        <f t="shared" si="76"/>
        <v>2021-08</v>
      </c>
      <c r="H602" s="193">
        <f t="shared" si="77"/>
        <v>44429</v>
      </c>
      <c r="I602">
        <f t="shared" si="78"/>
        <v>34</v>
      </c>
    </row>
    <row r="603" spans="1:9" x14ac:dyDescent="0.3">
      <c r="A603">
        <f t="shared" si="72"/>
        <v>20210822</v>
      </c>
      <c r="B603" s="193">
        <v>44430</v>
      </c>
      <c r="C603" s="196" t="str">
        <f t="shared" si="79"/>
        <v>22 August 2021</v>
      </c>
      <c r="D603">
        <f t="shared" si="73"/>
        <v>8</v>
      </c>
      <c r="E603" t="str">
        <f t="shared" si="74"/>
        <v>August</v>
      </c>
      <c r="F603" s="128">
        <f t="shared" si="75"/>
        <v>2021</v>
      </c>
      <c r="G603" s="194" t="str">
        <f t="shared" si="76"/>
        <v>2021-08</v>
      </c>
      <c r="H603" s="193">
        <f t="shared" si="77"/>
        <v>44436</v>
      </c>
      <c r="I603">
        <f t="shared" si="78"/>
        <v>34</v>
      </c>
    </row>
    <row r="604" spans="1:9" x14ac:dyDescent="0.3">
      <c r="A604">
        <f t="shared" si="72"/>
        <v>20210823</v>
      </c>
      <c r="B604" s="193">
        <v>44431</v>
      </c>
      <c r="C604" s="196" t="str">
        <f t="shared" si="79"/>
        <v>23 August 2021</v>
      </c>
      <c r="D604">
        <f t="shared" si="73"/>
        <v>8</v>
      </c>
      <c r="E604" t="str">
        <f t="shared" si="74"/>
        <v>August</v>
      </c>
      <c r="F604" s="128">
        <f t="shared" si="75"/>
        <v>2021</v>
      </c>
      <c r="G604" s="194" t="str">
        <f t="shared" si="76"/>
        <v>2021-08</v>
      </c>
      <c r="H604" s="193">
        <f t="shared" si="77"/>
        <v>44436</v>
      </c>
      <c r="I604">
        <f t="shared" si="78"/>
        <v>35</v>
      </c>
    </row>
    <row r="605" spans="1:9" x14ac:dyDescent="0.3">
      <c r="A605">
        <f t="shared" si="72"/>
        <v>20210824</v>
      </c>
      <c r="B605" s="193">
        <v>44432</v>
      </c>
      <c r="C605" s="196" t="str">
        <f t="shared" si="79"/>
        <v>24 August 2021</v>
      </c>
      <c r="D605">
        <f t="shared" si="73"/>
        <v>8</v>
      </c>
      <c r="E605" t="str">
        <f t="shared" si="74"/>
        <v>August</v>
      </c>
      <c r="F605" s="128">
        <f t="shared" si="75"/>
        <v>2021</v>
      </c>
      <c r="G605" s="194" t="str">
        <f t="shared" si="76"/>
        <v>2021-08</v>
      </c>
      <c r="H605" s="193">
        <f t="shared" si="77"/>
        <v>44436</v>
      </c>
      <c r="I605">
        <f t="shared" si="78"/>
        <v>35</v>
      </c>
    </row>
    <row r="606" spans="1:9" x14ac:dyDescent="0.3">
      <c r="A606">
        <f t="shared" si="72"/>
        <v>20210825</v>
      </c>
      <c r="B606" s="193">
        <v>44433</v>
      </c>
      <c r="C606" s="196" t="str">
        <f t="shared" si="79"/>
        <v>25 August 2021</v>
      </c>
      <c r="D606">
        <f t="shared" si="73"/>
        <v>8</v>
      </c>
      <c r="E606" t="str">
        <f t="shared" si="74"/>
        <v>August</v>
      </c>
      <c r="F606" s="128">
        <f t="shared" si="75"/>
        <v>2021</v>
      </c>
      <c r="G606" s="194" t="str">
        <f t="shared" si="76"/>
        <v>2021-08</v>
      </c>
      <c r="H606" s="193">
        <f t="shared" si="77"/>
        <v>44436</v>
      </c>
      <c r="I606">
        <f t="shared" si="78"/>
        <v>35</v>
      </c>
    </row>
    <row r="607" spans="1:9" x14ac:dyDescent="0.3">
      <c r="A607">
        <f t="shared" si="72"/>
        <v>20210826</v>
      </c>
      <c r="B607" s="193">
        <v>44434</v>
      </c>
      <c r="C607" s="196" t="str">
        <f t="shared" si="79"/>
        <v>26 August 2021</v>
      </c>
      <c r="D607">
        <f t="shared" si="73"/>
        <v>8</v>
      </c>
      <c r="E607" t="str">
        <f t="shared" si="74"/>
        <v>August</v>
      </c>
      <c r="F607" s="128">
        <f t="shared" si="75"/>
        <v>2021</v>
      </c>
      <c r="G607" s="194" t="str">
        <f t="shared" si="76"/>
        <v>2021-08</v>
      </c>
      <c r="H607" s="193">
        <f t="shared" si="77"/>
        <v>44436</v>
      </c>
      <c r="I607">
        <f t="shared" si="78"/>
        <v>35</v>
      </c>
    </row>
    <row r="608" spans="1:9" x14ac:dyDescent="0.3">
      <c r="A608">
        <f t="shared" si="72"/>
        <v>20210827</v>
      </c>
      <c r="B608" s="193">
        <v>44435</v>
      </c>
      <c r="C608" s="196" t="str">
        <f t="shared" si="79"/>
        <v>27 August 2021</v>
      </c>
      <c r="D608">
        <f t="shared" si="73"/>
        <v>8</v>
      </c>
      <c r="E608" t="str">
        <f t="shared" si="74"/>
        <v>August</v>
      </c>
      <c r="F608" s="128">
        <f t="shared" si="75"/>
        <v>2021</v>
      </c>
      <c r="G608" s="194" t="str">
        <f t="shared" si="76"/>
        <v>2021-08</v>
      </c>
      <c r="H608" s="193">
        <f t="shared" si="77"/>
        <v>44436</v>
      </c>
      <c r="I608">
        <f t="shared" si="78"/>
        <v>35</v>
      </c>
    </row>
    <row r="609" spans="1:9" x14ac:dyDescent="0.3">
      <c r="A609">
        <f t="shared" si="72"/>
        <v>20210828</v>
      </c>
      <c r="B609" s="193">
        <v>44436</v>
      </c>
      <c r="C609" s="196" t="str">
        <f t="shared" si="79"/>
        <v>28 August 2021</v>
      </c>
      <c r="D609">
        <f t="shared" si="73"/>
        <v>8</v>
      </c>
      <c r="E609" t="str">
        <f t="shared" si="74"/>
        <v>August</v>
      </c>
      <c r="F609" s="128">
        <f t="shared" si="75"/>
        <v>2021</v>
      </c>
      <c r="G609" s="194" t="str">
        <f t="shared" si="76"/>
        <v>2021-08</v>
      </c>
      <c r="H609" s="193">
        <f t="shared" si="77"/>
        <v>44436</v>
      </c>
      <c r="I609">
        <f t="shared" si="78"/>
        <v>35</v>
      </c>
    </row>
    <row r="610" spans="1:9" x14ac:dyDescent="0.3">
      <c r="A610">
        <f t="shared" si="72"/>
        <v>20210829</v>
      </c>
      <c r="B610" s="193">
        <v>44437</v>
      </c>
      <c r="C610" s="196" t="str">
        <f t="shared" si="79"/>
        <v>29 August 2021</v>
      </c>
      <c r="D610">
        <f t="shared" si="73"/>
        <v>8</v>
      </c>
      <c r="E610" t="str">
        <f t="shared" si="74"/>
        <v>August</v>
      </c>
      <c r="F610" s="128">
        <f t="shared" si="75"/>
        <v>2021</v>
      </c>
      <c r="G610" s="194" t="str">
        <f t="shared" si="76"/>
        <v>2021-08</v>
      </c>
      <c r="H610" s="193">
        <f t="shared" si="77"/>
        <v>44443</v>
      </c>
      <c r="I610">
        <f t="shared" si="78"/>
        <v>35</v>
      </c>
    </row>
    <row r="611" spans="1:9" x14ac:dyDescent="0.3">
      <c r="A611">
        <f t="shared" si="72"/>
        <v>20210830</v>
      </c>
      <c r="B611" s="193">
        <v>44438</v>
      </c>
      <c r="C611" s="196" t="str">
        <f t="shared" si="79"/>
        <v>30 August 2021</v>
      </c>
      <c r="D611">
        <f t="shared" si="73"/>
        <v>8</v>
      </c>
      <c r="E611" t="str">
        <f t="shared" si="74"/>
        <v>August</v>
      </c>
      <c r="F611" s="128">
        <f t="shared" si="75"/>
        <v>2021</v>
      </c>
      <c r="G611" s="194" t="str">
        <f t="shared" si="76"/>
        <v>2021-08</v>
      </c>
      <c r="H611" s="193">
        <f t="shared" si="77"/>
        <v>44443</v>
      </c>
      <c r="I611">
        <f t="shared" si="78"/>
        <v>36</v>
      </c>
    </row>
    <row r="612" spans="1:9" x14ac:dyDescent="0.3">
      <c r="A612">
        <f t="shared" si="72"/>
        <v>20210831</v>
      </c>
      <c r="B612" s="193">
        <v>44439</v>
      </c>
      <c r="C612" s="196" t="str">
        <f t="shared" si="79"/>
        <v>31 August 2021</v>
      </c>
      <c r="D612">
        <f t="shared" si="73"/>
        <v>8</v>
      </c>
      <c r="E612" t="str">
        <f t="shared" si="74"/>
        <v>August</v>
      </c>
      <c r="F612" s="128">
        <f t="shared" si="75"/>
        <v>2021</v>
      </c>
      <c r="G612" s="194" t="str">
        <f t="shared" si="76"/>
        <v>2021-08</v>
      </c>
      <c r="H612" s="193">
        <f t="shared" si="77"/>
        <v>44443</v>
      </c>
      <c r="I612">
        <f t="shared" si="78"/>
        <v>36</v>
      </c>
    </row>
    <row r="613" spans="1:9" x14ac:dyDescent="0.3">
      <c r="A613">
        <f t="shared" si="72"/>
        <v>20210901</v>
      </c>
      <c r="B613" s="193">
        <v>44440</v>
      </c>
      <c r="C613" s="196" t="str">
        <f t="shared" si="79"/>
        <v>01 September 2021</v>
      </c>
      <c r="D613">
        <f t="shared" si="73"/>
        <v>9</v>
      </c>
      <c r="E613" t="str">
        <f t="shared" si="74"/>
        <v>September</v>
      </c>
      <c r="F613" s="128">
        <f t="shared" si="75"/>
        <v>2021</v>
      </c>
      <c r="G613" s="194" t="str">
        <f t="shared" si="76"/>
        <v>2021-09</v>
      </c>
      <c r="H613" s="193">
        <f t="shared" si="77"/>
        <v>44443</v>
      </c>
      <c r="I613">
        <f t="shared" si="78"/>
        <v>36</v>
      </c>
    </row>
    <row r="614" spans="1:9" x14ac:dyDescent="0.3">
      <c r="A614">
        <f t="shared" si="72"/>
        <v>20210902</v>
      </c>
      <c r="B614" s="193">
        <v>44441</v>
      </c>
      <c r="C614" s="196" t="str">
        <f t="shared" si="79"/>
        <v>02 September 2021</v>
      </c>
      <c r="D614">
        <f t="shared" si="73"/>
        <v>9</v>
      </c>
      <c r="E614" t="str">
        <f t="shared" si="74"/>
        <v>September</v>
      </c>
      <c r="F614" s="128">
        <f t="shared" si="75"/>
        <v>2021</v>
      </c>
      <c r="G614" s="194" t="str">
        <f t="shared" si="76"/>
        <v>2021-09</v>
      </c>
      <c r="H614" s="193">
        <f t="shared" si="77"/>
        <v>44443</v>
      </c>
      <c r="I614">
        <f t="shared" si="78"/>
        <v>36</v>
      </c>
    </row>
    <row r="615" spans="1:9" x14ac:dyDescent="0.3">
      <c r="A615">
        <f t="shared" si="72"/>
        <v>20210903</v>
      </c>
      <c r="B615" s="193">
        <v>44442</v>
      </c>
      <c r="C615" s="196" t="str">
        <f t="shared" si="79"/>
        <v>03 September 2021</v>
      </c>
      <c r="D615">
        <f t="shared" si="73"/>
        <v>9</v>
      </c>
      <c r="E615" t="str">
        <f t="shared" si="74"/>
        <v>September</v>
      </c>
      <c r="F615" s="128">
        <f t="shared" si="75"/>
        <v>2021</v>
      </c>
      <c r="G615" s="194" t="str">
        <f t="shared" si="76"/>
        <v>2021-09</v>
      </c>
      <c r="H615" s="193">
        <f t="shared" si="77"/>
        <v>44443</v>
      </c>
      <c r="I615">
        <f t="shared" si="78"/>
        <v>36</v>
      </c>
    </row>
    <row r="616" spans="1:9" x14ac:dyDescent="0.3">
      <c r="A616">
        <f t="shared" si="72"/>
        <v>20210904</v>
      </c>
      <c r="B616" s="193">
        <v>44443</v>
      </c>
      <c r="C616" s="196" t="str">
        <f t="shared" si="79"/>
        <v>04 September 2021</v>
      </c>
      <c r="D616">
        <f t="shared" si="73"/>
        <v>9</v>
      </c>
      <c r="E616" t="str">
        <f t="shared" si="74"/>
        <v>September</v>
      </c>
      <c r="F616" s="128">
        <f t="shared" si="75"/>
        <v>2021</v>
      </c>
      <c r="G616" s="194" t="str">
        <f t="shared" si="76"/>
        <v>2021-09</v>
      </c>
      <c r="H616" s="193">
        <f t="shared" si="77"/>
        <v>44443</v>
      </c>
      <c r="I616">
        <f t="shared" si="78"/>
        <v>36</v>
      </c>
    </row>
    <row r="617" spans="1:9" x14ac:dyDescent="0.3">
      <c r="A617">
        <f t="shared" si="72"/>
        <v>20210905</v>
      </c>
      <c r="B617" s="193">
        <v>44444</v>
      </c>
      <c r="C617" s="196" t="str">
        <f t="shared" si="79"/>
        <v>05 September 2021</v>
      </c>
      <c r="D617">
        <f t="shared" si="73"/>
        <v>9</v>
      </c>
      <c r="E617" t="str">
        <f t="shared" si="74"/>
        <v>September</v>
      </c>
      <c r="F617" s="128">
        <f t="shared" si="75"/>
        <v>2021</v>
      </c>
      <c r="G617" s="194" t="str">
        <f t="shared" si="76"/>
        <v>2021-09</v>
      </c>
      <c r="H617" s="193">
        <f t="shared" si="77"/>
        <v>44450</v>
      </c>
      <c r="I617">
        <f t="shared" si="78"/>
        <v>36</v>
      </c>
    </row>
    <row r="618" spans="1:9" x14ac:dyDescent="0.3">
      <c r="A618">
        <f t="shared" si="72"/>
        <v>20210906</v>
      </c>
      <c r="B618" s="193">
        <v>44445</v>
      </c>
      <c r="C618" s="196" t="str">
        <f t="shared" si="79"/>
        <v>06 September 2021</v>
      </c>
      <c r="D618">
        <f t="shared" si="73"/>
        <v>9</v>
      </c>
      <c r="E618" t="str">
        <f t="shared" si="74"/>
        <v>September</v>
      </c>
      <c r="F618" s="128">
        <f t="shared" si="75"/>
        <v>2021</v>
      </c>
      <c r="G618" s="194" t="str">
        <f t="shared" si="76"/>
        <v>2021-09</v>
      </c>
      <c r="H618" s="193">
        <f t="shared" si="77"/>
        <v>44450</v>
      </c>
      <c r="I618">
        <f t="shared" si="78"/>
        <v>37</v>
      </c>
    </row>
    <row r="619" spans="1:9" x14ac:dyDescent="0.3">
      <c r="A619">
        <f t="shared" si="72"/>
        <v>20210907</v>
      </c>
      <c r="B619" s="193">
        <v>44446</v>
      </c>
      <c r="C619" s="196" t="str">
        <f t="shared" si="79"/>
        <v>07 September 2021</v>
      </c>
      <c r="D619">
        <f t="shared" si="73"/>
        <v>9</v>
      </c>
      <c r="E619" t="str">
        <f t="shared" si="74"/>
        <v>September</v>
      </c>
      <c r="F619" s="128">
        <f t="shared" si="75"/>
        <v>2021</v>
      </c>
      <c r="G619" s="194" t="str">
        <f t="shared" si="76"/>
        <v>2021-09</v>
      </c>
      <c r="H619" s="193">
        <f t="shared" si="77"/>
        <v>44450</v>
      </c>
      <c r="I619">
        <f t="shared" si="78"/>
        <v>37</v>
      </c>
    </row>
    <row r="620" spans="1:9" x14ac:dyDescent="0.3">
      <c r="A620">
        <f t="shared" si="72"/>
        <v>20210908</v>
      </c>
      <c r="B620" s="193">
        <v>44447</v>
      </c>
      <c r="C620" s="196" t="str">
        <f t="shared" si="79"/>
        <v>08 September 2021</v>
      </c>
      <c r="D620">
        <f t="shared" si="73"/>
        <v>9</v>
      </c>
      <c r="E620" t="str">
        <f t="shared" si="74"/>
        <v>September</v>
      </c>
      <c r="F620" s="128">
        <f t="shared" si="75"/>
        <v>2021</v>
      </c>
      <c r="G620" s="194" t="str">
        <f t="shared" si="76"/>
        <v>2021-09</v>
      </c>
      <c r="H620" s="193">
        <f t="shared" si="77"/>
        <v>44450</v>
      </c>
      <c r="I620">
        <f t="shared" si="78"/>
        <v>37</v>
      </c>
    </row>
    <row r="621" spans="1:9" x14ac:dyDescent="0.3">
      <c r="A621">
        <f t="shared" si="72"/>
        <v>20210909</v>
      </c>
      <c r="B621" s="193">
        <v>44448</v>
      </c>
      <c r="C621" s="196" t="str">
        <f t="shared" si="79"/>
        <v>09 September 2021</v>
      </c>
      <c r="D621">
        <f t="shared" si="73"/>
        <v>9</v>
      </c>
      <c r="E621" t="str">
        <f t="shared" si="74"/>
        <v>September</v>
      </c>
      <c r="F621" s="128">
        <f t="shared" si="75"/>
        <v>2021</v>
      </c>
      <c r="G621" s="194" t="str">
        <f t="shared" si="76"/>
        <v>2021-09</v>
      </c>
      <c r="H621" s="193">
        <f t="shared" si="77"/>
        <v>44450</v>
      </c>
      <c r="I621">
        <f t="shared" si="78"/>
        <v>37</v>
      </c>
    </row>
    <row r="622" spans="1:9" x14ac:dyDescent="0.3">
      <c r="A622">
        <f t="shared" si="72"/>
        <v>20210910</v>
      </c>
      <c r="B622" s="193">
        <v>44449</v>
      </c>
      <c r="C622" s="196" t="str">
        <f t="shared" si="79"/>
        <v>10 September 2021</v>
      </c>
      <c r="D622">
        <f t="shared" si="73"/>
        <v>9</v>
      </c>
      <c r="E622" t="str">
        <f t="shared" si="74"/>
        <v>September</v>
      </c>
      <c r="F622" s="128">
        <f t="shared" si="75"/>
        <v>2021</v>
      </c>
      <c r="G622" s="194" t="str">
        <f t="shared" si="76"/>
        <v>2021-09</v>
      </c>
      <c r="H622" s="193">
        <f t="shared" si="77"/>
        <v>44450</v>
      </c>
      <c r="I622">
        <f t="shared" si="78"/>
        <v>37</v>
      </c>
    </row>
    <row r="623" spans="1:9" x14ac:dyDescent="0.3">
      <c r="A623">
        <f t="shared" si="72"/>
        <v>20210911</v>
      </c>
      <c r="B623" s="193">
        <v>44450</v>
      </c>
      <c r="C623" s="196" t="str">
        <f t="shared" si="79"/>
        <v>11 September 2021</v>
      </c>
      <c r="D623">
        <f t="shared" si="73"/>
        <v>9</v>
      </c>
      <c r="E623" t="str">
        <f t="shared" si="74"/>
        <v>September</v>
      </c>
      <c r="F623" s="128">
        <f t="shared" si="75"/>
        <v>2021</v>
      </c>
      <c r="G623" s="194" t="str">
        <f t="shared" si="76"/>
        <v>2021-09</v>
      </c>
      <c r="H623" s="193">
        <f t="shared" si="77"/>
        <v>44450</v>
      </c>
      <c r="I623">
        <f t="shared" si="78"/>
        <v>37</v>
      </c>
    </row>
    <row r="624" spans="1:9" x14ac:dyDescent="0.3">
      <c r="A624">
        <f t="shared" si="72"/>
        <v>20210912</v>
      </c>
      <c r="B624" s="193">
        <v>44451</v>
      </c>
      <c r="C624" s="196" t="str">
        <f t="shared" si="79"/>
        <v>12 September 2021</v>
      </c>
      <c r="D624">
        <f t="shared" si="73"/>
        <v>9</v>
      </c>
      <c r="E624" t="str">
        <f t="shared" si="74"/>
        <v>September</v>
      </c>
      <c r="F624" s="128">
        <f t="shared" si="75"/>
        <v>2021</v>
      </c>
      <c r="G624" s="194" t="str">
        <f t="shared" si="76"/>
        <v>2021-09</v>
      </c>
      <c r="H624" s="193">
        <f t="shared" si="77"/>
        <v>44457</v>
      </c>
      <c r="I624">
        <f t="shared" si="78"/>
        <v>37</v>
      </c>
    </row>
    <row r="625" spans="1:9" x14ac:dyDescent="0.3">
      <c r="A625">
        <f t="shared" si="72"/>
        <v>20210913</v>
      </c>
      <c r="B625" s="193">
        <v>44452</v>
      </c>
      <c r="C625" s="196" t="str">
        <f t="shared" si="79"/>
        <v>13 September 2021</v>
      </c>
      <c r="D625">
        <f t="shared" si="73"/>
        <v>9</v>
      </c>
      <c r="E625" t="str">
        <f t="shared" si="74"/>
        <v>September</v>
      </c>
      <c r="F625" s="128">
        <f t="shared" si="75"/>
        <v>2021</v>
      </c>
      <c r="G625" s="194" t="str">
        <f t="shared" si="76"/>
        <v>2021-09</v>
      </c>
      <c r="H625" s="193">
        <f t="shared" si="77"/>
        <v>44457</v>
      </c>
      <c r="I625">
        <f t="shared" si="78"/>
        <v>38</v>
      </c>
    </row>
    <row r="626" spans="1:9" x14ac:dyDescent="0.3">
      <c r="A626">
        <f t="shared" si="72"/>
        <v>20210914</v>
      </c>
      <c r="B626" s="193">
        <v>44453</v>
      </c>
      <c r="C626" s="196" t="str">
        <f t="shared" si="79"/>
        <v>14 September 2021</v>
      </c>
      <c r="D626">
        <f t="shared" si="73"/>
        <v>9</v>
      </c>
      <c r="E626" t="str">
        <f t="shared" si="74"/>
        <v>September</v>
      </c>
      <c r="F626" s="128">
        <f t="shared" si="75"/>
        <v>2021</v>
      </c>
      <c r="G626" s="194" t="str">
        <f t="shared" si="76"/>
        <v>2021-09</v>
      </c>
      <c r="H626" s="193">
        <f t="shared" si="77"/>
        <v>44457</v>
      </c>
      <c r="I626">
        <f t="shared" si="78"/>
        <v>38</v>
      </c>
    </row>
    <row r="627" spans="1:9" x14ac:dyDescent="0.3">
      <c r="A627">
        <f t="shared" si="72"/>
        <v>20210915</v>
      </c>
      <c r="B627" s="193">
        <v>44454</v>
      </c>
      <c r="C627" s="196" t="str">
        <f t="shared" si="79"/>
        <v>15 September 2021</v>
      </c>
      <c r="D627">
        <f t="shared" si="73"/>
        <v>9</v>
      </c>
      <c r="E627" t="str">
        <f t="shared" si="74"/>
        <v>September</v>
      </c>
      <c r="F627" s="128">
        <f t="shared" si="75"/>
        <v>2021</v>
      </c>
      <c r="G627" s="194" t="str">
        <f t="shared" si="76"/>
        <v>2021-09</v>
      </c>
      <c r="H627" s="193">
        <f t="shared" si="77"/>
        <v>44457</v>
      </c>
      <c r="I627">
        <f t="shared" si="78"/>
        <v>38</v>
      </c>
    </row>
    <row r="628" spans="1:9" x14ac:dyDescent="0.3">
      <c r="A628">
        <f t="shared" si="72"/>
        <v>20210916</v>
      </c>
      <c r="B628" s="193">
        <v>44455</v>
      </c>
      <c r="C628" s="196" t="str">
        <f t="shared" si="79"/>
        <v>16 September 2021</v>
      </c>
      <c r="D628">
        <f t="shared" si="73"/>
        <v>9</v>
      </c>
      <c r="E628" t="str">
        <f t="shared" si="74"/>
        <v>September</v>
      </c>
      <c r="F628" s="128">
        <f t="shared" si="75"/>
        <v>2021</v>
      </c>
      <c r="G628" s="194" t="str">
        <f t="shared" si="76"/>
        <v>2021-09</v>
      </c>
      <c r="H628" s="193">
        <f t="shared" si="77"/>
        <v>44457</v>
      </c>
      <c r="I628">
        <f t="shared" si="78"/>
        <v>38</v>
      </c>
    </row>
    <row r="629" spans="1:9" x14ac:dyDescent="0.3">
      <c r="A629">
        <f t="shared" si="72"/>
        <v>20210917</v>
      </c>
      <c r="B629" s="193">
        <v>44456</v>
      </c>
      <c r="C629" s="196" t="str">
        <f t="shared" si="79"/>
        <v>17 September 2021</v>
      </c>
      <c r="D629">
        <f t="shared" si="73"/>
        <v>9</v>
      </c>
      <c r="E629" t="str">
        <f t="shared" si="74"/>
        <v>September</v>
      </c>
      <c r="F629" s="128">
        <f t="shared" si="75"/>
        <v>2021</v>
      </c>
      <c r="G629" s="194" t="str">
        <f t="shared" si="76"/>
        <v>2021-09</v>
      </c>
      <c r="H629" s="193">
        <f t="shared" si="77"/>
        <v>44457</v>
      </c>
      <c r="I629">
        <f t="shared" si="78"/>
        <v>38</v>
      </c>
    </row>
    <row r="630" spans="1:9" x14ac:dyDescent="0.3">
      <c r="A630">
        <f t="shared" si="72"/>
        <v>20210918</v>
      </c>
      <c r="B630" s="193">
        <v>44457</v>
      </c>
      <c r="C630" s="196" t="str">
        <f t="shared" si="79"/>
        <v>18 September 2021</v>
      </c>
      <c r="D630">
        <f t="shared" si="73"/>
        <v>9</v>
      </c>
      <c r="E630" t="str">
        <f t="shared" si="74"/>
        <v>September</v>
      </c>
      <c r="F630" s="128">
        <f t="shared" si="75"/>
        <v>2021</v>
      </c>
      <c r="G630" s="194" t="str">
        <f t="shared" si="76"/>
        <v>2021-09</v>
      </c>
      <c r="H630" s="193">
        <f t="shared" si="77"/>
        <v>44457</v>
      </c>
      <c r="I630">
        <f t="shared" si="78"/>
        <v>38</v>
      </c>
    </row>
    <row r="631" spans="1:9" x14ac:dyDescent="0.3">
      <c r="A631">
        <f t="shared" si="72"/>
        <v>20210919</v>
      </c>
      <c r="B631" s="193">
        <v>44458</v>
      </c>
      <c r="C631" s="196" t="str">
        <f t="shared" si="79"/>
        <v>19 September 2021</v>
      </c>
      <c r="D631">
        <f t="shared" si="73"/>
        <v>9</v>
      </c>
      <c r="E631" t="str">
        <f t="shared" si="74"/>
        <v>September</v>
      </c>
      <c r="F631" s="128">
        <f t="shared" si="75"/>
        <v>2021</v>
      </c>
      <c r="G631" s="194" t="str">
        <f t="shared" si="76"/>
        <v>2021-09</v>
      </c>
      <c r="H631" s="193">
        <f t="shared" si="77"/>
        <v>44464</v>
      </c>
      <c r="I631">
        <f t="shared" si="78"/>
        <v>38</v>
      </c>
    </row>
    <row r="632" spans="1:9" x14ac:dyDescent="0.3">
      <c r="A632">
        <f t="shared" si="72"/>
        <v>20210920</v>
      </c>
      <c r="B632" s="193">
        <v>44459</v>
      </c>
      <c r="C632" s="196" t="str">
        <f t="shared" si="79"/>
        <v>20 September 2021</v>
      </c>
      <c r="D632">
        <f t="shared" si="73"/>
        <v>9</v>
      </c>
      <c r="E632" t="str">
        <f t="shared" si="74"/>
        <v>September</v>
      </c>
      <c r="F632" s="128">
        <f t="shared" si="75"/>
        <v>2021</v>
      </c>
      <c r="G632" s="194" t="str">
        <f t="shared" si="76"/>
        <v>2021-09</v>
      </c>
      <c r="H632" s="193">
        <f t="shared" si="77"/>
        <v>44464</v>
      </c>
      <c r="I632">
        <f t="shared" si="78"/>
        <v>39</v>
      </c>
    </row>
    <row r="633" spans="1:9" x14ac:dyDescent="0.3">
      <c r="A633">
        <f t="shared" si="72"/>
        <v>20210921</v>
      </c>
      <c r="B633" s="193">
        <v>44460</v>
      </c>
      <c r="C633" s="196" t="str">
        <f t="shared" si="79"/>
        <v>21 September 2021</v>
      </c>
      <c r="D633">
        <f t="shared" si="73"/>
        <v>9</v>
      </c>
      <c r="E633" t="str">
        <f t="shared" si="74"/>
        <v>September</v>
      </c>
      <c r="F633" s="128">
        <f t="shared" si="75"/>
        <v>2021</v>
      </c>
      <c r="G633" s="194" t="str">
        <f t="shared" si="76"/>
        <v>2021-09</v>
      </c>
      <c r="H633" s="193">
        <f t="shared" si="77"/>
        <v>44464</v>
      </c>
      <c r="I633">
        <f t="shared" si="78"/>
        <v>39</v>
      </c>
    </row>
    <row r="634" spans="1:9" x14ac:dyDescent="0.3">
      <c r="A634">
        <f t="shared" si="72"/>
        <v>20210922</v>
      </c>
      <c r="B634" s="193">
        <v>44461</v>
      </c>
      <c r="C634" s="196" t="str">
        <f t="shared" si="79"/>
        <v>22 September 2021</v>
      </c>
      <c r="D634">
        <f t="shared" si="73"/>
        <v>9</v>
      </c>
      <c r="E634" t="str">
        <f t="shared" si="74"/>
        <v>September</v>
      </c>
      <c r="F634" s="128">
        <f t="shared" si="75"/>
        <v>2021</v>
      </c>
      <c r="G634" s="194" t="str">
        <f t="shared" si="76"/>
        <v>2021-09</v>
      </c>
      <c r="H634" s="193">
        <f t="shared" si="77"/>
        <v>44464</v>
      </c>
      <c r="I634">
        <f t="shared" si="78"/>
        <v>39</v>
      </c>
    </row>
    <row r="635" spans="1:9" x14ac:dyDescent="0.3">
      <c r="A635">
        <f t="shared" si="72"/>
        <v>20210923</v>
      </c>
      <c r="B635" s="193">
        <v>44462</v>
      </c>
      <c r="C635" s="196" t="str">
        <f t="shared" si="79"/>
        <v>23 September 2021</v>
      </c>
      <c r="D635">
        <f t="shared" si="73"/>
        <v>9</v>
      </c>
      <c r="E635" t="str">
        <f t="shared" si="74"/>
        <v>September</v>
      </c>
      <c r="F635" s="128">
        <f t="shared" si="75"/>
        <v>2021</v>
      </c>
      <c r="G635" s="194" t="str">
        <f t="shared" si="76"/>
        <v>2021-09</v>
      </c>
      <c r="H635" s="193">
        <f t="shared" si="77"/>
        <v>44464</v>
      </c>
      <c r="I635">
        <f t="shared" si="78"/>
        <v>39</v>
      </c>
    </row>
    <row r="636" spans="1:9" x14ac:dyDescent="0.3">
      <c r="A636">
        <f t="shared" si="72"/>
        <v>20210924</v>
      </c>
      <c r="B636" s="193">
        <v>44463</v>
      </c>
      <c r="C636" s="196" t="str">
        <f t="shared" si="79"/>
        <v>24 September 2021</v>
      </c>
      <c r="D636">
        <f t="shared" si="73"/>
        <v>9</v>
      </c>
      <c r="E636" t="str">
        <f t="shared" si="74"/>
        <v>September</v>
      </c>
      <c r="F636" s="128">
        <f t="shared" si="75"/>
        <v>2021</v>
      </c>
      <c r="G636" s="194" t="str">
        <f t="shared" si="76"/>
        <v>2021-09</v>
      </c>
      <c r="H636" s="193">
        <f t="shared" si="77"/>
        <v>44464</v>
      </c>
      <c r="I636">
        <f t="shared" si="78"/>
        <v>39</v>
      </c>
    </row>
    <row r="637" spans="1:9" x14ac:dyDescent="0.3">
      <c r="A637">
        <f t="shared" si="72"/>
        <v>20210925</v>
      </c>
      <c r="B637" s="193">
        <v>44464</v>
      </c>
      <c r="C637" s="196" t="str">
        <f t="shared" si="79"/>
        <v>25 September 2021</v>
      </c>
      <c r="D637">
        <f t="shared" si="73"/>
        <v>9</v>
      </c>
      <c r="E637" t="str">
        <f t="shared" si="74"/>
        <v>September</v>
      </c>
      <c r="F637" s="128">
        <f t="shared" si="75"/>
        <v>2021</v>
      </c>
      <c r="G637" s="194" t="str">
        <f t="shared" si="76"/>
        <v>2021-09</v>
      </c>
      <c r="H637" s="193">
        <f t="shared" si="77"/>
        <v>44464</v>
      </c>
      <c r="I637">
        <f t="shared" si="78"/>
        <v>39</v>
      </c>
    </row>
    <row r="638" spans="1:9" x14ac:dyDescent="0.3">
      <c r="A638">
        <f t="shared" si="72"/>
        <v>20210926</v>
      </c>
      <c r="B638" s="193">
        <v>44465</v>
      </c>
      <c r="C638" s="196" t="str">
        <f t="shared" si="79"/>
        <v>26 September 2021</v>
      </c>
      <c r="D638">
        <f t="shared" si="73"/>
        <v>9</v>
      </c>
      <c r="E638" t="str">
        <f t="shared" si="74"/>
        <v>September</v>
      </c>
      <c r="F638" s="128">
        <f t="shared" si="75"/>
        <v>2021</v>
      </c>
      <c r="G638" s="194" t="str">
        <f t="shared" si="76"/>
        <v>2021-09</v>
      </c>
      <c r="H638" s="193">
        <f t="shared" si="77"/>
        <v>44471</v>
      </c>
      <c r="I638">
        <f t="shared" si="78"/>
        <v>39</v>
      </c>
    </row>
    <row r="639" spans="1:9" x14ac:dyDescent="0.3">
      <c r="A639">
        <f t="shared" si="72"/>
        <v>20210927</v>
      </c>
      <c r="B639" s="193">
        <v>44466</v>
      </c>
      <c r="C639" s="196" t="str">
        <f t="shared" si="79"/>
        <v>27 September 2021</v>
      </c>
      <c r="D639">
        <f t="shared" si="73"/>
        <v>9</v>
      </c>
      <c r="E639" t="str">
        <f t="shared" si="74"/>
        <v>September</v>
      </c>
      <c r="F639" s="128">
        <f t="shared" si="75"/>
        <v>2021</v>
      </c>
      <c r="G639" s="194" t="str">
        <f t="shared" si="76"/>
        <v>2021-09</v>
      </c>
      <c r="H639" s="193">
        <f t="shared" si="77"/>
        <v>44471</v>
      </c>
      <c r="I639">
        <f t="shared" si="78"/>
        <v>40</v>
      </c>
    </row>
    <row r="640" spans="1:9" x14ac:dyDescent="0.3">
      <c r="A640">
        <f t="shared" si="72"/>
        <v>20210928</v>
      </c>
      <c r="B640" s="193">
        <v>44467</v>
      </c>
      <c r="C640" s="196" t="str">
        <f t="shared" si="79"/>
        <v>28 September 2021</v>
      </c>
      <c r="D640">
        <f t="shared" si="73"/>
        <v>9</v>
      </c>
      <c r="E640" t="str">
        <f t="shared" si="74"/>
        <v>September</v>
      </c>
      <c r="F640" s="128">
        <f t="shared" si="75"/>
        <v>2021</v>
      </c>
      <c r="G640" s="194" t="str">
        <f t="shared" si="76"/>
        <v>2021-09</v>
      </c>
      <c r="H640" s="193">
        <f t="shared" si="77"/>
        <v>44471</v>
      </c>
      <c r="I640">
        <f t="shared" si="78"/>
        <v>40</v>
      </c>
    </row>
    <row r="641" spans="1:9" x14ac:dyDescent="0.3">
      <c r="A641">
        <f t="shared" si="72"/>
        <v>20210929</v>
      </c>
      <c r="B641" s="193">
        <v>44468</v>
      </c>
      <c r="C641" s="196" t="str">
        <f t="shared" si="79"/>
        <v>29 September 2021</v>
      </c>
      <c r="D641">
        <f t="shared" si="73"/>
        <v>9</v>
      </c>
      <c r="E641" t="str">
        <f t="shared" si="74"/>
        <v>September</v>
      </c>
      <c r="F641" s="128">
        <f t="shared" si="75"/>
        <v>2021</v>
      </c>
      <c r="G641" s="194" t="str">
        <f t="shared" si="76"/>
        <v>2021-09</v>
      </c>
      <c r="H641" s="193">
        <f t="shared" si="77"/>
        <v>44471</v>
      </c>
      <c r="I641">
        <f t="shared" si="78"/>
        <v>40</v>
      </c>
    </row>
    <row r="642" spans="1:9" x14ac:dyDescent="0.3">
      <c r="A642">
        <f t="shared" si="72"/>
        <v>20210930</v>
      </c>
      <c r="B642" s="193">
        <v>44469</v>
      </c>
      <c r="C642" s="196" t="str">
        <f t="shared" si="79"/>
        <v>30 September 2021</v>
      </c>
      <c r="D642">
        <f t="shared" si="73"/>
        <v>9</v>
      </c>
      <c r="E642" t="str">
        <f t="shared" si="74"/>
        <v>September</v>
      </c>
      <c r="F642" s="128">
        <f t="shared" si="75"/>
        <v>2021</v>
      </c>
      <c r="G642" s="194" t="str">
        <f t="shared" si="76"/>
        <v>2021-09</v>
      </c>
      <c r="H642" s="193">
        <f t="shared" si="77"/>
        <v>44471</v>
      </c>
      <c r="I642">
        <f t="shared" si="78"/>
        <v>40</v>
      </c>
    </row>
    <row r="643" spans="1:9" x14ac:dyDescent="0.3">
      <c r="A643">
        <f t="shared" ref="A643:A706" si="80">YEAR(B643)*10000+MONTH(B643)*100+DAY(B643)</f>
        <v>20211001</v>
      </c>
      <c r="B643" s="193">
        <v>44470</v>
      </c>
      <c r="C643" s="196" t="str">
        <f t="shared" si="79"/>
        <v>01 October 2021</v>
      </c>
      <c r="D643">
        <f t="shared" ref="D643:D706" si="81">MONTH(B643)</f>
        <v>10</v>
      </c>
      <c r="E643" t="str">
        <f t="shared" ref="E643:E706" si="82">TEXT(B643,"MMMM")</f>
        <v>October</v>
      </c>
      <c r="F643" s="128">
        <f t="shared" ref="F643:F706" si="83">YEAR(B643)</f>
        <v>2021</v>
      </c>
      <c r="G643" s="194" t="str">
        <f t="shared" ref="G643:G706" si="84">TEXT(B643,"YYYY-MM")</f>
        <v>2021-10</v>
      </c>
      <c r="H643" s="193">
        <f t="shared" ref="H643:H706" si="85">B643-WEEKDAY(B643)+7</f>
        <v>44471</v>
      </c>
      <c r="I643">
        <f t="shared" ref="I643:I706" si="86">WEEKNUM(B643,2)</f>
        <v>40</v>
      </c>
    </row>
    <row r="644" spans="1:9" x14ac:dyDescent="0.3">
      <c r="A644">
        <f t="shared" si="80"/>
        <v>20211002</v>
      </c>
      <c r="B644" s="193">
        <v>44471</v>
      </c>
      <c r="C644" s="196" t="str">
        <f t="shared" ref="C644:C707" si="87">TEXT(B644,"dd MMMM YYYY")</f>
        <v>02 October 2021</v>
      </c>
      <c r="D644">
        <f t="shared" si="81"/>
        <v>10</v>
      </c>
      <c r="E644" t="str">
        <f t="shared" si="82"/>
        <v>October</v>
      </c>
      <c r="F644" s="128">
        <f t="shared" si="83"/>
        <v>2021</v>
      </c>
      <c r="G644" s="194" t="str">
        <f t="shared" si="84"/>
        <v>2021-10</v>
      </c>
      <c r="H644" s="193">
        <f t="shared" si="85"/>
        <v>44471</v>
      </c>
      <c r="I644">
        <f t="shared" si="86"/>
        <v>40</v>
      </c>
    </row>
    <row r="645" spans="1:9" x14ac:dyDescent="0.3">
      <c r="A645">
        <f t="shared" si="80"/>
        <v>20211003</v>
      </c>
      <c r="B645" s="193">
        <v>44472</v>
      </c>
      <c r="C645" s="196" t="str">
        <f t="shared" si="87"/>
        <v>03 October 2021</v>
      </c>
      <c r="D645">
        <f t="shared" si="81"/>
        <v>10</v>
      </c>
      <c r="E645" t="str">
        <f t="shared" si="82"/>
        <v>October</v>
      </c>
      <c r="F645" s="128">
        <f t="shared" si="83"/>
        <v>2021</v>
      </c>
      <c r="G645" s="194" t="str">
        <f t="shared" si="84"/>
        <v>2021-10</v>
      </c>
      <c r="H645" s="193">
        <f t="shared" si="85"/>
        <v>44478</v>
      </c>
      <c r="I645">
        <f t="shared" si="86"/>
        <v>40</v>
      </c>
    </row>
    <row r="646" spans="1:9" x14ac:dyDescent="0.3">
      <c r="A646">
        <f t="shared" si="80"/>
        <v>20211004</v>
      </c>
      <c r="B646" s="193">
        <v>44473</v>
      </c>
      <c r="C646" s="196" t="str">
        <f t="shared" si="87"/>
        <v>04 October 2021</v>
      </c>
      <c r="D646">
        <f t="shared" si="81"/>
        <v>10</v>
      </c>
      <c r="E646" t="str">
        <f t="shared" si="82"/>
        <v>October</v>
      </c>
      <c r="F646" s="128">
        <f t="shared" si="83"/>
        <v>2021</v>
      </c>
      <c r="G646" s="194" t="str">
        <f t="shared" si="84"/>
        <v>2021-10</v>
      </c>
      <c r="H646" s="193">
        <f t="shared" si="85"/>
        <v>44478</v>
      </c>
      <c r="I646">
        <f t="shared" si="86"/>
        <v>41</v>
      </c>
    </row>
    <row r="647" spans="1:9" x14ac:dyDescent="0.3">
      <c r="A647">
        <f t="shared" si="80"/>
        <v>20211005</v>
      </c>
      <c r="B647" s="193">
        <v>44474</v>
      </c>
      <c r="C647" s="196" t="str">
        <f t="shared" si="87"/>
        <v>05 October 2021</v>
      </c>
      <c r="D647">
        <f t="shared" si="81"/>
        <v>10</v>
      </c>
      <c r="E647" t="str">
        <f t="shared" si="82"/>
        <v>October</v>
      </c>
      <c r="F647" s="128">
        <f t="shared" si="83"/>
        <v>2021</v>
      </c>
      <c r="G647" s="194" t="str">
        <f t="shared" si="84"/>
        <v>2021-10</v>
      </c>
      <c r="H647" s="193">
        <f t="shared" si="85"/>
        <v>44478</v>
      </c>
      <c r="I647">
        <f t="shared" si="86"/>
        <v>41</v>
      </c>
    </row>
    <row r="648" spans="1:9" x14ac:dyDescent="0.3">
      <c r="A648">
        <f t="shared" si="80"/>
        <v>20211006</v>
      </c>
      <c r="B648" s="193">
        <v>44475</v>
      </c>
      <c r="C648" s="196" t="str">
        <f t="shared" si="87"/>
        <v>06 October 2021</v>
      </c>
      <c r="D648">
        <f t="shared" si="81"/>
        <v>10</v>
      </c>
      <c r="E648" t="str">
        <f t="shared" si="82"/>
        <v>October</v>
      </c>
      <c r="F648" s="128">
        <f t="shared" si="83"/>
        <v>2021</v>
      </c>
      <c r="G648" s="194" t="str">
        <f t="shared" si="84"/>
        <v>2021-10</v>
      </c>
      <c r="H648" s="193">
        <f t="shared" si="85"/>
        <v>44478</v>
      </c>
      <c r="I648">
        <f t="shared" si="86"/>
        <v>41</v>
      </c>
    </row>
    <row r="649" spans="1:9" x14ac:dyDescent="0.3">
      <c r="A649">
        <f t="shared" si="80"/>
        <v>20211007</v>
      </c>
      <c r="B649" s="193">
        <v>44476</v>
      </c>
      <c r="C649" s="196" t="str">
        <f t="shared" si="87"/>
        <v>07 October 2021</v>
      </c>
      <c r="D649">
        <f t="shared" si="81"/>
        <v>10</v>
      </c>
      <c r="E649" t="str">
        <f t="shared" si="82"/>
        <v>October</v>
      </c>
      <c r="F649" s="128">
        <f t="shared" si="83"/>
        <v>2021</v>
      </c>
      <c r="G649" s="194" t="str">
        <f t="shared" si="84"/>
        <v>2021-10</v>
      </c>
      <c r="H649" s="193">
        <f t="shared" si="85"/>
        <v>44478</v>
      </c>
      <c r="I649">
        <f t="shared" si="86"/>
        <v>41</v>
      </c>
    </row>
    <row r="650" spans="1:9" x14ac:dyDescent="0.3">
      <c r="A650">
        <f t="shared" si="80"/>
        <v>20211008</v>
      </c>
      <c r="B650" s="193">
        <v>44477</v>
      </c>
      <c r="C650" s="196" t="str">
        <f t="shared" si="87"/>
        <v>08 October 2021</v>
      </c>
      <c r="D650">
        <f t="shared" si="81"/>
        <v>10</v>
      </c>
      <c r="E650" t="str">
        <f t="shared" si="82"/>
        <v>October</v>
      </c>
      <c r="F650" s="128">
        <f t="shared" si="83"/>
        <v>2021</v>
      </c>
      <c r="G650" s="194" t="str">
        <f t="shared" si="84"/>
        <v>2021-10</v>
      </c>
      <c r="H650" s="193">
        <f t="shared" si="85"/>
        <v>44478</v>
      </c>
      <c r="I650">
        <f t="shared" si="86"/>
        <v>41</v>
      </c>
    </row>
    <row r="651" spans="1:9" x14ac:dyDescent="0.3">
      <c r="A651">
        <f t="shared" si="80"/>
        <v>20211009</v>
      </c>
      <c r="B651" s="193">
        <v>44478</v>
      </c>
      <c r="C651" s="196" t="str">
        <f t="shared" si="87"/>
        <v>09 October 2021</v>
      </c>
      <c r="D651">
        <f t="shared" si="81"/>
        <v>10</v>
      </c>
      <c r="E651" t="str">
        <f t="shared" si="82"/>
        <v>October</v>
      </c>
      <c r="F651" s="128">
        <f t="shared" si="83"/>
        <v>2021</v>
      </c>
      <c r="G651" s="194" t="str">
        <f t="shared" si="84"/>
        <v>2021-10</v>
      </c>
      <c r="H651" s="193">
        <f t="shared" si="85"/>
        <v>44478</v>
      </c>
      <c r="I651">
        <f t="shared" si="86"/>
        <v>41</v>
      </c>
    </row>
    <row r="652" spans="1:9" x14ac:dyDescent="0.3">
      <c r="A652">
        <f t="shared" si="80"/>
        <v>20211010</v>
      </c>
      <c r="B652" s="193">
        <v>44479</v>
      </c>
      <c r="C652" s="196" t="str">
        <f t="shared" si="87"/>
        <v>10 October 2021</v>
      </c>
      <c r="D652">
        <f t="shared" si="81"/>
        <v>10</v>
      </c>
      <c r="E652" t="str">
        <f t="shared" si="82"/>
        <v>October</v>
      </c>
      <c r="F652" s="128">
        <f t="shared" si="83"/>
        <v>2021</v>
      </c>
      <c r="G652" s="194" t="str">
        <f t="shared" si="84"/>
        <v>2021-10</v>
      </c>
      <c r="H652" s="193">
        <f t="shared" si="85"/>
        <v>44485</v>
      </c>
      <c r="I652">
        <f t="shared" si="86"/>
        <v>41</v>
      </c>
    </row>
    <row r="653" spans="1:9" x14ac:dyDescent="0.3">
      <c r="A653">
        <f t="shared" si="80"/>
        <v>20211011</v>
      </c>
      <c r="B653" s="193">
        <v>44480</v>
      </c>
      <c r="C653" s="196" t="str">
        <f t="shared" si="87"/>
        <v>11 October 2021</v>
      </c>
      <c r="D653">
        <f t="shared" si="81"/>
        <v>10</v>
      </c>
      <c r="E653" t="str">
        <f t="shared" si="82"/>
        <v>October</v>
      </c>
      <c r="F653" s="128">
        <f t="shared" si="83"/>
        <v>2021</v>
      </c>
      <c r="G653" s="194" t="str">
        <f t="shared" si="84"/>
        <v>2021-10</v>
      </c>
      <c r="H653" s="193">
        <f t="shared" si="85"/>
        <v>44485</v>
      </c>
      <c r="I653">
        <f t="shared" si="86"/>
        <v>42</v>
      </c>
    </row>
    <row r="654" spans="1:9" x14ac:dyDescent="0.3">
      <c r="A654">
        <f t="shared" si="80"/>
        <v>20211012</v>
      </c>
      <c r="B654" s="193">
        <v>44481</v>
      </c>
      <c r="C654" s="196" t="str">
        <f t="shared" si="87"/>
        <v>12 October 2021</v>
      </c>
      <c r="D654">
        <f t="shared" si="81"/>
        <v>10</v>
      </c>
      <c r="E654" t="str">
        <f t="shared" si="82"/>
        <v>October</v>
      </c>
      <c r="F654" s="128">
        <f t="shared" si="83"/>
        <v>2021</v>
      </c>
      <c r="G654" s="194" t="str">
        <f t="shared" si="84"/>
        <v>2021-10</v>
      </c>
      <c r="H654" s="193">
        <f t="shared" si="85"/>
        <v>44485</v>
      </c>
      <c r="I654">
        <f t="shared" si="86"/>
        <v>42</v>
      </c>
    </row>
    <row r="655" spans="1:9" x14ac:dyDescent="0.3">
      <c r="A655">
        <f t="shared" si="80"/>
        <v>20211013</v>
      </c>
      <c r="B655" s="193">
        <v>44482</v>
      </c>
      <c r="C655" s="196" t="str">
        <f t="shared" si="87"/>
        <v>13 October 2021</v>
      </c>
      <c r="D655">
        <f t="shared" si="81"/>
        <v>10</v>
      </c>
      <c r="E655" t="str">
        <f t="shared" si="82"/>
        <v>October</v>
      </c>
      <c r="F655" s="128">
        <f t="shared" si="83"/>
        <v>2021</v>
      </c>
      <c r="G655" s="194" t="str">
        <f t="shared" si="84"/>
        <v>2021-10</v>
      </c>
      <c r="H655" s="193">
        <f t="shared" si="85"/>
        <v>44485</v>
      </c>
      <c r="I655">
        <f t="shared" si="86"/>
        <v>42</v>
      </c>
    </row>
    <row r="656" spans="1:9" x14ac:dyDescent="0.3">
      <c r="A656">
        <f t="shared" si="80"/>
        <v>20211014</v>
      </c>
      <c r="B656" s="193">
        <v>44483</v>
      </c>
      <c r="C656" s="196" t="str">
        <f t="shared" si="87"/>
        <v>14 October 2021</v>
      </c>
      <c r="D656">
        <f t="shared" si="81"/>
        <v>10</v>
      </c>
      <c r="E656" t="str">
        <f t="shared" si="82"/>
        <v>October</v>
      </c>
      <c r="F656" s="128">
        <f t="shared" si="83"/>
        <v>2021</v>
      </c>
      <c r="G656" s="194" t="str">
        <f t="shared" si="84"/>
        <v>2021-10</v>
      </c>
      <c r="H656" s="193">
        <f t="shared" si="85"/>
        <v>44485</v>
      </c>
      <c r="I656">
        <f t="shared" si="86"/>
        <v>42</v>
      </c>
    </row>
    <row r="657" spans="1:9" x14ac:dyDescent="0.3">
      <c r="A657">
        <f t="shared" si="80"/>
        <v>20211015</v>
      </c>
      <c r="B657" s="193">
        <v>44484</v>
      </c>
      <c r="C657" s="196" t="str">
        <f t="shared" si="87"/>
        <v>15 October 2021</v>
      </c>
      <c r="D657">
        <f t="shared" si="81"/>
        <v>10</v>
      </c>
      <c r="E657" t="str">
        <f t="shared" si="82"/>
        <v>October</v>
      </c>
      <c r="F657" s="128">
        <f t="shared" si="83"/>
        <v>2021</v>
      </c>
      <c r="G657" s="194" t="str">
        <f t="shared" si="84"/>
        <v>2021-10</v>
      </c>
      <c r="H657" s="193">
        <f t="shared" si="85"/>
        <v>44485</v>
      </c>
      <c r="I657">
        <f t="shared" si="86"/>
        <v>42</v>
      </c>
    </row>
    <row r="658" spans="1:9" x14ac:dyDescent="0.3">
      <c r="A658">
        <f t="shared" si="80"/>
        <v>20211016</v>
      </c>
      <c r="B658" s="193">
        <v>44485</v>
      </c>
      <c r="C658" s="196" t="str">
        <f t="shared" si="87"/>
        <v>16 October 2021</v>
      </c>
      <c r="D658">
        <f t="shared" si="81"/>
        <v>10</v>
      </c>
      <c r="E658" t="str">
        <f t="shared" si="82"/>
        <v>October</v>
      </c>
      <c r="F658" s="128">
        <f t="shared" si="83"/>
        <v>2021</v>
      </c>
      <c r="G658" s="194" t="str">
        <f t="shared" si="84"/>
        <v>2021-10</v>
      </c>
      <c r="H658" s="193">
        <f t="shared" si="85"/>
        <v>44485</v>
      </c>
      <c r="I658">
        <f t="shared" si="86"/>
        <v>42</v>
      </c>
    </row>
    <row r="659" spans="1:9" x14ac:dyDescent="0.3">
      <c r="A659">
        <f t="shared" si="80"/>
        <v>20211017</v>
      </c>
      <c r="B659" s="193">
        <v>44486</v>
      </c>
      <c r="C659" s="196" t="str">
        <f t="shared" si="87"/>
        <v>17 October 2021</v>
      </c>
      <c r="D659">
        <f t="shared" si="81"/>
        <v>10</v>
      </c>
      <c r="E659" t="str">
        <f t="shared" si="82"/>
        <v>October</v>
      </c>
      <c r="F659" s="128">
        <f t="shared" si="83"/>
        <v>2021</v>
      </c>
      <c r="G659" s="194" t="str">
        <f t="shared" si="84"/>
        <v>2021-10</v>
      </c>
      <c r="H659" s="193">
        <f t="shared" si="85"/>
        <v>44492</v>
      </c>
      <c r="I659">
        <f t="shared" si="86"/>
        <v>42</v>
      </c>
    </row>
    <row r="660" spans="1:9" x14ac:dyDescent="0.3">
      <c r="A660">
        <f t="shared" si="80"/>
        <v>20211018</v>
      </c>
      <c r="B660" s="193">
        <v>44487</v>
      </c>
      <c r="C660" s="196" t="str">
        <f t="shared" si="87"/>
        <v>18 October 2021</v>
      </c>
      <c r="D660">
        <f t="shared" si="81"/>
        <v>10</v>
      </c>
      <c r="E660" t="str">
        <f t="shared" si="82"/>
        <v>October</v>
      </c>
      <c r="F660" s="128">
        <f t="shared" si="83"/>
        <v>2021</v>
      </c>
      <c r="G660" s="194" t="str">
        <f t="shared" si="84"/>
        <v>2021-10</v>
      </c>
      <c r="H660" s="193">
        <f t="shared" si="85"/>
        <v>44492</v>
      </c>
      <c r="I660">
        <f t="shared" si="86"/>
        <v>43</v>
      </c>
    </row>
    <row r="661" spans="1:9" x14ac:dyDescent="0.3">
      <c r="A661">
        <f t="shared" si="80"/>
        <v>20211019</v>
      </c>
      <c r="B661" s="193">
        <v>44488</v>
      </c>
      <c r="C661" s="196" t="str">
        <f t="shared" si="87"/>
        <v>19 October 2021</v>
      </c>
      <c r="D661">
        <f t="shared" si="81"/>
        <v>10</v>
      </c>
      <c r="E661" t="str">
        <f t="shared" si="82"/>
        <v>October</v>
      </c>
      <c r="F661" s="128">
        <f t="shared" si="83"/>
        <v>2021</v>
      </c>
      <c r="G661" s="194" t="str">
        <f t="shared" si="84"/>
        <v>2021-10</v>
      </c>
      <c r="H661" s="193">
        <f t="shared" si="85"/>
        <v>44492</v>
      </c>
      <c r="I661">
        <f t="shared" si="86"/>
        <v>43</v>
      </c>
    </row>
    <row r="662" spans="1:9" x14ac:dyDescent="0.3">
      <c r="A662">
        <f t="shared" si="80"/>
        <v>20211020</v>
      </c>
      <c r="B662" s="193">
        <v>44489</v>
      </c>
      <c r="C662" s="196" t="str">
        <f t="shared" si="87"/>
        <v>20 October 2021</v>
      </c>
      <c r="D662">
        <f t="shared" si="81"/>
        <v>10</v>
      </c>
      <c r="E662" t="str">
        <f t="shared" si="82"/>
        <v>October</v>
      </c>
      <c r="F662" s="128">
        <f t="shared" si="83"/>
        <v>2021</v>
      </c>
      <c r="G662" s="194" t="str">
        <f t="shared" si="84"/>
        <v>2021-10</v>
      </c>
      <c r="H662" s="193">
        <f t="shared" si="85"/>
        <v>44492</v>
      </c>
      <c r="I662">
        <f t="shared" si="86"/>
        <v>43</v>
      </c>
    </row>
    <row r="663" spans="1:9" x14ac:dyDescent="0.3">
      <c r="A663">
        <f t="shared" si="80"/>
        <v>20211021</v>
      </c>
      <c r="B663" s="193">
        <v>44490</v>
      </c>
      <c r="C663" s="196" t="str">
        <f t="shared" si="87"/>
        <v>21 October 2021</v>
      </c>
      <c r="D663">
        <f t="shared" si="81"/>
        <v>10</v>
      </c>
      <c r="E663" t="str">
        <f t="shared" si="82"/>
        <v>October</v>
      </c>
      <c r="F663" s="128">
        <f t="shared" si="83"/>
        <v>2021</v>
      </c>
      <c r="G663" s="194" t="str">
        <f t="shared" si="84"/>
        <v>2021-10</v>
      </c>
      <c r="H663" s="193">
        <f t="shared" si="85"/>
        <v>44492</v>
      </c>
      <c r="I663">
        <f t="shared" si="86"/>
        <v>43</v>
      </c>
    </row>
    <row r="664" spans="1:9" x14ac:dyDescent="0.3">
      <c r="A664">
        <f t="shared" si="80"/>
        <v>20211022</v>
      </c>
      <c r="B664" s="193">
        <v>44491</v>
      </c>
      <c r="C664" s="196" t="str">
        <f t="shared" si="87"/>
        <v>22 October 2021</v>
      </c>
      <c r="D664">
        <f t="shared" si="81"/>
        <v>10</v>
      </c>
      <c r="E664" t="str">
        <f t="shared" si="82"/>
        <v>October</v>
      </c>
      <c r="F664" s="128">
        <f t="shared" si="83"/>
        <v>2021</v>
      </c>
      <c r="G664" s="194" t="str">
        <f t="shared" si="84"/>
        <v>2021-10</v>
      </c>
      <c r="H664" s="193">
        <f t="shared" si="85"/>
        <v>44492</v>
      </c>
      <c r="I664">
        <f t="shared" si="86"/>
        <v>43</v>
      </c>
    </row>
    <row r="665" spans="1:9" x14ac:dyDescent="0.3">
      <c r="A665">
        <f t="shared" si="80"/>
        <v>20211023</v>
      </c>
      <c r="B665" s="193">
        <v>44492</v>
      </c>
      <c r="C665" s="196" t="str">
        <f t="shared" si="87"/>
        <v>23 October 2021</v>
      </c>
      <c r="D665">
        <f t="shared" si="81"/>
        <v>10</v>
      </c>
      <c r="E665" t="str">
        <f t="shared" si="82"/>
        <v>October</v>
      </c>
      <c r="F665" s="128">
        <f t="shared" si="83"/>
        <v>2021</v>
      </c>
      <c r="G665" s="194" t="str">
        <f t="shared" si="84"/>
        <v>2021-10</v>
      </c>
      <c r="H665" s="193">
        <f t="shared" si="85"/>
        <v>44492</v>
      </c>
      <c r="I665">
        <f t="shared" si="86"/>
        <v>43</v>
      </c>
    </row>
    <row r="666" spans="1:9" x14ac:dyDescent="0.3">
      <c r="A666">
        <f t="shared" si="80"/>
        <v>20211024</v>
      </c>
      <c r="B666" s="193">
        <v>44493</v>
      </c>
      <c r="C666" s="196" t="str">
        <f t="shared" si="87"/>
        <v>24 October 2021</v>
      </c>
      <c r="D666">
        <f t="shared" si="81"/>
        <v>10</v>
      </c>
      <c r="E666" t="str">
        <f t="shared" si="82"/>
        <v>October</v>
      </c>
      <c r="F666" s="128">
        <f t="shared" si="83"/>
        <v>2021</v>
      </c>
      <c r="G666" s="194" t="str">
        <f t="shared" si="84"/>
        <v>2021-10</v>
      </c>
      <c r="H666" s="193">
        <f t="shared" si="85"/>
        <v>44499</v>
      </c>
      <c r="I666">
        <f t="shared" si="86"/>
        <v>43</v>
      </c>
    </row>
    <row r="667" spans="1:9" x14ac:dyDescent="0.3">
      <c r="A667">
        <f t="shared" si="80"/>
        <v>20211025</v>
      </c>
      <c r="B667" s="193">
        <v>44494</v>
      </c>
      <c r="C667" s="196" t="str">
        <f t="shared" si="87"/>
        <v>25 October 2021</v>
      </c>
      <c r="D667">
        <f t="shared" si="81"/>
        <v>10</v>
      </c>
      <c r="E667" t="str">
        <f t="shared" si="82"/>
        <v>October</v>
      </c>
      <c r="F667" s="128">
        <f t="shared" si="83"/>
        <v>2021</v>
      </c>
      <c r="G667" s="194" t="str">
        <f t="shared" si="84"/>
        <v>2021-10</v>
      </c>
      <c r="H667" s="193">
        <f t="shared" si="85"/>
        <v>44499</v>
      </c>
      <c r="I667">
        <f t="shared" si="86"/>
        <v>44</v>
      </c>
    </row>
    <row r="668" spans="1:9" x14ac:dyDescent="0.3">
      <c r="A668">
        <f t="shared" si="80"/>
        <v>20211026</v>
      </c>
      <c r="B668" s="193">
        <v>44495</v>
      </c>
      <c r="C668" s="196" t="str">
        <f t="shared" si="87"/>
        <v>26 October 2021</v>
      </c>
      <c r="D668">
        <f t="shared" si="81"/>
        <v>10</v>
      </c>
      <c r="E668" t="str">
        <f t="shared" si="82"/>
        <v>October</v>
      </c>
      <c r="F668" s="128">
        <f t="shared" si="83"/>
        <v>2021</v>
      </c>
      <c r="G668" s="194" t="str">
        <f t="shared" si="84"/>
        <v>2021-10</v>
      </c>
      <c r="H668" s="193">
        <f t="shared" si="85"/>
        <v>44499</v>
      </c>
      <c r="I668">
        <f t="shared" si="86"/>
        <v>44</v>
      </c>
    </row>
    <row r="669" spans="1:9" x14ac:dyDescent="0.3">
      <c r="A669">
        <f t="shared" si="80"/>
        <v>20211027</v>
      </c>
      <c r="B669" s="193">
        <v>44496</v>
      </c>
      <c r="C669" s="196" t="str">
        <f t="shared" si="87"/>
        <v>27 October 2021</v>
      </c>
      <c r="D669">
        <f t="shared" si="81"/>
        <v>10</v>
      </c>
      <c r="E669" t="str">
        <f t="shared" si="82"/>
        <v>October</v>
      </c>
      <c r="F669" s="128">
        <f t="shared" si="83"/>
        <v>2021</v>
      </c>
      <c r="G669" s="194" t="str">
        <f t="shared" si="84"/>
        <v>2021-10</v>
      </c>
      <c r="H669" s="193">
        <f t="shared" si="85"/>
        <v>44499</v>
      </c>
      <c r="I669">
        <f t="shared" si="86"/>
        <v>44</v>
      </c>
    </row>
    <row r="670" spans="1:9" x14ac:dyDescent="0.3">
      <c r="A670">
        <f t="shared" si="80"/>
        <v>20211028</v>
      </c>
      <c r="B670" s="193">
        <v>44497</v>
      </c>
      <c r="C670" s="196" t="str">
        <f t="shared" si="87"/>
        <v>28 October 2021</v>
      </c>
      <c r="D670">
        <f t="shared" si="81"/>
        <v>10</v>
      </c>
      <c r="E670" t="str">
        <f t="shared" si="82"/>
        <v>October</v>
      </c>
      <c r="F670" s="128">
        <f t="shared" si="83"/>
        <v>2021</v>
      </c>
      <c r="G670" s="194" t="str">
        <f t="shared" si="84"/>
        <v>2021-10</v>
      </c>
      <c r="H670" s="193">
        <f t="shared" si="85"/>
        <v>44499</v>
      </c>
      <c r="I670">
        <f t="shared" si="86"/>
        <v>44</v>
      </c>
    </row>
    <row r="671" spans="1:9" x14ac:dyDescent="0.3">
      <c r="A671">
        <f t="shared" si="80"/>
        <v>20211029</v>
      </c>
      <c r="B671" s="193">
        <v>44498</v>
      </c>
      <c r="C671" s="196" t="str">
        <f t="shared" si="87"/>
        <v>29 October 2021</v>
      </c>
      <c r="D671">
        <f t="shared" si="81"/>
        <v>10</v>
      </c>
      <c r="E671" t="str">
        <f t="shared" si="82"/>
        <v>October</v>
      </c>
      <c r="F671" s="128">
        <f t="shared" si="83"/>
        <v>2021</v>
      </c>
      <c r="G671" s="194" t="str">
        <f t="shared" si="84"/>
        <v>2021-10</v>
      </c>
      <c r="H671" s="193">
        <f t="shared" si="85"/>
        <v>44499</v>
      </c>
      <c r="I671">
        <f t="shared" si="86"/>
        <v>44</v>
      </c>
    </row>
    <row r="672" spans="1:9" x14ac:dyDescent="0.3">
      <c r="A672">
        <f t="shared" si="80"/>
        <v>20211030</v>
      </c>
      <c r="B672" s="193">
        <v>44499</v>
      </c>
      <c r="C672" s="196" t="str">
        <f t="shared" si="87"/>
        <v>30 October 2021</v>
      </c>
      <c r="D672">
        <f t="shared" si="81"/>
        <v>10</v>
      </c>
      <c r="E672" t="str">
        <f t="shared" si="82"/>
        <v>October</v>
      </c>
      <c r="F672" s="128">
        <f t="shared" si="83"/>
        <v>2021</v>
      </c>
      <c r="G672" s="194" t="str">
        <f t="shared" si="84"/>
        <v>2021-10</v>
      </c>
      <c r="H672" s="193">
        <f t="shared" si="85"/>
        <v>44499</v>
      </c>
      <c r="I672">
        <f t="shared" si="86"/>
        <v>44</v>
      </c>
    </row>
    <row r="673" spans="1:9" x14ac:dyDescent="0.3">
      <c r="A673">
        <f t="shared" si="80"/>
        <v>20211031</v>
      </c>
      <c r="B673" s="193">
        <v>44500</v>
      </c>
      <c r="C673" s="196" t="str">
        <f t="shared" si="87"/>
        <v>31 October 2021</v>
      </c>
      <c r="D673">
        <f t="shared" si="81"/>
        <v>10</v>
      </c>
      <c r="E673" t="str">
        <f t="shared" si="82"/>
        <v>October</v>
      </c>
      <c r="F673" s="128">
        <f t="shared" si="83"/>
        <v>2021</v>
      </c>
      <c r="G673" s="194" t="str">
        <f t="shared" si="84"/>
        <v>2021-10</v>
      </c>
      <c r="H673" s="193">
        <f t="shared" si="85"/>
        <v>44506</v>
      </c>
      <c r="I673">
        <f t="shared" si="86"/>
        <v>44</v>
      </c>
    </row>
    <row r="674" spans="1:9" x14ac:dyDescent="0.3">
      <c r="A674">
        <f t="shared" si="80"/>
        <v>20211101</v>
      </c>
      <c r="B674" s="193">
        <v>44501</v>
      </c>
      <c r="C674" s="196" t="str">
        <f t="shared" si="87"/>
        <v>01 November 2021</v>
      </c>
      <c r="D674">
        <f t="shared" si="81"/>
        <v>11</v>
      </c>
      <c r="E674" t="str">
        <f t="shared" si="82"/>
        <v>November</v>
      </c>
      <c r="F674" s="128">
        <f t="shared" si="83"/>
        <v>2021</v>
      </c>
      <c r="G674" s="194" t="str">
        <f t="shared" si="84"/>
        <v>2021-11</v>
      </c>
      <c r="H674" s="193">
        <f t="shared" si="85"/>
        <v>44506</v>
      </c>
      <c r="I674">
        <f t="shared" si="86"/>
        <v>45</v>
      </c>
    </row>
    <row r="675" spans="1:9" x14ac:dyDescent="0.3">
      <c r="A675">
        <f t="shared" si="80"/>
        <v>20211102</v>
      </c>
      <c r="B675" s="193">
        <v>44502</v>
      </c>
      <c r="C675" s="196" t="str">
        <f t="shared" si="87"/>
        <v>02 November 2021</v>
      </c>
      <c r="D675">
        <f t="shared" si="81"/>
        <v>11</v>
      </c>
      <c r="E675" t="str">
        <f t="shared" si="82"/>
        <v>November</v>
      </c>
      <c r="F675" s="128">
        <f t="shared" si="83"/>
        <v>2021</v>
      </c>
      <c r="G675" s="194" t="str">
        <f t="shared" si="84"/>
        <v>2021-11</v>
      </c>
      <c r="H675" s="193">
        <f t="shared" si="85"/>
        <v>44506</v>
      </c>
      <c r="I675">
        <f t="shared" si="86"/>
        <v>45</v>
      </c>
    </row>
    <row r="676" spans="1:9" x14ac:dyDescent="0.3">
      <c r="A676">
        <f t="shared" si="80"/>
        <v>20211103</v>
      </c>
      <c r="B676" s="193">
        <v>44503</v>
      </c>
      <c r="C676" s="196" t="str">
        <f t="shared" si="87"/>
        <v>03 November 2021</v>
      </c>
      <c r="D676">
        <f t="shared" si="81"/>
        <v>11</v>
      </c>
      <c r="E676" t="str">
        <f t="shared" si="82"/>
        <v>November</v>
      </c>
      <c r="F676" s="128">
        <f t="shared" si="83"/>
        <v>2021</v>
      </c>
      <c r="G676" s="194" t="str">
        <f t="shared" si="84"/>
        <v>2021-11</v>
      </c>
      <c r="H676" s="193">
        <f t="shared" si="85"/>
        <v>44506</v>
      </c>
      <c r="I676">
        <f t="shared" si="86"/>
        <v>45</v>
      </c>
    </row>
    <row r="677" spans="1:9" x14ac:dyDescent="0.3">
      <c r="A677">
        <f t="shared" si="80"/>
        <v>20211104</v>
      </c>
      <c r="B677" s="193">
        <v>44504</v>
      </c>
      <c r="C677" s="196" t="str">
        <f t="shared" si="87"/>
        <v>04 November 2021</v>
      </c>
      <c r="D677">
        <f t="shared" si="81"/>
        <v>11</v>
      </c>
      <c r="E677" t="str">
        <f t="shared" si="82"/>
        <v>November</v>
      </c>
      <c r="F677" s="128">
        <f t="shared" si="83"/>
        <v>2021</v>
      </c>
      <c r="G677" s="194" t="str">
        <f t="shared" si="84"/>
        <v>2021-11</v>
      </c>
      <c r="H677" s="193">
        <f t="shared" si="85"/>
        <v>44506</v>
      </c>
      <c r="I677">
        <f t="shared" si="86"/>
        <v>45</v>
      </c>
    </row>
    <row r="678" spans="1:9" x14ac:dyDescent="0.3">
      <c r="A678">
        <f t="shared" si="80"/>
        <v>20211105</v>
      </c>
      <c r="B678" s="193">
        <v>44505</v>
      </c>
      <c r="C678" s="196" t="str">
        <f t="shared" si="87"/>
        <v>05 November 2021</v>
      </c>
      <c r="D678">
        <f t="shared" si="81"/>
        <v>11</v>
      </c>
      <c r="E678" t="str">
        <f t="shared" si="82"/>
        <v>November</v>
      </c>
      <c r="F678" s="128">
        <f t="shared" si="83"/>
        <v>2021</v>
      </c>
      <c r="G678" s="194" t="str">
        <f t="shared" si="84"/>
        <v>2021-11</v>
      </c>
      <c r="H678" s="193">
        <f t="shared" si="85"/>
        <v>44506</v>
      </c>
      <c r="I678">
        <f t="shared" si="86"/>
        <v>45</v>
      </c>
    </row>
    <row r="679" spans="1:9" x14ac:dyDescent="0.3">
      <c r="A679">
        <f t="shared" si="80"/>
        <v>20211106</v>
      </c>
      <c r="B679" s="193">
        <v>44506</v>
      </c>
      <c r="C679" s="196" t="str">
        <f t="shared" si="87"/>
        <v>06 November 2021</v>
      </c>
      <c r="D679">
        <f t="shared" si="81"/>
        <v>11</v>
      </c>
      <c r="E679" t="str">
        <f t="shared" si="82"/>
        <v>November</v>
      </c>
      <c r="F679" s="128">
        <f t="shared" si="83"/>
        <v>2021</v>
      </c>
      <c r="G679" s="194" t="str">
        <f t="shared" si="84"/>
        <v>2021-11</v>
      </c>
      <c r="H679" s="193">
        <f t="shared" si="85"/>
        <v>44506</v>
      </c>
      <c r="I679">
        <f t="shared" si="86"/>
        <v>45</v>
      </c>
    </row>
    <row r="680" spans="1:9" x14ac:dyDescent="0.3">
      <c r="A680">
        <f t="shared" si="80"/>
        <v>20211107</v>
      </c>
      <c r="B680" s="193">
        <v>44507</v>
      </c>
      <c r="C680" s="196" t="str">
        <f t="shared" si="87"/>
        <v>07 November 2021</v>
      </c>
      <c r="D680">
        <f t="shared" si="81"/>
        <v>11</v>
      </c>
      <c r="E680" t="str">
        <f t="shared" si="82"/>
        <v>November</v>
      </c>
      <c r="F680" s="128">
        <f t="shared" si="83"/>
        <v>2021</v>
      </c>
      <c r="G680" s="194" t="str">
        <f t="shared" si="84"/>
        <v>2021-11</v>
      </c>
      <c r="H680" s="193">
        <f t="shared" si="85"/>
        <v>44513</v>
      </c>
      <c r="I680">
        <f t="shared" si="86"/>
        <v>45</v>
      </c>
    </row>
    <row r="681" spans="1:9" x14ac:dyDescent="0.3">
      <c r="A681">
        <f t="shared" si="80"/>
        <v>20211108</v>
      </c>
      <c r="B681" s="193">
        <v>44508</v>
      </c>
      <c r="C681" s="196" t="str">
        <f t="shared" si="87"/>
        <v>08 November 2021</v>
      </c>
      <c r="D681">
        <f t="shared" si="81"/>
        <v>11</v>
      </c>
      <c r="E681" t="str">
        <f t="shared" si="82"/>
        <v>November</v>
      </c>
      <c r="F681" s="128">
        <f t="shared" si="83"/>
        <v>2021</v>
      </c>
      <c r="G681" s="194" t="str">
        <f t="shared" si="84"/>
        <v>2021-11</v>
      </c>
      <c r="H681" s="193">
        <f t="shared" si="85"/>
        <v>44513</v>
      </c>
      <c r="I681">
        <f t="shared" si="86"/>
        <v>46</v>
      </c>
    </row>
    <row r="682" spans="1:9" x14ac:dyDescent="0.3">
      <c r="A682">
        <f t="shared" si="80"/>
        <v>20211109</v>
      </c>
      <c r="B682" s="193">
        <v>44509</v>
      </c>
      <c r="C682" s="196" t="str">
        <f t="shared" si="87"/>
        <v>09 November 2021</v>
      </c>
      <c r="D682">
        <f t="shared" si="81"/>
        <v>11</v>
      </c>
      <c r="E682" t="str">
        <f t="shared" si="82"/>
        <v>November</v>
      </c>
      <c r="F682" s="128">
        <f t="shared" si="83"/>
        <v>2021</v>
      </c>
      <c r="G682" s="194" t="str">
        <f t="shared" si="84"/>
        <v>2021-11</v>
      </c>
      <c r="H682" s="193">
        <f t="shared" si="85"/>
        <v>44513</v>
      </c>
      <c r="I682">
        <f t="shared" si="86"/>
        <v>46</v>
      </c>
    </row>
    <row r="683" spans="1:9" x14ac:dyDescent="0.3">
      <c r="A683">
        <f t="shared" si="80"/>
        <v>20211110</v>
      </c>
      <c r="B683" s="193">
        <v>44510</v>
      </c>
      <c r="C683" s="196" t="str">
        <f t="shared" si="87"/>
        <v>10 November 2021</v>
      </c>
      <c r="D683">
        <f t="shared" si="81"/>
        <v>11</v>
      </c>
      <c r="E683" t="str">
        <f t="shared" si="82"/>
        <v>November</v>
      </c>
      <c r="F683" s="128">
        <f t="shared" si="83"/>
        <v>2021</v>
      </c>
      <c r="G683" s="194" t="str">
        <f t="shared" si="84"/>
        <v>2021-11</v>
      </c>
      <c r="H683" s="193">
        <f t="shared" si="85"/>
        <v>44513</v>
      </c>
      <c r="I683">
        <f t="shared" si="86"/>
        <v>46</v>
      </c>
    </row>
    <row r="684" spans="1:9" x14ac:dyDescent="0.3">
      <c r="A684">
        <f t="shared" si="80"/>
        <v>20211111</v>
      </c>
      <c r="B684" s="193">
        <v>44511</v>
      </c>
      <c r="C684" s="196" t="str">
        <f t="shared" si="87"/>
        <v>11 November 2021</v>
      </c>
      <c r="D684">
        <f t="shared" si="81"/>
        <v>11</v>
      </c>
      <c r="E684" t="str">
        <f t="shared" si="82"/>
        <v>November</v>
      </c>
      <c r="F684" s="128">
        <f t="shared" si="83"/>
        <v>2021</v>
      </c>
      <c r="G684" s="194" t="str">
        <f t="shared" si="84"/>
        <v>2021-11</v>
      </c>
      <c r="H684" s="193">
        <f t="shared" si="85"/>
        <v>44513</v>
      </c>
      <c r="I684">
        <f t="shared" si="86"/>
        <v>46</v>
      </c>
    </row>
    <row r="685" spans="1:9" x14ac:dyDescent="0.3">
      <c r="A685">
        <f t="shared" si="80"/>
        <v>20211112</v>
      </c>
      <c r="B685" s="193">
        <v>44512</v>
      </c>
      <c r="C685" s="196" t="str">
        <f t="shared" si="87"/>
        <v>12 November 2021</v>
      </c>
      <c r="D685">
        <f t="shared" si="81"/>
        <v>11</v>
      </c>
      <c r="E685" t="str">
        <f t="shared" si="82"/>
        <v>November</v>
      </c>
      <c r="F685" s="128">
        <f t="shared" si="83"/>
        <v>2021</v>
      </c>
      <c r="G685" s="194" t="str">
        <f t="shared" si="84"/>
        <v>2021-11</v>
      </c>
      <c r="H685" s="193">
        <f t="shared" si="85"/>
        <v>44513</v>
      </c>
      <c r="I685">
        <f t="shared" si="86"/>
        <v>46</v>
      </c>
    </row>
    <row r="686" spans="1:9" x14ac:dyDescent="0.3">
      <c r="A686">
        <f t="shared" si="80"/>
        <v>20211113</v>
      </c>
      <c r="B686" s="193">
        <v>44513</v>
      </c>
      <c r="C686" s="196" t="str">
        <f t="shared" si="87"/>
        <v>13 November 2021</v>
      </c>
      <c r="D686">
        <f t="shared" si="81"/>
        <v>11</v>
      </c>
      <c r="E686" t="str">
        <f t="shared" si="82"/>
        <v>November</v>
      </c>
      <c r="F686" s="128">
        <f t="shared" si="83"/>
        <v>2021</v>
      </c>
      <c r="G686" s="194" t="str">
        <f t="shared" si="84"/>
        <v>2021-11</v>
      </c>
      <c r="H686" s="193">
        <f t="shared" si="85"/>
        <v>44513</v>
      </c>
      <c r="I686">
        <f t="shared" si="86"/>
        <v>46</v>
      </c>
    </row>
    <row r="687" spans="1:9" x14ac:dyDescent="0.3">
      <c r="A687">
        <f t="shared" si="80"/>
        <v>20211114</v>
      </c>
      <c r="B687" s="193">
        <v>44514</v>
      </c>
      <c r="C687" s="196" t="str">
        <f t="shared" si="87"/>
        <v>14 November 2021</v>
      </c>
      <c r="D687">
        <f t="shared" si="81"/>
        <v>11</v>
      </c>
      <c r="E687" t="str">
        <f t="shared" si="82"/>
        <v>November</v>
      </c>
      <c r="F687" s="128">
        <f t="shared" si="83"/>
        <v>2021</v>
      </c>
      <c r="G687" s="194" t="str">
        <f t="shared" si="84"/>
        <v>2021-11</v>
      </c>
      <c r="H687" s="193">
        <f t="shared" si="85"/>
        <v>44520</v>
      </c>
      <c r="I687">
        <f t="shared" si="86"/>
        <v>46</v>
      </c>
    </row>
    <row r="688" spans="1:9" x14ac:dyDescent="0.3">
      <c r="A688">
        <f t="shared" si="80"/>
        <v>20211115</v>
      </c>
      <c r="B688" s="193">
        <v>44515</v>
      </c>
      <c r="C688" s="196" t="str">
        <f t="shared" si="87"/>
        <v>15 November 2021</v>
      </c>
      <c r="D688">
        <f t="shared" si="81"/>
        <v>11</v>
      </c>
      <c r="E688" t="str">
        <f t="shared" si="82"/>
        <v>November</v>
      </c>
      <c r="F688" s="128">
        <f t="shared" si="83"/>
        <v>2021</v>
      </c>
      <c r="G688" s="194" t="str">
        <f t="shared" si="84"/>
        <v>2021-11</v>
      </c>
      <c r="H688" s="193">
        <f t="shared" si="85"/>
        <v>44520</v>
      </c>
      <c r="I688">
        <f t="shared" si="86"/>
        <v>47</v>
      </c>
    </row>
    <row r="689" spans="1:9" x14ac:dyDescent="0.3">
      <c r="A689">
        <f t="shared" si="80"/>
        <v>20211116</v>
      </c>
      <c r="B689" s="193">
        <v>44516</v>
      </c>
      <c r="C689" s="196" t="str">
        <f t="shared" si="87"/>
        <v>16 November 2021</v>
      </c>
      <c r="D689">
        <f t="shared" si="81"/>
        <v>11</v>
      </c>
      <c r="E689" t="str">
        <f t="shared" si="82"/>
        <v>November</v>
      </c>
      <c r="F689" s="128">
        <f t="shared" si="83"/>
        <v>2021</v>
      </c>
      <c r="G689" s="194" t="str">
        <f t="shared" si="84"/>
        <v>2021-11</v>
      </c>
      <c r="H689" s="193">
        <f t="shared" si="85"/>
        <v>44520</v>
      </c>
      <c r="I689">
        <f t="shared" si="86"/>
        <v>47</v>
      </c>
    </row>
    <row r="690" spans="1:9" x14ac:dyDescent="0.3">
      <c r="A690">
        <f t="shared" si="80"/>
        <v>20211117</v>
      </c>
      <c r="B690" s="193">
        <v>44517</v>
      </c>
      <c r="C690" s="196" t="str">
        <f t="shared" si="87"/>
        <v>17 November 2021</v>
      </c>
      <c r="D690">
        <f t="shared" si="81"/>
        <v>11</v>
      </c>
      <c r="E690" t="str">
        <f t="shared" si="82"/>
        <v>November</v>
      </c>
      <c r="F690" s="128">
        <f t="shared" si="83"/>
        <v>2021</v>
      </c>
      <c r="G690" s="194" t="str">
        <f t="shared" si="84"/>
        <v>2021-11</v>
      </c>
      <c r="H690" s="193">
        <f t="shared" si="85"/>
        <v>44520</v>
      </c>
      <c r="I690">
        <f t="shared" si="86"/>
        <v>47</v>
      </c>
    </row>
    <row r="691" spans="1:9" x14ac:dyDescent="0.3">
      <c r="A691">
        <f t="shared" si="80"/>
        <v>20211118</v>
      </c>
      <c r="B691" s="193">
        <v>44518</v>
      </c>
      <c r="C691" s="196" t="str">
        <f t="shared" si="87"/>
        <v>18 November 2021</v>
      </c>
      <c r="D691">
        <f t="shared" si="81"/>
        <v>11</v>
      </c>
      <c r="E691" t="str">
        <f t="shared" si="82"/>
        <v>November</v>
      </c>
      <c r="F691" s="128">
        <f t="shared" si="83"/>
        <v>2021</v>
      </c>
      <c r="G691" s="194" t="str">
        <f t="shared" si="84"/>
        <v>2021-11</v>
      </c>
      <c r="H691" s="193">
        <f t="shared" si="85"/>
        <v>44520</v>
      </c>
      <c r="I691">
        <f t="shared" si="86"/>
        <v>47</v>
      </c>
    </row>
    <row r="692" spans="1:9" x14ac:dyDescent="0.3">
      <c r="A692">
        <f t="shared" si="80"/>
        <v>20211119</v>
      </c>
      <c r="B692" s="193">
        <v>44519</v>
      </c>
      <c r="C692" s="196" t="str">
        <f t="shared" si="87"/>
        <v>19 November 2021</v>
      </c>
      <c r="D692">
        <f t="shared" si="81"/>
        <v>11</v>
      </c>
      <c r="E692" t="str">
        <f t="shared" si="82"/>
        <v>November</v>
      </c>
      <c r="F692" s="128">
        <f t="shared" si="83"/>
        <v>2021</v>
      </c>
      <c r="G692" s="194" t="str">
        <f t="shared" si="84"/>
        <v>2021-11</v>
      </c>
      <c r="H692" s="193">
        <f t="shared" si="85"/>
        <v>44520</v>
      </c>
      <c r="I692">
        <f t="shared" si="86"/>
        <v>47</v>
      </c>
    </row>
    <row r="693" spans="1:9" x14ac:dyDescent="0.3">
      <c r="A693">
        <f t="shared" si="80"/>
        <v>20211120</v>
      </c>
      <c r="B693" s="193">
        <v>44520</v>
      </c>
      <c r="C693" s="196" t="str">
        <f t="shared" si="87"/>
        <v>20 November 2021</v>
      </c>
      <c r="D693">
        <f t="shared" si="81"/>
        <v>11</v>
      </c>
      <c r="E693" t="str">
        <f t="shared" si="82"/>
        <v>November</v>
      </c>
      <c r="F693" s="128">
        <f t="shared" si="83"/>
        <v>2021</v>
      </c>
      <c r="G693" s="194" t="str">
        <f t="shared" si="84"/>
        <v>2021-11</v>
      </c>
      <c r="H693" s="193">
        <f t="shared" si="85"/>
        <v>44520</v>
      </c>
      <c r="I693">
        <f t="shared" si="86"/>
        <v>47</v>
      </c>
    </row>
    <row r="694" spans="1:9" x14ac:dyDescent="0.3">
      <c r="A694">
        <f t="shared" si="80"/>
        <v>20211121</v>
      </c>
      <c r="B694" s="193">
        <v>44521</v>
      </c>
      <c r="C694" s="196" t="str">
        <f t="shared" si="87"/>
        <v>21 November 2021</v>
      </c>
      <c r="D694">
        <f t="shared" si="81"/>
        <v>11</v>
      </c>
      <c r="E694" t="str">
        <f t="shared" si="82"/>
        <v>November</v>
      </c>
      <c r="F694" s="128">
        <f t="shared" si="83"/>
        <v>2021</v>
      </c>
      <c r="G694" s="194" t="str">
        <f t="shared" si="84"/>
        <v>2021-11</v>
      </c>
      <c r="H694" s="193">
        <f t="shared" si="85"/>
        <v>44527</v>
      </c>
      <c r="I694">
        <f t="shared" si="86"/>
        <v>47</v>
      </c>
    </row>
    <row r="695" spans="1:9" x14ac:dyDescent="0.3">
      <c r="A695">
        <f t="shared" si="80"/>
        <v>20211122</v>
      </c>
      <c r="B695" s="193">
        <v>44522</v>
      </c>
      <c r="C695" s="196" t="str">
        <f t="shared" si="87"/>
        <v>22 November 2021</v>
      </c>
      <c r="D695">
        <f t="shared" si="81"/>
        <v>11</v>
      </c>
      <c r="E695" t="str">
        <f t="shared" si="82"/>
        <v>November</v>
      </c>
      <c r="F695" s="128">
        <f t="shared" si="83"/>
        <v>2021</v>
      </c>
      <c r="G695" s="194" t="str">
        <f t="shared" si="84"/>
        <v>2021-11</v>
      </c>
      <c r="H695" s="193">
        <f t="shared" si="85"/>
        <v>44527</v>
      </c>
      <c r="I695">
        <f t="shared" si="86"/>
        <v>48</v>
      </c>
    </row>
    <row r="696" spans="1:9" x14ac:dyDescent="0.3">
      <c r="A696">
        <f t="shared" si="80"/>
        <v>20211123</v>
      </c>
      <c r="B696" s="193">
        <v>44523</v>
      </c>
      <c r="C696" s="196" t="str">
        <f t="shared" si="87"/>
        <v>23 November 2021</v>
      </c>
      <c r="D696">
        <f t="shared" si="81"/>
        <v>11</v>
      </c>
      <c r="E696" t="str">
        <f t="shared" si="82"/>
        <v>November</v>
      </c>
      <c r="F696" s="128">
        <f t="shared" si="83"/>
        <v>2021</v>
      </c>
      <c r="G696" s="194" t="str">
        <f t="shared" si="84"/>
        <v>2021-11</v>
      </c>
      <c r="H696" s="193">
        <f t="shared" si="85"/>
        <v>44527</v>
      </c>
      <c r="I696">
        <f t="shared" si="86"/>
        <v>48</v>
      </c>
    </row>
    <row r="697" spans="1:9" x14ac:dyDescent="0.3">
      <c r="A697">
        <f t="shared" si="80"/>
        <v>20211124</v>
      </c>
      <c r="B697" s="193">
        <v>44524</v>
      </c>
      <c r="C697" s="196" t="str">
        <f t="shared" si="87"/>
        <v>24 November 2021</v>
      </c>
      <c r="D697">
        <f t="shared" si="81"/>
        <v>11</v>
      </c>
      <c r="E697" t="str">
        <f t="shared" si="82"/>
        <v>November</v>
      </c>
      <c r="F697" s="128">
        <f t="shared" si="83"/>
        <v>2021</v>
      </c>
      <c r="G697" s="194" t="str">
        <f t="shared" si="84"/>
        <v>2021-11</v>
      </c>
      <c r="H697" s="193">
        <f t="shared" si="85"/>
        <v>44527</v>
      </c>
      <c r="I697">
        <f t="shared" si="86"/>
        <v>48</v>
      </c>
    </row>
    <row r="698" spans="1:9" x14ac:dyDescent="0.3">
      <c r="A698">
        <f t="shared" si="80"/>
        <v>20211125</v>
      </c>
      <c r="B698" s="193">
        <v>44525</v>
      </c>
      <c r="C698" s="196" t="str">
        <f t="shared" si="87"/>
        <v>25 November 2021</v>
      </c>
      <c r="D698">
        <f t="shared" si="81"/>
        <v>11</v>
      </c>
      <c r="E698" t="str">
        <f t="shared" si="82"/>
        <v>November</v>
      </c>
      <c r="F698" s="128">
        <f t="shared" si="83"/>
        <v>2021</v>
      </c>
      <c r="G698" s="194" t="str">
        <f t="shared" si="84"/>
        <v>2021-11</v>
      </c>
      <c r="H698" s="193">
        <f t="shared" si="85"/>
        <v>44527</v>
      </c>
      <c r="I698">
        <f t="shared" si="86"/>
        <v>48</v>
      </c>
    </row>
    <row r="699" spans="1:9" x14ac:dyDescent="0.3">
      <c r="A699">
        <f t="shared" si="80"/>
        <v>20211126</v>
      </c>
      <c r="B699" s="193">
        <v>44526</v>
      </c>
      <c r="C699" s="196" t="str">
        <f t="shared" si="87"/>
        <v>26 November 2021</v>
      </c>
      <c r="D699">
        <f t="shared" si="81"/>
        <v>11</v>
      </c>
      <c r="E699" t="str">
        <f t="shared" si="82"/>
        <v>November</v>
      </c>
      <c r="F699" s="128">
        <f t="shared" si="83"/>
        <v>2021</v>
      </c>
      <c r="G699" s="194" t="str">
        <f t="shared" si="84"/>
        <v>2021-11</v>
      </c>
      <c r="H699" s="193">
        <f t="shared" si="85"/>
        <v>44527</v>
      </c>
      <c r="I699">
        <f t="shared" si="86"/>
        <v>48</v>
      </c>
    </row>
    <row r="700" spans="1:9" x14ac:dyDescent="0.3">
      <c r="A700">
        <f t="shared" si="80"/>
        <v>20211127</v>
      </c>
      <c r="B700" s="193">
        <v>44527</v>
      </c>
      <c r="C700" s="196" t="str">
        <f t="shared" si="87"/>
        <v>27 November 2021</v>
      </c>
      <c r="D700">
        <f t="shared" si="81"/>
        <v>11</v>
      </c>
      <c r="E700" t="str">
        <f t="shared" si="82"/>
        <v>November</v>
      </c>
      <c r="F700" s="128">
        <f t="shared" si="83"/>
        <v>2021</v>
      </c>
      <c r="G700" s="194" t="str">
        <f t="shared" si="84"/>
        <v>2021-11</v>
      </c>
      <c r="H700" s="193">
        <f t="shared" si="85"/>
        <v>44527</v>
      </c>
      <c r="I700">
        <f t="shared" si="86"/>
        <v>48</v>
      </c>
    </row>
    <row r="701" spans="1:9" x14ac:dyDescent="0.3">
      <c r="A701">
        <f t="shared" si="80"/>
        <v>20211128</v>
      </c>
      <c r="B701" s="193">
        <v>44528</v>
      </c>
      <c r="C701" s="196" t="str">
        <f t="shared" si="87"/>
        <v>28 November 2021</v>
      </c>
      <c r="D701">
        <f t="shared" si="81"/>
        <v>11</v>
      </c>
      <c r="E701" t="str">
        <f t="shared" si="82"/>
        <v>November</v>
      </c>
      <c r="F701" s="128">
        <f t="shared" si="83"/>
        <v>2021</v>
      </c>
      <c r="G701" s="194" t="str">
        <f t="shared" si="84"/>
        <v>2021-11</v>
      </c>
      <c r="H701" s="193">
        <f t="shared" si="85"/>
        <v>44534</v>
      </c>
      <c r="I701">
        <f t="shared" si="86"/>
        <v>48</v>
      </c>
    </row>
    <row r="702" spans="1:9" x14ac:dyDescent="0.3">
      <c r="A702">
        <f t="shared" si="80"/>
        <v>20211129</v>
      </c>
      <c r="B702" s="193">
        <v>44529</v>
      </c>
      <c r="C702" s="196" t="str">
        <f t="shared" si="87"/>
        <v>29 November 2021</v>
      </c>
      <c r="D702">
        <f t="shared" si="81"/>
        <v>11</v>
      </c>
      <c r="E702" t="str">
        <f t="shared" si="82"/>
        <v>November</v>
      </c>
      <c r="F702" s="128">
        <f t="shared" si="83"/>
        <v>2021</v>
      </c>
      <c r="G702" s="194" t="str">
        <f t="shared" si="84"/>
        <v>2021-11</v>
      </c>
      <c r="H702" s="193">
        <f t="shared" si="85"/>
        <v>44534</v>
      </c>
      <c r="I702">
        <f t="shared" si="86"/>
        <v>49</v>
      </c>
    </row>
    <row r="703" spans="1:9" x14ac:dyDescent="0.3">
      <c r="A703">
        <f t="shared" si="80"/>
        <v>20211130</v>
      </c>
      <c r="B703" s="193">
        <v>44530</v>
      </c>
      <c r="C703" s="196" t="str">
        <f t="shared" si="87"/>
        <v>30 November 2021</v>
      </c>
      <c r="D703">
        <f t="shared" si="81"/>
        <v>11</v>
      </c>
      <c r="E703" t="str">
        <f t="shared" si="82"/>
        <v>November</v>
      </c>
      <c r="F703" s="128">
        <f t="shared" si="83"/>
        <v>2021</v>
      </c>
      <c r="G703" s="194" t="str">
        <f t="shared" si="84"/>
        <v>2021-11</v>
      </c>
      <c r="H703" s="193">
        <f t="shared" si="85"/>
        <v>44534</v>
      </c>
      <c r="I703">
        <f t="shared" si="86"/>
        <v>49</v>
      </c>
    </row>
    <row r="704" spans="1:9" x14ac:dyDescent="0.3">
      <c r="A704">
        <f t="shared" si="80"/>
        <v>20211201</v>
      </c>
      <c r="B704" s="193">
        <v>44531</v>
      </c>
      <c r="C704" s="196" t="str">
        <f t="shared" si="87"/>
        <v>01 December 2021</v>
      </c>
      <c r="D704">
        <f t="shared" si="81"/>
        <v>12</v>
      </c>
      <c r="E704" t="str">
        <f t="shared" si="82"/>
        <v>December</v>
      </c>
      <c r="F704" s="128">
        <f t="shared" si="83"/>
        <v>2021</v>
      </c>
      <c r="G704" s="194" t="str">
        <f t="shared" si="84"/>
        <v>2021-12</v>
      </c>
      <c r="H704" s="193">
        <f t="shared" si="85"/>
        <v>44534</v>
      </c>
      <c r="I704">
        <f t="shared" si="86"/>
        <v>49</v>
      </c>
    </row>
    <row r="705" spans="1:9" x14ac:dyDescent="0.3">
      <c r="A705">
        <f t="shared" si="80"/>
        <v>20211202</v>
      </c>
      <c r="B705" s="193">
        <v>44532</v>
      </c>
      <c r="C705" s="196" t="str">
        <f t="shared" si="87"/>
        <v>02 December 2021</v>
      </c>
      <c r="D705">
        <f t="shared" si="81"/>
        <v>12</v>
      </c>
      <c r="E705" t="str">
        <f t="shared" si="82"/>
        <v>December</v>
      </c>
      <c r="F705" s="128">
        <f t="shared" si="83"/>
        <v>2021</v>
      </c>
      <c r="G705" s="194" t="str">
        <f t="shared" si="84"/>
        <v>2021-12</v>
      </c>
      <c r="H705" s="193">
        <f t="shared" si="85"/>
        <v>44534</v>
      </c>
      <c r="I705">
        <f t="shared" si="86"/>
        <v>49</v>
      </c>
    </row>
    <row r="706" spans="1:9" x14ac:dyDescent="0.3">
      <c r="A706">
        <f t="shared" si="80"/>
        <v>20211203</v>
      </c>
      <c r="B706" s="193">
        <v>44533</v>
      </c>
      <c r="C706" s="196" t="str">
        <f t="shared" si="87"/>
        <v>03 December 2021</v>
      </c>
      <c r="D706">
        <f t="shared" si="81"/>
        <v>12</v>
      </c>
      <c r="E706" t="str">
        <f t="shared" si="82"/>
        <v>December</v>
      </c>
      <c r="F706" s="128">
        <f t="shared" si="83"/>
        <v>2021</v>
      </c>
      <c r="G706" s="194" t="str">
        <f t="shared" si="84"/>
        <v>2021-12</v>
      </c>
      <c r="H706" s="193">
        <f t="shared" si="85"/>
        <v>44534</v>
      </c>
      <c r="I706">
        <f t="shared" si="86"/>
        <v>49</v>
      </c>
    </row>
    <row r="707" spans="1:9" x14ac:dyDescent="0.3">
      <c r="A707">
        <f t="shared" ref="A707:A770" si="88">YEAR(B707)*10000+MONTH(B707)*100+DAY(B707)</f>
        <v>20211204</v>
      </c>
      <c r="B707" s="193">
        <v>44534</v>
      </c>
      <c r="C707" s="196" t="str">
        <f t="shared" si="87"/>
        <v>04 December 2021</v>
      </c>
      <c r="D707">
        <f t="shared" ref="D707:D770" si="89">MONTH(B707)</f>
        <v>12</v>
      </c>
      <c r="E707" t="str">
        <f t="shared" ref="E707:E770" si="90">TEXT(B707,"MMMM")</f>
        <v>December</v>
      </c>
      <c r="F707" s="128">
        <f t="shared" ref="F707:F770" si="91">YEAR(B707)</f>
        <v>2021</v>
      </c>
      <c r="G707" s="194" t="str">
        <f t="shared" ref="G707:G770" si="92">TEXT(B707,"YYYY-MM")</f>
        <v>2021-12</v>
      </c>
      <c r="H707" s="193">
        <f t="shared" ref="H707:H770" si="93">B707-WEEKDAY(B707)+7</f>
        <v>44534</v>
      </c>
      <c r="I707">
        <f t="shared" ref="I707:I770" si="94">WEEKNUM(B707,2)</f>
        <v>49</v>
      </c>
    </row>
    <row r="708" spans="1:9" x14ac:dyDescent="0.3">
      <c r="A708">
        <f t="shared" si="88"/>
        <v>20211205</v>
      </c>
      <c r="B708" s="193">
        <v>44535</v>
      </c>
      <c r="C708" s="196" t="str">
        <f t="shared" ref="C708:C771" si="95">TEXT(B708,"dd MMMM YYYY")</f>
        <v>05 December 2021</v>
      </c>
      <c r="D708">
        <f t="shared" si="89"/>
        <v>12</v>
      </c>
      <c r="E708" t="str">
        <f t="shared" si="90"/>
        <v>December</v>
      </c>
      <c r="F708" s="128">
        <f t="shared" si="91"/>
        <v>2021</v>
      </c>
      <c r="G708" s="194" t="str">
        <f t="shared" si="92"/>
        <v>2021-12</v>
      </c>
      <c r="H708" s="193">
        <f t="shared" si="93"/>
        <v>44541</v>
      </c>
      <c r="I708">
        <f t="shared" si="94"/>
        <v>49</v>
      </c>
    </row>
    <row r="709" spans="1:9" x14ac:dyDescent="0.3">
      <c r="A709">
        <f t="shared" si="88"/>
        <v>20211206</v>
      </c>
      <c r="B709" s="193">
        <v>44536</v>
      </c>
      <c r="C709" s="196" t="str">
        <f t="shared" si="95"/>
        <v>06 December 2021</v>
      </c>
      <c r="D709">
        <f t="shared" si="89"/>
        <v>12</v>
      </c>
      <c r="E709" t="str">
        <f t="shared" si="90"/>
        <v>December</v>
      </c>
      <c r="F709" s="128">
        <f t="shared" si="91"/>
        <v>2021</v>
      </c>
      <c r="G709" s="194" t="str">
        <f t="shared" si="92"/>
        <v>2021-12</v>
      </c>
      <c r="H709" s="193">
        <f t="shared" si="93"/>
        <v>44541</v>
      </c>
      <c r="I709">
        <f t="shared" si="94"/>
        <v>50</v>
      </c>
    </row>
    <row r="710" spans="1:9" x14ac:dyDescent="0.3">
      <c r="A710">
        <f t="shared" si="88"/>
        <v>20211207</v>
      </c>
      <c r="B710" s="193">
        <v>44537</v>
      </c>
      <c r="C710" s="196" t="str">
        <f t="shared" si="95"/>
        <v>07 December 2021</v>
      </c>
      <c r="D710">
        <f t="shared" si="89"/>
        <v>12</v>
      </c>
      <c r="E710" t="str">
        <f t="shared" si="90"/>
        <v>December</v>
      </c>
      <c r="F710" s="128">
        <f t="shared" si="91"/>
        <v>2021</v>
      </c>
      <c r="G710" s="194" t="str">
        <f t="shared" si="92"/>
        <v>2021-12</v>
      </c>
      <c r="H710" s="193">
        <f t="shared" si="93"/>
        <v>44541</v>
      </c>
      <c r="I710">
        <f t="shared" si="94"/>
        <v>50</v>
      </c>
    </row>
    <row r="711" spans="1:9" x14ac:dyDescent="0.3">
      <c r="A711">
        <f t="shared" si="88"/>
        <v>20211208</v>
      </c>
      <c r="B711" s="193">
        <v>44538</v>
      </c>
      <c r="C711" s="196" t="str">
        <f t="shared" si="95"/>
        <v>08 December 2021</v>
      </c>
      <c r="D711">
        <f t="shared" si="89"/>
        <v>12</v>
      </c>
      <c r="E711" t="str">
        <f t="shared" si="90"/>
        <v>December</v>
      </c>
      <c r="F711" s="128">
        <f t="shared" si="91"/>
        <v>2021</v>
      </c>
      <c r="G711" s="194" t="str">
        <f t="shared" si="92"/>
        <v>2021-12</v>
      </c>
      <c r="H711" s="193">
        <f t="shared" si="93"/>
        <v>44541</v>
      </c>
      <c r="I711">
        <f t="shared" si="94"/>
        <v>50</v>
      </c>
    </row>
    <row r="712" spans="1:9" x14ac:dyDescent="0.3">
      <c r="A712">
        <f t="shared" si="88"/>
        <v>20211209</v>
      </c>
      <c r="B712" s="193">
        <v>44539</v>
      </c>
      <c r="C712" s="196" t="str">
        <f t="shared" si="95"/>
        <v>09 December 2021</v>
      </c>
      <c r="D712">
        <f t="shared" si="89"/>
        <v>12</v>
      </c>
      <c r="E712" t="str">
        <f t="shared" si="90"/>
        <v>December</v>
      </c>
      <c r="F712" s="128">
        <f t="shared" si="91"/>
        <v>2021</v>
      </c>
      <c r="G712" s="194" t="str">
        <f t="shared" si="92"/>
        <v>2021-12</v>
      </c>
      <c r="H712" s="193">
        <f t="shared" si="93"/>
        <v>44541</v>
      </c>
      <c r="I712">
        <f t="shared" si="94"/>
        <v>50</v>
      </c>
    </row>
    <row r="713" spans="1:9" x14ac:dyDescent="0.3">
      <c r="A713">
        <f t="shared" si="88"/>
        <v>20211210</v>
      </c>
      <c r="B713" s="193">
        <v>44540</v>
      </c>
      <c r="C713" s="196" t="str">
        <f t="shared" si="95"/>
        <v>10 December 2021</v>
      </c>
      <c r="D713">
        <f t="shared" si="89"/>
        <v>12</v>
      </c>
      <c r="E713" t="str">
        <f t="shared" si="90"/>
        <v>December</v>
      </c>
      <c r="F713" s="128">
        <f t="shared" si="91"/>
        <v>2021</v>
      </c>
      <c r="G713" s="194" t="str">
        <f t="shared" si="92"/>
        <v>2021-12</v>
      </c>
      <c r="H713" s="193">
        <f t="shared" si="93"/>
        <v>44541</v>
      </c>
      <c r="I713">
        <f t="shared" si="94"/>
        <v>50</v>
      </c>
    </row>
    <row r="714" spans="1:9" x14ac:dyDescent="0.3">
      <c r="A714">
        <f t="shared" si="88"/>
        <v>20211211</v>
      </c>
      <c r="B714" s="193">
        <v>44541</v>
      </c>
      <c r="C714" s="196" t="str">
        <f t="shared" si="95"/>
        <v>11 December 2021</v>
      </c>
      <c r="D714">
        <f t="shared" si="89"/>
        <v>12</v>
      </c>
      <c r="E714" t="str">
        <f t="shared" si="90"/>
        <v>December</v>
      </c>
      <c r="F714" s="128">
        <f t="shared" si="91"/>
        <v>2021</v>
      </c>
      <c r="G714" s="194" t="str">
        <f t="shared" si="92"/>
        <v>2021-12</v>
      </c>
      <c r="H714" s="193">
        <f t="shared" si="93"/>
        <v>44541</v>
      </c>
      <c r="I714">
        <f t="shared" si="94"/>
        <v>50</v>
      </c>
    </row>
    <row r="715" spans="1:9" x14ac:dyDescent="0.3">
      <c r="A715">
        <f t="shared" si="88"/>
        <v>20211212</v>
      </c>
      <c r="B715" s="193">
        <v>44542</v>
      </c>
      <c r="C715" s="196" t="str">
        <f t="shared" si="95"/>
        <v>12 December 2021</v>
      </c>
      <c r="D715">
        <f t="shared" si="89"/>
        <v>12</v>
      </c>
      <c r="E715" t="str">
        <f t="shared" si="90"/>
        <v>December</v>
      </c>
      <c r="F715" s="128">
        <f t="shared" si="91"/>
        <v>2021</v>
      </c>
      <c r="G715" s="194" t="str">
        <f t="shared" si="92"/>
        <v>2021-12</v>
      </c>
      <c r="H715" s="193">
        <f t="shared" si="93"/>
        <v>44548</v>
      </c>
      <c r="I715">
        <f t="shared" si="94"/>
        <v>50</v>
      </c>
    </row>
    <row r="716" spans="1:9" x14ac:dyDescent="0.3">
      <c r="A716">
        <f t="shared" si="88"/>
        <v>20211213</v>
      </c>
      <c r="B716" s="193">
        <v>44543</v>
      </c>
      <c r="C716" s="196" t="str">
        <f t="shared" si="95"/>
        <v>13 December 2021</v>
      </c>
      <c r="D716">
        <f t="shared" si="89"/>
        <v>12</v>
      </c>
      <c r="E716" t="str">
        <f t="shared" si="90"/>
        <v>December</v>
      </c>
      <c r="F716" s="128">
        <f t="shared" si="91"/>
        <v>2021</v>
      </c>
      <c r="G716" s="194" t="str">
        <f t="shared" si="92"/>
        <v>2021-12</v>
      </c>
      <c r="H716" s="193">
        <f t="shared" si="93"/>
        <v>44548</v>
      </c>
      <c r="I716">
        <f t="shared" si="94"/>
        <v>51</v>
      </c>
    </row>
    <row r="717" spans="1:9" x14ac:dyDescent="0.3">
      <c r="A717">
        <f t="shared" si="88"/>
        <v>20211214</v>
      </c>
      <c r="B717" s="193">
        <v>44544</v>
      </c>
      <c r="C717" s="196" t="str">
        <f t="shared" si="95"/>
        <v>14 December 2021</v>
      </c>
      <c r="D717">
        <f t="shared" si="89"/>
        <v>12</v>
      </c>
      <c r="E717" t="str">
        <f t="shared" si="90"/>
        <v>December</v>
      </c>
      <c r="F717" s="128">
        <f t="shared" si="91"/>
        <v>2021</v>
      </c>
      <c r="G717" s="194" t="str">
        <f t="shared" si="92"/>
        <v>2021-12</v>
      </c>
      <c r="H717" s="193">
        <f t="shared" si="93"/>
        <v>44548</v>
      </c>
      <c r="I717">
        <f t="shared" si="94"/>
        <v>51</v>
      </c>
    </row>
    <row r="718" spans="1:9" x14ac:dyDescent="0.3">
      <c r="A718">
        <f t="shared" si="88"/>
        <v>20211215</v>
      </c>
      <c r="B718" s="193">
        <v>44545</v>
      </c>
      <c r="C718" s="196" t="str">
        <f t="shared" si="95"/>
        <v>15 December 2021</v>
      </c>
      <c r="D718">
        <f t="shared" si="89"/>
        <v>12</v>
      </c>
      <c r="E718" t="str">
        <f t="shared" si="90"/>
        <v>December</v>
      </c>
      <c r="F718" s="128">
        <f t="shared" si="91"/>
        <v>2021</v>
      </c>
      <c r="G718" s="194" t="str">
        <f t="shared" si="92"/>
        <v>2021-12</v>
      </c>
      <c r="H718" s="193">
        <f t="shared" si="93"/>
        <v>44548</v>
      </c>
      <c r="I718">
        <f t="shared" si="94"/>
        <v>51</v>
      </c>
    </row>
    <row r="719" spans="1:9" x14ac:dyDescent="0.3">
      <c r="A719">
        <f t="shared" si="88"/>
        <v>20211216</v>
      </c>
      <c r="B719" s="193">
        <v>44546</v>
      </c>
      <c r="C719" s="196" t="str">
        <f t="shared" si="95"/>
        <v>16 December 2021</v>
      </c>
      <c r="D719">
        <f t="shared" si="89"/>
        <v>12</v>
      </c>
      <c r="E719" t="str">
        <f t="shared" si="90"/>
        <v>December</v>
      </c>
      <c r="F719" s="128">
        <f t="shared" si="91"/>
        <v>2021</v>
      </c>
      <c r="G719" s="194" t="str">
        <f t="shared" si="92"/>
        <v>2021-12</v>
      </c>
      <c r="H719" s="193">
        <f t="shared" si="93"/>
        <v>44548</v>
      </c>
      <c r="I719">
        <f t="shared" si="94"/>
        <v>51</v>
      </c>
    </row>
    <row r="720" spans="1:9" x14ac:dyDescent="0.3">
      <c r="A720">
        <f t="shared" si="88"/>
        <v>20211217</v>
      </c>
      <c r="B720" s="193">
        <v>44547</v>
      </c>
      <c r="C720" s="196" t="str">
        <f t="shared" si="95"/>
        <v>17 December 2021</v>
      </c>
      <c r="D720">
        <f t="shared" si="89"/>
        <v>12</v>
      </c>
      <c r="E720" t="str">
        <f t="shared" si="90"/>
        <v>December</v>
      </c>
      <c r="F720" s="128">
        <f t="shared" si="91"/>
        <v>2021</v>
      </c>
      <c r="G720" s="194" t="str">
        <f t="shared" si="92"/>
        <v>2021-12</v>
      </c>
      <c r="H720" s="193">
        <f t="shared" si="93"/>
        <v>44548</v>
      </c>
      <c r="I720">
        <f t="shared" si="94"/>
        <v>51</v>
      </c>
    </row>
    <row r="721" spans="1:9" x14ac:dyDescent="0.3">
      <c r="A721">
        <f t="shared" si="88"/>
        <v>20211218</v>
      </c>
      <c r="B721" s="193">
        <v>44548</v>
      </c>
      <c r="C721" s="196" t="str">
        <f t="shared" si="95"/>
        <v>18 December 2021</v>
      </c>
      <c r="D721">
        <f t="shared" si="89"/>
        <v>12</v>
      </c>
      <c r="E721" t="str">
        <f t="shared" si="90"/>
        <v>December</v>
      </c>
      <c r="F721" s="128">
        <f t="shared" si="91"/>
        <v>2021</v>
      </c>
      <c r="G721" s="194" t="str">
        <f t="shared" si="92"/>
        <v>2021-12</v>
      </c>
      <c r="H721" s="193">
        <f t="shared" si="93"/>
        <v>44548</v>
      </c>
      <c r="I721">
        <f t="shared" si="94"/>
        <v>51</v>
      </c>
    </row>
    <row r="722" spans="1:9" x14ac:dyDescent="0.3">
      <c r="A722">
        <f t="shared" si="88"/>
        <v>20211219</v>
      </c>
      <c r="B722" s="193">
        <v>44549</v>
      </c>
      <c r="C722" s="196" t="str">
        <f t="shared" si="95"/>
        <v>19 December 2021</v>
      </c>
      <c r="D722">
        <f t="shared" si="89"/>
        <v>12</v>
      </c>
      <c r="E722" t="str">
        <f t="shared" si="90"/>
        <v>December</v>
      </c>
      <c r="F722" s="128">
        <f t="shared" si="91"/>
        <v>2021</v>
      </c>
      <c r="G722" s="194" t="str">
        <f t="shared" si="92"/>
        <v>2021-12</v>
      </c>
      <c r="H722" s="193">
        <f t="shared" si="93"/>
        <v>44555</v>
      </c>
      <c r="I722">
        <f t="shared" si="94"/>
        <v>51</v>
      </c>
    </row>
    <row r="723" spans="1:9" x14ac:dyDescent="0.3">
      <c r="A723">
        <f t="shared" si="88"/>
        <v>20211220</v>
      </c>
      <c r="B723" s="193">
        <v>44550</v>
      </c>
      <c r="C723" s="196" t="str">
        <f t="shared" si="95"/>
        <v>20 December 2021</v>
      </c>
      <c r="D723">
        <f t="shared" si="89"/>
        <v>12</v>
      </c>
      <c r="E723" t="str">
        <f t="shared" si="90"/>
        <v>December</v>
      </c>
      <c r="F723" s="128">
        <f t="shared" si="91"/>
        <v>2021</v>
      </c>
      <c r="G723" s="194" t="str">
        <f t="shared" si="92"/>
        <v>2021-12</v>
      </c>
      <c r="H723" s="193">
        <f t="shared" si="93"/>
        <v>44555</v>
      </c>
      <c r="I723">
        <f t="shared" si="94"/>
        <v>52</v>
      </c>
    </row>
    <row r="724" spans="1:9" x14ac:dyDescent="0.3">
      <c r="A724">
        <f t="shared" si="88"/>
        <v>20211221</v>
      </c>
      <c r="B724" s="193">
        <v>44551</v>
      </c>
      <c r="C724" s="196" t="str">
        <f t="shared" si="95"/>
        <v>21 December 2021</v>
      </c>
      <c r="D724">
        <f t="shared" si="89"/>
        <v>12</v>
      </c>
      <c r="E724" t="str">
        <f t="shared" si="90"/>
        <v>December</v>
      </c>
      <c r="F724" s="128">
        <f t="shared" si="91"/>
        <v>2021</v>
      </c>
      <c r="G724" s="194" t="str">
        <f t="shared" si="92"/>
        <v>2021-12</v>
      </c>
      <c r="H724" s="193">
        <f t="shared" si="93"/>
        <v>44555</v>
      </c>
      <c r="I724">
        <f t="shared" si="94"/>
        <v>52</v>
      </c>
    </row>
    <row r="725" spans="1:9" x14ac:dyDescent="0.3">
      <c r="A725">
        <f t="shared" si="88"/>
        <v>20211222</v>
      </c>
      <c r="B725" s="193">
        <v>44552</v>
      </c>
      <c r="C725" s="196" t="str">
        <f t="shared" si="95"/>
        <v>22 December 2021</v>
      </c>
      <c r="D725">
        <f t="shared" si="89"/>
        <v>12</v>
      </c>
      <c r="E725" t="str">
        <f t="shared" si="90"/>
        <v>December</v>
      </c>
      <c r="F725" s="128">
        <f t="shared" si="91"/>
        <v>2021</v>
      </c>
      <c r="G725" s="194" t="str">
        <f t="shared" si="92"/>
        <v>2021-12</v>
      </c>
      <c r="H725" s="193">
        <f t="shared" si="93"/>
        <v>44555</v>
      </c>
      <c r="I725">
        <f t="shared" si="94"/>
        <v>52</v>
      </c>
    </row>
    <row r="726" spans="1:9" x14ac:dyDescent="0.3">
      <c r="A726">
        <f t="shared" si="88"/>
        <v>20211223</v>
      </c>
      <c r="B726" s="193">
        <v>44553</v>
      </c>
      <c r="C726" s="196" t="str">
        <f t="shared" si="95"/>
        <v>23 December 2021</v>
      </c>
      <c r="D726">
        <f t="shared" si="89"/>
        <v>12</v>
      </c>
      <c r="E726" t="str">
        <f t="shared" si="90"/>
        <v>December</v>
      </c>
      <c r="F726" s="128">
        <f t="shared" si="91"/>
        <v>2021</v>
      </c>
      <c r="G726" s="194" t="str">
        <f t="shared" si="92"/>
        <v>2021-12</v>
      </c>
      <c r="H726" s="193">
        <f t="shared" si="93"/>
        <v>44555</v>
      </c>
      <c r="I726">
        <f t="shared" si="94"/>
        <v>52</v>
      </c>
    </row>
    <row r="727" spans="1:9" x14ac:dyDescent="0.3">
      <c r="A727">
        <f t="shared" si="88"/>
        <v>20211224</v>
      </c>
      <c r="B727" s="193">
        <v>44554</v>
      </c>
      <c r="C727" s="196" t="str">
        <f t="shared" si="95"/>
        <v>24 December 2021</v>
      </c>
      <c r="D727">
        <f t="shared" si="89"/>
        <v>12</v>
      </c>
      <c r="E727" t="str">
        <f t="shared" si="90"/>
        <v>December</v>
      </c>
      <c r="F727" s="128">
        <f t="shared" si="91"/>
        <v>2021</v>
      </c>
      <c r="G727" s="194" t="str">
        <f t="shared" si="92"/>
        <v>2021-12</v>
      </c>
      <c r="H727" s="193">
        <f t="shared" si="93"/>
        <v>44555</v>
      </c>
      <c r="I727">
        <f t="shared" si="94"/>
        <v>52</v>
      </c>
    </row>
    <row r="728" spans="1:9" x14ac:dyDescent="0.3">
      <c r="A728">
        <f t="shared" si="88"/>
        <v>20211225</v>
      </c>
      <c r="B728" s="193">
        <v>44555</v>
      </c>
      <c r="C728" s="196" t="str">
        <f t="shared" si="95"/>
        <v>25 December 2021</v>
      </c>
      <c r="D728">
        <f t="shared" si="89"/>
        <v>12</v>
      </c>
      <c r="E728" t="str">
        <f t="shared" si="90"/>
        <v>December</v>
      </c>
      <c r="F728" s="128">
        <f t="shared" si="91"/>
        <v>2021</v>
      </c>
      <c r="G728" s="194" t="str">
        <f t="shared" si="92"/>
        <v>2021-12</v>
      </c>
      <c r="H728" s="193">
        <f t="shared" si="93"/>
        <v>44555</v>
      </c>
      <c r="I728">
        <f t="shared" si="94"/>
        <v>52</v>
      </c>
    </row>
    <row r="729" spans="1:9" x14ac:dyDescent="0.3">
      <c r="A729">
        <f t="shared" si="88"/>
        <v>20211226</v>
      </c>
      <c r="B729" s="193">
        <v>44556</v>
      </c>
      <c r="C729" s="196" t="str">
        <f t="shared" si="95"/>
        <v>26 December 2021</v>
      </c>
      <c r="D729">
        <f t="shared" si="89"/>
        <v>12</v>
      </c>
      <c r="E729" t="str">
        <f t="shared" si="90"/>
        <v>December</v>
      </c>
      <c r="F729" s="128">
        <f t="shared" si="91"/>
        <v>2021</v>
      </c>
      <c r="G729" s="194" t="str">
        <f t="shared" si="92"/>
        <v>2021-12</v>
      </c>
      <c r="H729" s="193">
        <f t="shared" si="93"/>
        <v>44562</v>
      </c>
      <c r="I729">
        <f t="shared" si="94"/>
        <v>52</v>
      </c>
    </row>
    <row r="730" spans="1:9" x14ac:dyDescent="0.3">
      <c r="A730">
        <f t="shared" si="88"/>
        <v>20211227</v>
      </c>
      <c r="B730" s="193">
        <v>44557</v>
      </c>
      <c r="C730" s="196" t="str">
        <f t="shared" si="95"/>
        <v>27 December 2021</v>
      </c>
      <c r="D730">
        <f t="shared" si="89"/>
        <v>12</v>
      </c>
      <c r="E730" t="str">
        <f t="shared" si="90"/>
        <v>December</v>
      </c>
      <c r="F730" s="128">
        <f t="shared" si="91"/>
        <v>2021</v>
      </c>
      <c r="G730" s="194" t="str">
        <f t="shared" si="92"/>
        <v>2021-12</v>
      </c>
      <c r="H730" s="193">
        <f t="shared" si="93"/>
        <v>44562</v>
      </c>
      <c r="I730">
        <f t="shared" si="94"/>
        <v>53</v>
      </c>
    </row>
    <row r="731" spans="1:9" x14ac:dyDescent="0.3">
      <c r="A731">
        <f t="shared" si="88"/>
        <v>20211228</v>
      </c>
      <c r="B731" s="193">
        <v>44558</v>
      </c>
      <c r="C731" s="196" t="str">
        <f t="shared" si="95"/>
        <v>28 December 2021</v>
      </c>
      <c r="D731">
        <f t="shared" si="89"/>
        <v>12</v>
      </c>
      <c r="E731" t="str">
        <f t="shared" si="90"/>
        <v>December</v>
      </c>
      <c r="F731" s="128">
        <f t="shared" si="91"/>
        <v>2021</v>
      </c>
      <c r="G731" s="194" t="str">
        <f t="shared" si="92"/>
        <v>2021-12</v>
      </c>
      <c r="H731" s="193">
        <f t="shared" si="93"/>
        <v>44562</v>
      </c>
      <c r="I731">
        <f t="shared" si="94"/>
        <v>53</v>
      </c>
    </row>
    <row r="732" spans="1:9" x14ac:dyDescent="0.3">
      <c r="A732">
        <f t="shared" si="88"/>
        <v>20211229</v>
      </c>
      <c r="B732" s="193">
        <v>44559</v>
      </c>
      <c r="C732" s="196" t="str">
        <f t="shared" si="95"/>
        <v>29 December 2021</v>
      </c>
      <c r="D732">
        <f t="shared" si="89"/>
        <v>12</v>
      </c>
      <c r="E732" t="str">
        <f t="shared" si="90"/>
        <v>December</v>
      </c>
      <c r="F732" s="128">
        <f t="shared" si="91"/>
        <v>2021</v>
      </c>
      <c r="G732" s="194" t="str">
        <f t="shared" si="92"/>
        <v>2021-12</v>
      </c>
      <c r="H732" s="193">
        <f t="shared" si="93"/>
        <v>44562</v>
      </c>
      <c r="I732">
        <f t="shared" si="94"/>
        <v>53</v>
      </c>
    </row>
    <row r="733" spans="1:9" x14ac:dyDescent="0.3">
      <c r="A733">
        <f t="shared" si="88"/>
        <v>20211230</v>
      </c>
      <c r="B733" s="193">
        <v>44560</v>
      </c>
      <c r="C733" s="196" t="str">
        <f t="shared" si="95"/>
        <v>30 December 2021</v>
      </c>
      <c r="D733">
        <f t="shared" si="89"/>
        <v>12</v>
      </c>
      <c r="E733" t="str">
        <f t="shared" si="90"/>
        <v>December</v>
      </c>
      <c r="F733" s="128">
        <f t="shared" si="91"/>
        <v>2021</v>
      </c>
      <c r="G733" s="194" t="str">
        <f t="shared" si="92"/>
        <v>2021-12</v>
      </c>
      <c r="H733" s="193">
        <f t="shared" si="93"/>
        <v>44562</v>
      </c>
      <c r="I733">
        <f t="shared" si="94"/>
        <v>53</v>
      </c>
    </row>
    <row r="734" spans="1:9" x14ac:dyDescent="0.3">
      <c r="A734">
        <f t="shared" si="88"/>
        <v>20211231</v>
      </c>
      <c r="B734" s="193">
        <v>44561</v>
      </c>
      <c r="C734" s="196" t="str">
        <f t="shared" si="95"/>
        <v>31 December 2021</v>
      </c>
      <c r="D734">
        <f t="shared" si="89"/>
        <v>12</v>
      </c>
      <c r="E734" t="str">
        <f t="shared" si="90"/>
        <v>December</v>
      </c>
      <c r="F734" s="128">
        <f t="shared" si="91"/>
        <v>2021</v>
      </c>
      <c r="G734" s="194" t="str">
        <f t="shared" si="92"/>
        <v>2021-12</v>
      </c>
      <c r="H734" s="193">
        <f t="shared" si="93"/>
        <v>44562</v>
      </c>
      <c r="I734">
        <f t="shared" si="94"/>
        <v>53</v>
      </c>
    </row>
    <row r="735" spans="1:9" x14ac:dyDescent="0.3">
      <c r="A735">
        <f t="shared" si="88"/>
        <v>20220101</v>
      </c>
      <c r="B735" s="193">
        <v>44562</v>
      </c>
      <c r="C735" s="196" t="str">
        <f t="shared" si="95"/>
        <v>01 January 2022</v>
      </c>
      <c r="D735">
        <f t="shared" si="89"/>
        <v>1</v>
      </c>
      <c r="E735" t="str">
        <f t="shared" si="90"/>
        <v>January</v>
      </c>
      <c r="F735" s="128">
        <f t="shared" si="91"/>
        <v>2022</v>
      </c>
      <c r="G735" s="194" t="str">
        <f t="shared" si="92"/>
        <v>2022-01</v>
      </c>
      <c r="H735" s="193">
        <f t="shared" si="93"/>
        <v>44562</v>
      </c>
      <c r="I735">
        <f t="shared" si="94"/>
        <v>1</v>
      </c>
    </row>
    <row r="736" spans="1:9" x14ac:dyDescent="0.3">
      <c r="A736">
        <f t="shared" si="88"/>
        <v>20220102</v>
      </c>
      <c r="B736" s="193">
        <v>44563</v>
      </c>
      <c r="C736" s="196" t="str">
        <f t="shared" si="95"/>
        <v>02 January 2022</v>
      </c>
      <c r="D736">
        <f t="shared" si="89"/>
        <v>1</v>
      </c>
      <c r="E736" t="str">
        <f t="shared" si="90"/>
        <v>January</v>
      </c>
      <c r="F736" s="128">
        <f t="shared" si="91"/>
        <v>2022</v>
      </c>
      <c r="G736" s="194" t="str">
        <f t="shared" si="92"/>
        <v>2022-01</v>
      </c>
      <c r="H736" s="193">
        <f t="shared" si="93"/>
        <v>44569</v>
      </c>
      <c r="I736">
        <f t="shared" si="94"/>
        <v>1</v>
      </c>
    </row>
    <row r="737" spans="1:9" x14ac:dyDescent="0.3">
      <c r="A737">
        <f t="shared" si="88"/>
        <v>20220103</v>
      </c>
      <c r="B737" s="193">
        <v>44564</v>
      </c>
      <c r="C737" s="196" t="str">
        <f t="shared" si="95"/>
        <v>03 January 2022</v>
      </c>
      <c r="D737">
        <f t="shared" si="89"/>
        <v>1</v>
      </c>
      <c r="E737" t="str">
        <f t="shared" si="90"/>
        <v>January</v>
      </c>
      <c r="F737" s="128">
        <f t="shared" si="91"/>
        <v>2022</v>
      </c>
      <c r="G737" s="194" t="str">
        <f t="shared" si="92"/>
        <v>2022-01</v>
      </c>
      <c r="H737" s="193">
        <f t="shared" si="93"/>
        <v>44569</v>
      </c>
      <c r="I737">
        <f t="shared" si="94"/>
        <v>2</v>
      </c>
    </row>
    <row r="738" spans="1:9" x14ac:dyDescent="0.3">
      <c r="A738">
        <f t="shared" si="88"/>
        <v>20220104</v>
      </c>
      <c r="B738" s="193">
        <v>44565</v>
      </c>
      <c r="C738" s="196" t="str">
        <f t="shared" si="95"/>
        <v>04 January 2022</v>
      </c>
      <c r="D738">
        <f t="shared" si="89"/>
        <v>1</v>
      </c>
      <c r="E738" t="str">
        <f t="shared" si="90"/>
        <v>January</v>
      </c>
      <c r="F738" s="128">
        <f t="shared" si="91"/>
        <v>2022</v>
      </c>
      <c r="G738" s="194" t="str">
        <f t="shared" si="92"/>
        <v>2022-01</v>
      </c>
      <c r="H738" s="193">
        <f t="shared" si="93"/>
        <v>44569</v>
      </c>
      <c r="I738">
        <f t="shared" si="94"/>
        <v>2</v>
      </c>
    </row>
    <row r="739" spans="1:9" x14ac:dyDescent="0.3">
      <c r="A739">
        <f t="shared" si="88"/>
        <v>20220105</v>
      </c>
      <c r="B739" s="193">
        <v>44566</v>
      </c>
      <c r="C739" s="196" t="str">
        <f t="shared" si="95"/>
        <v>05 January 2022</v>
      </c>
      <c r="D739">
        <f t="shared" si="89"/>
        <v>1</v>
      </c>
      <c r="E739" t="str">
        <f t="shared" si="90"/>
        <v>January</v>
      </c>
      <c r="F739" s="128">
        <f t="shared" si="91"/>
        <v>2022</v>
      </c>
      <c r="G739" s="194" t="str">
        <f t="shared" si="92"/>
        <v>2022-01</v>
      </c>
      <c r="H739" s="193">
        <f t="shared" si="93"/>
        <v>44569</v>
      </c>
      <c r="I739">
        <f t="shared" si="94"/>
        <v>2</v>
      </c>
    </row>
    <row r="740" spans="1:9" x14ac:dyDescent="0.3">
      <c r="A740">
        <f t="shared" si="88"/>
        <v>20220106</v>
      </c>
      <c r="B740" s="193">
        <v>44567</v>
      </c>
      <c r="C740" s="196" t="str">
        <f t="shared" si="95"/>
        <v>06 January 2022</v>
      </c>
      <c r="D740">
        <f t="shared" si="89"/>
        <v>1</v>
      </c>
      <c r="E740" t="str">
        <f t="shared" si="90"/>
        <v>January</v>
      </c>
      <c r="F740" s="128">
        <f t="shared" si="91"/>
        <v>2022</v>
      </c>
      <c r="G740" s="194" t="str">
        <f t="shared" si="92"/>
        <v>2022-01</v>
      </c>
      <c r="H740" s="193">
        <f t="shared" si="93"/>
        <v>44569</v>
      </c>
      <c r="I740">
        <f t="shared" si="94"/>
        <v>2</v>
      </c>
    </row>
    <row r="741" spans="1:9" x14ac:dyDescent="0.3">
      <c r="A741">
        <f t="shared" si="88"/>
        <v>20220107</v>
      </c>
      <c r="B741" s="193">
        <v>44568</v>
      </c>
      <c r="C741" s="196" t="str">
        <f t="shared" si="95"/>
        <v>07 January 2022</v>
      </c>
      <c r="D741">
        <f t="shared" si="89"/>
        <v>1</v>
      </c>
      <c r="E741" t="str">
        <f t="shared" si="90"/>
        <v>January</v>
      </c>
      <c r="F741" s="128">
        <f t="shared" si="91"/>
        <v>2022</v>
      </c>
      <c r="G741" s="194" t="str">
        <f t="shared" si="92"/>
        <v>2022-01</v>
      </c>
      <c r="H741" s="193">
        <f t="shared" si="93"/>
        <v>44569</v>
      </c>
      <c r="I741">
        <f t="shared" si="94"/>
        <v>2</v>
      </c>
    </row>
    <row r="742" spans="1:9" x14ac:dyDescent="0.3">
      <c r="A742">
        <f t="shared" si="88"/>
        <v>20220108</v>
      </c>
      <c r="B742" s="193">
        <v>44569</v>
      </c>
      <c r="C742" s="196" t="str">
        <f t="shared" si="95"/>
        <v>08 January 2022</v>
      </c>
      <c r="D742">
        <f t="shared" si="89"/>
        <v>1</v>
      </c>
      <c r="E742" t="str">
        <f t="shared" si="90"/>
        <v>January</v>
      </c>
      <c r="F742" s="128">
        <f t="shared" si="91"/>
        <v>2022</v>
      </c>
      <c r="G742" s="194" t="str">
        <f t="shared" si="92"/>
        <v>2022-01</v>
      </c>
      <c r="H742" s="193">
        <f t="shared" si="93"/>
        <v>44569</v>
      </c>
      <c r="I742">
        <f t="shared" si="94"/>
        <v>2</v>
      </c>
    </row>
    <row r="743" spans="1:9" x14ac:dyDescent="0.3">
      <c r="A743">
        <f t="shared" si="88"/>
        <v>20220109</v>
      </c>
      <c r="B743" s="193">
        <v>44570</v>
      </c>
      <c r="C743" s="196" t="str">
        <f t="shared" si="95"/>
        <v>09 January 2022</v>
      </c>
      <c r="D743">
        <f t="shared" si="89"/>
        <v>1</v>
      </c>
      <c r="E743" t="str">
        <f t="shared" si="90"/>
        <v>January</v>
      </c>
      <c r="F743" s="128">
        <f t="shared" si="91"/>
        <v>2022</v>
      </c>
      <c r="G743" s="194" t="str">
        <f t="shared" si="92"/>
        <v>2022-01</v>
      </c>
      <c r="H743" s="193">
        <f t="shared" si="93"/>
        <v>44576</v>
      </c>
      <c r="I743">
        <f t="shared" si="94"/>
        <v>2</v>
      </c>
    </row>
    <row r="744" spans="1:9" x14ac:dyDescent="0.3">
      <c r="A744">
        <f t="shared" si="88"/>
        <v>20220110</v>
      </c>
      <c r="B744" s="193">
        <v>44571</v>
      </c>
      <c r="C744" s="196" t="str">
        <f t="shared" si="95"/>
        <v>10 January 2022</v>
      </c>
      <c r="D744">
        <f t="shared" si="89"/>
        <v>1</v>
      </c>
      <c r="E744" t="str">
        <f t="shared" si="90"/>
        <v>January</v>
      </c>
      <c r="F744" s="128">
        <f t="shared" si="91"/>
        <v>2022</v>
      </c>
      <c r="G744" s="194" t="str">
        <f t="shared" si="92"/>
        <v>2022-01</v>
      </c>
      <c r="H744" s="193">
        <f t="shared" si="93"/>
        <v>44576</v>
      </c>
      <c r="I744">
        <f t="shared" si="94"/>
        <v>3</v>
      </c>
    </row>
    <row r="745" spans="1:9" x14ac:dyDescent="0.3">
      <c r="A745">
        <f t="shared" si="88"/>
        <v>20220111</v>
      </c>
      <c r="B745" s="193">
        <v>44572</v>
      </c>
      <c r="C745" s="196" t="str">
        <f t="shared" si="95"/>
        <v>11 January 2022</v>
      </c>
      <c r="D745">
        <f t="shared" si="89"/>
        <v>1</v>
      </c>
      <c r="E745" t="str">
        <f t="shared" si="90"/>
        <v>January</v>
      </c>
      <c r="F745" s="128">
        <f t="shared" si="91"/>
        <v>2022</v>
      </c>
      <c r="G745" s="194" t="str">
        <f t="shared" si="92"/>
        <v>2022-01</v>
      </c>
      <c r="H745" s="193">
        <f t="shared" si="93"/>
        <v>44576</v>
      </c>
      <c r="I745">
        <f t="shared" si="94"/>
        <v>3</v>
      </c>
    </row>
    <row r="746" spans="1:9" x14ac:dyDescent="0.3">
      <c r="A746">
        <f t="shared" si="88"/>
        <v>20220112</v>
      </c>
      <c r="B746" s="193">
        <v>44573</v>
      </c>
      <c r="C746" s="196" t="str">
        <f t="shared" si="95"/>
        <v>12 January 2022</v>
      </c>
      <c r="D746">
        <f t="shared" si="89"/>
        <v>1</v>
      </c>
      <c r="E746" t="str">
        <f t="shared" si="90"/>
        <v>January</v>
      </c>
      <c r="F746" s="128">
        <f t="shared" si="91"/>
        <v>2022</v>
      </c>
      <c r="G746" s="194" t="str">
        <f t="shared" si="92"/>
        <v>2022-01</v>
      </c>
      <c r="H746" s="193">
        <f t="shared" si="93"/>
        <v>44576</v>
      </c>
      <c r="I746">
        <f t="shared" si="94"/>
        <v>3</v>
      </c>
    </row>
    <row r="747" spans="1:9" x14ac:dyDescent="0.3">
      <c r="A747">
        <f t="shared" si="88"/>
        <v>20220113</v>
      </c>
      <c r="B747" s="193">
        <v>44574</v>
      </c>
      <c r="C747" s="196" t="str">
        <f t="shared" si="95"/>
        <v>13 January 2022</v>
      </c>
      <c r="D747">
        <f t="shared" si="89"/>
        <v>1</v>
      </c>
      <c r="E747" t="str">
        <f t="shared" si="90"/>
        <v>January</v>
      </c>
      <c r="F747" s="128">
        <f t="shared" si="91"/>
        <v>2022</v>
      </c>
      <c r="G747" s="194" t="str">
        <f t="shared" si="92"/>
        <v>2022-01</v>
      </c>
      <c r="H747" s="193">
        <f t="shared" si="93"/>
        <v>44576</v>
      </c>
      <c r="I747">
        <f t="shared" si="94"/>
        <v>3</v>
      </c>
    </row>
    <row r="748" spans="1:9" x14ac:dyDescent="0.3">
      <c r="A748">
        <f t="shared" si="88"/>
        <v>20220114</v>
      </c>
      <c r="B748" s="193">
        <v>44575</v>
      </c>
      <c r="C748" s="196" t="str">
        <f t="shared" si="95"/>
        <v>14 January 2022</v>
      </c>
      <c r="D748">
        <f t="shared" si="89"/>
        <v>1</v>
      </c>
      <c r="E748" t="str">
        <f t="shared" si="90"/>
        <v>January</v>
      </c>
      <c r="F748" s="128">
        <f t="shared" si="91"/>
        <v>2022</v>
      </c>
      <c r="G748" s="194" t="str">
        <f t="shared" si="92"/>
        <v>2022-01</v>
      </c>
      <c r="H748" s="193">
        <f t="shared" si="93"/>
        <v>44576</v>
      </c>
      <c r="I748">
        <f t="shared" si="94"/>
        <v>3</v>
      </c>
    </row>
    <row r="749" spans="1:9" x14ac:dyDescent="0.3">
      <c r="A749">
        <f t="shared" si="88"/>
        <v>20220115</v>
      </c>
      <c r="B749" s="193">
        <v>44576</v>
      </c>
      <c r="C749" s="196" t="str">
        <f t="shared" si="95"/>
        <v>15 January 2022</v>
      </c>
      <c r="D749">
        <f t="shared" si="89"/>
        <v>1</v>
      </c>
      <c r="E749" t="str">
        <f t="shared" si="90"/>
        <v>January</v>
      </c>
      <c r="F749" s="128">
        <f t="shared" si="91"/>
        <v>2022</v>
      </c>
      <c r="G749" s="194" t="str">
        <f t="shared" si="92"/>
        <v>2022-01</v>
      </c>
      <c r="H749" s="193">
        <f t="shared" si="93"/>
        <v>44576</v>
      </c>
      <c r="I749">
        <f t="shared" si="94"/>
        <v>3</v>
      </c>
    </row>
    <row r="750" spans="1:9" x14ac:dyDescent="0.3">
      <c r="A750">
        <f t="shared" si="88"/>
        <v>20220116</v>
      </c>
      <c r="B750" s="193">
        <v>44577</v>
      </c>
      <c r="C750" s="196" t="str">
        <f t="shared" si="95"/>
        <v>16 January 2022</v>
      </c>
      <c r="D750">
        <f t="shared" si="89"/>
        <v>1</v>
      </c>
      <c r="E750" t="str">
        <f t="shared" si="90"/>
        <v>January</v>
      </c>
      <c r="F750" s="128">
        <f t="shared" si="91"/>
        <v>2022</v>
      </c>
      <c r="G750" s="194" t="str">
        <f t="shared" si="92"/>
        <v>2022-01</v>
      </c>
      <c r="H750" s="193">
        <f t="shared" si="93"/>
        <v>44583</v>
      </c>
      <c r="I750">
        <f t="shared" si="94"/>
        <v>3</v>
      </c>
    </row>
    <row r="751" spans="1:9" x14ac:dyDescent="0.3">
      <c r="A751">
        <f t="shared" si="88"/>
        <v>20220117</v>
      </c>
      <c r="B751" s="193">
        <v>44578</v>
      </c>
      <c r="C751" s="196" t="str">
        <f t="shared" si="95"/>
        <v>17 January 2022</v>
      </c>
      <c r="D751">
        <f t="shared" si="89"/>
        <v>1</v>
      </c>
      <c r="E751" t="str">
        <f t="shared" si="90"/>
        <v>January</v>
      </c>
      <c r="F751" s="128">
        <f t="shared" si="91"/>
        <v>2022</v>
      </c>
      <c r="G751" s="194" t="str">
        <f t="shared" si="92"/>
        <v>2022-01</v>
      </c>
      <c r="H751" s="193">
        <f t="shared" si="93"/>
        <v>44583</v>
      </c>
      <c r="I751">
        <f t="shared" si="94"/>
        <v>4</v>
      </c>
    </row>
    <row r="752" spans="1:9" x14ac:dyDescent="0.3">
      <c r="A752">
        <f t="shared" si="88"/>
        <v>20220118</v>
      </c>
      <c r="B752" s="193">
        <v>44579</v>
      </c>
      <c r="C752" s="196" t="str">
        <f t="shared" si="95"/>
        <v>18 January 2022</v>
      </c>
      <c r="D752">
        <f t="shared" si="89"/>
        <v>1</v>
      </c>
      <c r="E752" t="str">
        <f t="shared" si="90"/>
        <v>January</v>
      </c>
      <c r="F752" s="128">
        <f t="shared" si="91"/>
        <v>2022</v>
      </c>
      <c r="G752" s="194" t="str">
        <f t="shared" si="92"/>
        <v>2022-01</v>
      </c>
      <c r="H752" s="193">
        <f t="shared" si="93"/>
        <v>44583</v>
      </c>
      <c r="I752">
        <f t="shared" si="94"/>
        <v>4</v>
      </c>
    </row>
    <row r="753" spans="1:9" x14ac:dyDescent="0.3">
      <c r="A753">
        <f t="shared" si="88"/>
        <v>20220119</v>
      </c>
      <c r="B753" s="193">
        <v>44580</v>
      </c>
      <c r="C753" s="196" t="str">
        <f t="shared" si="95"/>
        <v>19 January 2022</v>
      </c>
      <c r="D753">
        <f t="shared" si="89"/>
        <v>1</v>
      </c>
      <c r="E753" t="str">
        <f t="shared" si="90"/>
        <v>January</v>
      </c>
      <c r="F753" s="128">
        <f t="shared" si="91"/>
        <v>2022</v>
      </c>
      <c r="G753" s="194" t="str">
        <f t="shared" si="92"/>
        <v>2022-01</v>
      </c>
      <c r="H753" s="193">
        <f t="shared" si="93"/>
        <v>44583</v>
      </c>
      <c r="I753">
        <f t="shared" si="94"/>
        <v>4</v>
      </c>
    </row>
    <row r="754" spans="1:9" x14ac:dyDescent="0.3">
      <c r="A754">
        <f t="shared" si="88"/>
        <v>20220120</v>
      </c>
      <c r="B754" s="193">
        <v>44581</v>
      </c>
      <c r="C754" s="196" t="str">
        <f t="shared" si="95"/>
        <v>20 January 2022</v>
      </c>
      <c r="D754">
        <f t="shared" si="89"/>
        <v>1</v>
      </c>
      <c r="E754" t="str">
        <f t="shared" si="90"/>
        <v>January</v>
      </c>
      <c r="F754" s="128">
        <f t="shared" si="91"/>
        <v>2022</v>
      </c>
      <c r="G754" s="194" t="str">
        <f t="shared" si="92"/>
        <v>2022-01</v>
      </c>
      <c r="H754" s="193">
        <f t="shared" si="93"/>
        <v>44583</v>
      </c>
      <c r="I754">
        <f t="shared" si="94"/>
        <v>4</v>
      </c>
    </row>
    <row r="755" spans="1:9" x14ac:dyDescent="0.3">
      <c r="A755">
        <f t="shared" si="88"/>
        <v>20220121</v>
      </c>
      <c r="B755" s="193">
        <v>44582</v>
      </c>
      <c r="C755" s="196" t="str">
        <f t="shared" si="95"/>
        <v>21 January 2022</v>
      </c>
      <c r="D755">
        <f t="shared" si="89"/>
        <v>1</v>
      </c>
      <c r="E755" t="str">
        <f t="shared" si="90"/>
        <v>January</v>
      </c>
      <c r="F755" s="128">
        <f t="shared" si="91"/>
        <v>2022</v>
      </c>
      <c r="G755" s="194" t="str">
        <f t="shared" si="92"/>
        <v>2022-01</v>
      </c>
      <c r="H755" s="193">
        <f t="shared" si="93"/>
        <v>44583</v>
      </c>
      <c r="I755">
        <f t="shared" si="94"/>
        <v>4</v>
      </c>
    </row>
    <row r="756" spans="1:9" x14ac:dyDescent="0.3">
      <c r="A756">
        <f t="shared" si="88"/>
        <v>20220122</v>
      </c>
      <c r="B756" s="193">
        <v>44583</v>
      </c>
      <c r="C756" s="196" t="str">
        <f t="shared" si="95"/>
        <v>22 January 2022</v>
      </c>
      <c r="D756">
        <f t="shared" si="89"/>
        <v>1</v>
      </c>
      <c r="E756" t="str">
        <f t="shared" si="90"/>
        <v>January</v>
      </c>
      <c r="F756" s="128">
        <f t="shared" si="91"/>
        <v>2022</v>
      </c>
      <c r="G756" s="194" t="str">
        <f t="shared" si="92"/>
        <v>2022-01</v>
      </c>
      <c r="H756" s="193">
        <f t="shared" si="93"/>
        <v>44583</v>
      </c>
      <c r="I756">
        <f t="shared" si="94"/>
        <v>4</v>
      </c>
    </row>
    <row r="757" spans="1:9" x14ac:dyDescent="0.3">
      <c r="A757">
        <f t="shared" si="88"/>
        <v>20220123</v>
      </c>
      <c r="B757" s="193">
        <v>44584</v>
      </c>
      <c r="C757" s="196" t="str">
        <f t="shared" si="95"/>
        <v>23 January 2022</v>
      </c>
      <c r="D757">
        <f t="shared" si="89"/>
        <v>1</v>
      </c>
      <c r="E757" t="str">
        <f t="shared" si="90"/>
        <v>January</v>
      </c>
      <c r="F757" s="128">
        <f t="shared" si="91"/>
        <v>2022</v>
      </c>
      <c r="G757" s="194" t="str">
        <f t="shared" si="92"/>
        <v>2022-01</v>
      </c>
      <c r="H757" s="193">
        <f t="shared" si="93"/>
        <v>44590</v>
      </c>
      <c r="I757">
        <f t="shared" si="94"/>
        <v>4</v>
      </c>
    </row>
    <row r="758" spans="1:9" x14ac:dyDescent="0.3">
      <c r="A758">
        <f t="shared" si="88"/>
        <v>20220124</v>
      </c>
      <c r="B758" s="193">
        <v>44585</v>
      </c>
      <c r="C758" s="196" t="str">
        <f t="shared" si="95"/>
        <v>24 January 2022</v>
      </c>
      <c r="D758">
        <f t="shared" si="89"/>
        <v>1</v>
      </c>
      <c r="E758" t="str">
        <f t="shared" si="90"/>
        <v>January</v>
      </c>
      <c r="F758" s="128">
        <f t="shared" si="91"/>
        <v>2022</v>
      </c>
      <c r="G758" s="194" t="str">
        <f t="shared" si="92"/>
        <v>2022-01</v>
      </c>
      <c r="H758" s="193">
        <f t="shared" si="93"/>
        <v>44590</v>
      </c>
      <c r="I758">
        <f t="shared" si="94"/>
        <v>5</v>
      </c>
    </row>
    <row r="759" spans="1:9" x14ac:dyDescent="0.3">
      <c r="A759">
        <f t="shared" si="88"/>
        <v>20220125</v>
      </c>
      <c r="B759" s="193">
        <v>44586</v>
      </c>
      <c r="C759" s="196" t="str">
        <f t="shared" si="95"/>
        <v>25 January 2022</v>
      </c>
      <c r="D759">
        <f t="shared" si="89"/>
        <v>1</v>
      </c>
      <c r="E759" t="str">
        <f t="shared" si="90"/>
        <v>January</v>
      </c>
      <c r="F759" s="128">
        <f t="shared" si="91"/>
        <v>2022</v>
      </c>
      <c r="G759" s="194" t="str">
        <f t="shared" si="92"/>
        <v>2022-01</v>
      </c>
      <c r="H759" s="193">
        <f t="shared" si="93"/>
        <v>44590</v>
      </c>
      <c r="I759">
        <f t="shared" si="94"/>
        <v>5</v>
      </c>
    </row>
    <row r="760" spans="1:9" x14ac:dyDescent="0.3">
      <c r="A760">
        <f t="shared" si="88"/>
        <v>20220126</v>
      </c>
      <c r="B760" s="193">
        <v>44587</v>
      </c>
      <c r="C760" s="196" t="str">
        <f t="shared" si="95"/>
        <v>26 January 2022</v>
      </c>
      <c r="D760">
        <f t="shared" si="89"/>
        <v>1</v>
      </c>
      <c r="E760" t="str">
        <f t="shared" si="90"/>
        <v>January</v>
      </c>
      <c r="F760" s="128">
        <f t="shared" si="91"/>
        <v>2022</v>
      </c>
      <c r="G760" s="194" t="str">
        <f t="shared" si="92"/>
        <v>2022-01</v>
      </c>
      <c r="H760" s="193">
        <f t="shared" si="93"/>
        <v>44590</v>
      </c>
      <c r="I760">
        <f t="shared" si="94"/>
        <v>5</v>
      </c>
    </row>
    <row r="761" spans="1:9" x14ac:dyDescent="0.3">
      <c r="A761">
        <f t="shared" si="88"/>
        <v>20220127</v>
      </c>
      <c r="B761" s="193">
        <v>44588</v>
      </c>
      <c r="C761" s="196" t="str">
        <f t="shared" si="95"/>
        <v>27 January 2022</v>
      </c>
      <c r="D761">
        <f t="shared" si="89"/>
        <v>1</v>
      </c>
      <c r="E761" t="str">
        <f t="shared" si="90"/>
        <v>January</v>
      </c>
      <c r="F761" s="128">
        <f t="shared" si="91"/>
        <v>2022</v>
      </c>
      <c r="G761" s="194" t="str">
        <f t="shared" si="92"/>
        <v>2022-01</v>
      </c>
      <c r="H761" s="193">
        <f t="shared" si="93"/>
        <v>44590</v>
      </c>
      <c r="I761">
        <f t="shared" si="94"/>
        <v>5</v>
      </c>
    </row>
    <row r="762" spans="1:9" x14ac:dyDescent="0.3">
      <c r="A762">
        <f t="shared" si="88"/>
        <v>20220128</v>
      </c>
      <c r="B762" s="193">
        <v>44589</v>
      </c>
      <c r="C762" s="196" t="str">
        <f t="shared" si="95"/>
        <v>28 January 2022</v>
      </c>
      <c r="D762">
        <f t="shared" si="89"/>
        <v>1</v>
      </c>
      <c r="E762" t="str">
        <f t="shared" si="90"/>
        <v>January</v>
      </c>
      <c r="F762" s="128">
        <f t="shared" si="91"/>
        <v>2022</v>
      </c>
      <c r="G762" s="194" t="str">
        <f t="shared" si="92"/>
        <v>2022-01</v>
      </c>
      <c r="H762" s="193">
        <f t="shared" si="93"/>
        <v>44590</v>
      </c>
      <c r="I762">
        <f t="shared" si="94"/>
        <v>5</v>
      </c>
    </row>
    <row r="763" spans="1:9" x14ac:dyDescent="0.3">
      <c r="A763">
        <f t="shared" si="88"/>
        <v>20220129</v>
      </c>
      <c r="B763" s="193">
        <v>44590</v>
      </c>
      <c r="C763" s="196" t="str">
        <f t="shared" si="95"/>
        <v>29 January 2022</v>
      </c>
      <c r="D763">
        <f t="shared" si="89"/>
        <v>1</v>
      </c>
      <c r="E763" t="str">
        <f t="shared" si="90"/>
        <v>January</v>
      </c>
      <c r="F763" s="128">
        <f t="shared" si="91"/>
        <v>2022</v>
      </c>
      <c r="G763" s="194" t="str">
        <f t="shared" si="92"/>
        <v>2022-01</v>
      </c>
      <c r="H763" s="193">
        <f t="shared" si="93"/>
        <v>44590</v>
      </c>
      <c r="I763">
        <f t="shared" si="94"/>
        <v>5</v>
      </c>
    </row>
    <row r="764" spans="1:9" x14ac:dyDescent="0.3">
      <c r="A764">
        <f t="shared" si="88"/>
        <v>20220130</v>
      </c>
      <c r="B764" s="193">
        <v>44591</v>
      </c>
      <c r="C764" s="196" t="str">
        <f t="shared" si="95"/>
        <v>30 January 2022</v>
      </c>
      <c r="D764">
        <f t="shared" si="89"/>
        <v>1</v>
      </c>
      <c r="E764" t="str">
        <f t="shared" si="90"/>
        <v>January</v>
      </c>
      <c r="F764" s="128">
        <f t="shared" si="91"/>
        <v>2022</v>
      </c>
      <c r="G764" s="194" t="str">
        <f t="shared" si="92"/>
        <v>2022-01</v>
      </c>
      <c r="H764" s="193">
        <f t="shared" si="93"/>
        <v>44597</v>
      </c>
      <c r="I764">
        <f t="shared" si="94"/>
        <v>5</v>
      </c>
    </row>
    <row r="765" spans="1:9" x14ac:dyDescent="0.3">
      <c r="A765">
        <f t="shared" si="88"/>
        <v>20220131</v>
      </c>
      <c r="B765" s="193">
        <v>44592</v>
      </c>
      <c r="C765" s="196" t="str">
        <f t="shared" si="95"/>
        <v>31 January 2022</v>
      </c>
      <c r="D765">
        <f t="shared" si="89"/>
        <v>1</v>
      </c>
      <c r="E765" t="str">
        <f t="shared" si="90"/>
        <v>January</v>
      </c>
      <c r="F765" s="128">
        <f t="shared" si="91"/>
        <v>2022</v>
      </c>
      <c r="G765" s="194" t="str">
        <f t="shared" si="92"/>
        <v>2022-01</v>
      </c>
      <c r="H765" s="193">
        <f t="shared" si="93"/>
        <v>44597</v>
      </c>
      <c r="I765">
        <f t="shared" si="94"/>
        <v>6</v>
      </c>
    </row>
    <row r="766" spans="1:9" x14ac:dyDescent="0.3">
      <c r="A766">
        <f t="shared" si="88"/>
        <v>20220201</v>
      </c>
      <c r="B766" s="193">
        <v>44593</v>
      </c>
      <c r="C766" s="196" t="str">
        <f t="shared" si="95"/>
        <v>01 February 2022</v>
      </c>
      <c r="D766">
        <f t="shared" si="89"/>
        <v>2</v>
      </c>
      <c r="E766" t="str">
        <f t="shared" si="90"/>
        <v>February</v>
      </c>
      <c r="F766" s="128">
        <f t="shared" si="91"/>
        <v>2022</v>
      </c>
      <c r="G766" s="194" t="str">
        <f t="shared" si="92"/>
        <v>2022-02</v>
      </c>
      <c r="H766" s="193">
        <f t="shared" si="93"/>
        <v>44597</v>
      </c>
      <c r="I766">
        <f t="shared" si="94"/>
        <v>6</v>
      </c>
    </row>
    <row r="767" spans="1:9" x14ac:dyDescent="0.3">
      <c r="A767">
        <f t="shared" si="88"/>
        <v>20220202</v>
      </c>
      <c r="B767" s="193">
        <v>44594</v>
      </c>
      <c r="C767" s="196" t="str">
        <f t="shared" si="95"/>
        <v>02 February 2022</v>
      </c>
      <c r="D767">
        <f t="shared" si="89"/>
        <v>2</v>
      </c>
      <c r="E767" t="str">
        <f t="shared" si="90"/>
        <v>February</v>
      </c>
      <c r="F767" s="128">
        <f t="shared" si="91"/>
        <v>2022</v>
      </c>
      <c r="G767" s="194" t="str">
        <f t="shared" si="92"/>
        <v>2022-02</v>
      </c>
      <c r="H767" s="193">
        <f t="shared" si="93"/>
        <v>44597</v>
      </c>
      <c r="I767">
        <f t="shared" si="94"/>
        <v>6</v>
      </c>
    </row>
    <row r="768" spans="1:9" x14ac:dyDescent="0.3">
      <c r="A768">
        <f t="shared" si="88"/>
        <v>20220203</v>
      </c>
      <c r="B768" s="193">
        <v>44595</v>
      </c>
      <c r="C768" s="196" t="str">
        <f t="shared" si="95"/>
        <v>03 February 2022</v>
      </c>
      <c r="D768">
        <f t="shared" si="89"/>
        <v>2</v>
      </c>
      <c r="E768" t="str">
        <f t="shared" si="90"/>
        <v>February</v>
      </c>
      <c r="F768" s="128">
        <f t="shared" si="91"/>
        <v>2022</v>
      </c>
      <c r="G768" s="194" t="str">
        <f t="shared" si="92"/>
        <v>2022-02</v>
      </c>
      <c r="H768" s="193">
        <f t="shared" si="93"/>
        <v>44597</v>
      </c>
      <c r="I768">
        <f t="shared" si="94"/>
        <v>6</v>
      </c>
    </row>
    <row r="769" spans="1:9" x14ac:dyDescent="0.3">
      <c r="A769">
        <f t="shared" si="88"/>
        <v>20220204</v>
      </c>
      <c r="B769" s="193">
        <v>44596</v>
      </c>
      <c r="C769" s="196" t="str">
        <f t="shared" si="95"/>
        <v>04 February 2022</v>
      </c>
      <c r="D769">
        <f t="shared" si="89"/>
        <v>2</v>
      </c>
      <c r="E769" t="str">
        <f t="shared" si="90"/>
        <v>February</v>
      </c>
      <c r="F769" s="128">
        <f t="shared" si="91"/>
        <v>2022</v>
      </c>
      <c r="G769" s="194" t="str">
        <f t="shared" si="92"/>
        <v>2022-02</v>
      </c>
      <c r="H769" s="193">
        <f t="shared" si="93"/>
        <v>44597</v>
      </c>
      <c r="I769">
        <f t="shared" si="94"/>
        <v>6</v>
      </c>
    </row>
    <row r="770" spans="1:9" x14ac:dyDescent="0.3">
      <c r="A770">
        <f t="shared" si="88"/>
        <v>20220205</v>
      </c>
      <c r="B770" s="193">
        <v>44597</v>
      </c>
      <c r="C770" s="196" t="str">
        <f t="shared" si="95"/>
        <v>05 February 2022</v>
      </c>
      <c r="D770">
        <f t="shared" si="89"/>
        <v>2</v>
      </c>
      <c r="E770" t="str">
        <f t="shared" si="90"/>
        <v>February</v>
      </c>
      <c r="F770" s="128">
        <f t="shared" si="91"/>
        <v>2022</v>
      </c>
      <c r="G770" s="194" t="str">
        <f t="shared" si="92"/>
        <v>2022-02</v>
      </c>
      <c r="H770" s="193">
        <f t="shared" si="93"/>
        <v>44597</v>
      </c>
      <c r="I770">
        <f t="shared" si="94"/>
        <v>6</v>
      </c>
    </row>
    <row r="771" spans="1:9" x14ac:dyDescent="0.3">
      <c r="A771">
        <f t="shared" ref="A771:A834" si="96">YEAR(B771)*10000+MONTH(B771)*100+DAY(B771)</f>
        <v>20220206</v>
      </c>
      <c r="B771" s="193">
        <v>44598</v>
      </c>
      <c r="C771" s="196" t="str">
        <f t="shared" si="95"/>
        <v>06 February 2022</v>
      </c>
      <c r="D771">
        <f t="shared" ref="D771:D834" si="97">MONTH(B771)</f>
        <v>2</v>
      </c>
      <c r="E771" t="str">
        <f t="shared" ref="E771:E834" si="98">TEXT(B771,"MMMM")</f>
        <v>February</v>
      </c>
      <c r="F771" s="128">
        <f t="shared" ref="F771:F834" si="99">YEAR(B771)</f>
        <v>2022</v>
      </c>
      <c r="G771" s="194" t="str">
        <f t="shared" ref="G771:G834" si="100">TEXT(B771,"YYYY-MM")</f>
        <v>2022-02</v>
      </c>
      <c r="H771" s="193">
        <f t="shared" ref="H771:H834" si="101">B771-WEEKDAY(B771)+7</f>
        <v>44604</v>
      </c>
      <c r="I771">
        <f t="shared" ref="I771:I834" si="102">WEEKNUM(B771,2)</f>
        <v>6</v>
      </c>
    </row>
    <row r="772" spans="1:9" x14ac:dyDescent="0.3">
      <c r="A772">
        <f t="shared" si="96"/>
        <v>20220207</v>
      </c>
      <c r="B772" s="193">
        <v>44599</v>
      </c>
      <c r="C772" s="196" t="str">
        <f t="shared" ref="C772:C835" si="103">TEXT(B772,"dd MMMM YYYY")</f>
        <v>07 February 2022</v>
      </c>
      <c r="D772">
        <f t="shared" si="97"/>
        <v>2</v>
      </c>
      <c r="E772" t="str">
        <f t="shared" si="98"/>
        <v>February</v>
      </c>
      <c r="F772" s="128">
        <f t="shared" si="99"/>
        <v>2022</v>
      </c>
      <c r="G772" s="194" t="str">
        <f t="shared" si="100"/>
        <v>2022-02</v>
      </c>
      <c r="H772" s="193">
        <f t="shared" si="101"/>
        <v>44604</v>
      </c>
      <c r="I772">
        <f t="shared" si="102"/>
        <v>7</v>
      </c>
    </row>
    <row r="773" spans="1:9" x14ac:dyDescent="0.3">
      <c r="A773">
        <f t="shared" si="96"/>
        <v>20220208</v>
      </c>
      <c r="B773" s="193">
        <v>44600</v>
      </c>
      <c r="C773" s="196" t="str">
        <f t="shared" si="103"/>
        <v>08 February 2022</v>
      </c>
      <c r="D773">
        <f t="shared" si="97"/>
        <v>2</v>
      </c>
      <c r="E773" t="str">
        <f t="shared" si="98"/>
        <v>February</v>
      </c>
      <c r="F773" s="128">
        <f t="shared" si="99"/>
        <v>2022</v>
      </c>
      <c r="G773" s="194" t="str">
        <f t="shared" si="100"/>
        <v>2022-02</v>
      </c>
      <c r="H773" s="193">
        <f t="shared" si="101"/>
        <v>44604</v>
      </c>
      <c r="I773">
        <f t="shared" si="102"/>
        <v>7</v>
      </c>
    </row>
    <row r="774" spans="1:9" x14ac:dyDescent="0.3">
      <c r="A774">
        <f t="shared" si="96"/>
        <v>20220209</v>
      </c>
      <c r="B774" s="193">
        <v>44601</v>
      </c>
      <c r="C774" s="196" t="str">
        <f t="shared" si="103"/>
        <v>09 February 2022</v>
      </c>
      <c r="D774">
        <f t="shared" si="97"/>
        <v>2</v>
      </c>
      <c r="E774" t="str">
        <f t="shared" si="98"/>
        <v>February</v>
      </c>
      <c r="F774" s="128">
        <f t="shared" si="99"/>
        <v>2022</v>
      </c>
      <c r="G774" s="194" t="str">
        <f t="shared" si="100"/>
        <v>2022-02</v>
      </c>
      <c r="H774" s="193">
        <f t="shared" si="101"/>
        <v>44604</v>
      </c>
      <c r="I774">
        <f t="shared" si="102"/>
        <v>7</v>
      </c>
    </row>
    <row r="775" spans="1:9" x14ac:dyDescent="0.3">
      <c r="A775">
        <f t="shared" si="96"/>
        <v>20220210</v>
      </c>
      <c r="B775" s="193">
        <v>44602</v>
      </c>
      <c r="C775" s="196" t="str">
        <f t="shared" si="103"/>
        <v>10 February 2022</v>
      </c>
      <c r="D775">
        <f t="shared" si="97"/>
        <v>2</v>
      </c>
      <c r="E775" t="str">
        <f t="shared" si="98"/>
        <v>February</v>
      </c>
      <c r="F775" s="128">
        <f t="shared" si="99"/>
        <v>2022</v>
      </c>
      <c r="G775" s="194" t="str">
        <f t="shared" si="100"/>
        <v>2022-02</v>
      </c>
      <c r="H775" s="193">
        <f t="shared" si="101"/>
        <v>44604</v>
      </c>
      <c r="I775">
        <f t="shared" si="102"/>
        <v>7</v>
      </c>
    </row>
    <row r="776" spans="1:9" x14ac:dyDescent="0.3">
      <c r="A776">
        <f t="shared" si="96"/>
        <v>20220211</v>
      </c>
      <c r="B776" s="193">
        <v>44603</v>
      </c>
      <c r="C776" s="196" t="str">
        <f t="shared" si="103"/>
        <v>11 February 2022</v>
      </c>
      <c r="D776">
        <f t="shared" si="97"/>
        <v>2</v>
      </c>
      <c r="E776" t="str">
        <f t="shared" si="98"/>
        <v>February</v>
      </c>
      <c r="F776" s="128">
        <f t="shared" si="99"/>
        <v>2022</v>
      </c>
      <c r="G776" s="194" t="str">
        <f t="shared" si="100"/>
        <v>2022-02</v>
      </c>
      <c r="H776" s="193">
        <f t="shared" si="101"/>
        <v>44604</v>
      </c>
      <c r="I776">
        <f t="shared" si="102"/>
        <v>7</v>
      </c>
    </row>
    <row r="777" spans="1:9" x14ac:dyDescent="0.3">
      <c r="A777">
        <f t="shared" si="96"/>
        <v>20220212</v>
      </c>
      <c r="B777" s="193">
        <v>44604</v>
      </c>
      <c r="C777" s="196" t="str">
        <f t="shared" si="103"/>
        <v>12 February 2022</v>
      </c>
      <c r="D777">
        <f t="shared" si="97"/>
        <v>2</v>
      </c>
      <c r="E777" t="str">
        <f t="shared" si="98"/>
        <v>February</v>
      </c>
      <c r="F777" s="128">
        <f t="shared" si="99"/>
        <v>2022</v>
      </c>
      <c r="G777" s="194" t="str">
        <f t="shared" si="100"/>
        <v>2022-02</v>
      </c>
      <c r="H777" s="193">
        <f t="shared" si="101"/>
        <v>44604</v>
      </c>
      <c r="I777">
        <f t="shared" si="102"/>
        <v>7</v>
      </c>
    </row>
    <row r="778" spans="1:9" x14ac:dyDescent="0.3">
      <c r="A778">
        <f t="shared" si="96"/>
        <v>20220213</v>
      </c>
      <c r="B778" s="193">
        <v>44605</v>
      </c>
      <c r="C778" s="196" t="str">
        <f t="shared" si="103"/>
        <v>13 February 2022</v>
      </c>
      <c r="D778">
        <f t="shared" si="97"/>
        <v>2</v>
      </c>
      <c r="E778" t="str">
        <f t="shared" si="98"/>
        <v>February</v>
      </c>
      <c r="F778" s="128">
        <f t="shared" si="99"/>
        <v>2022</v>
      </c>
      <c r="G778" s="194" t="str">
        <f t="shared" si="100"/>
        <v>2022-02</v>
      </c>
      <c r="H778" s="193">
        <f t="shared" si="101"/>
        <v>44611</v>
      </c>
      <c r="I778">
        <f t="shared" si="102"/>
        <v>7</v>
      </c>
    </row>
    <row r="779" spans="1:9" x14ac:dyDescent="0.3">
      <c r="A779">
        <f t="shared" si="96"/>
        <v>20220214</v>
      </c>
      <c r="B779" s="193">
        <v>44606</v>
      </c>
      <c r="C779" s="196" t="str">
        <f t="shared" si="103"/>
        <v>14 February 2022</v>
      </c>
      <c r="D779">
        <f t="shared" si="97"/>
        <v>2</v>
      </c>
      <c r="E779" t="str">
        <f t="shared" si="98"/>
        <v>February</v>
      </c>
      <c r="F779" s="128">
        <f t="shared" si="99"/>
        <v>2022</v>
      </c>
      <c r="G779" s="194" t="str">
        <f t="shared" si="100"/>
        <v>2022-02</v>
      </c>
      <c r="H779" s="193">
        <f t="shared" si="101"/>
        <v>44611</v>
      </c>
      <c r="I779">
        <f t="shared" si="102"/>
        <v>8</v>
      </c>
    </row>
    <row r="780" spans="1:9" x14ac:dyDescent="0.3">
      <c r="A780">
        <f t="shared" si="96"/>
        <v>20220215</v>
      </c>
      <c r="B780" s="193">
        <v>44607</v>
      </c>
      <c r="C780" s="196" t="str">
        <f t="shared" si="103"/>
        <v>15 February 2022</v>
      </c>
      <c r="D780">
        <f t="shared" si="97"/>
        <v>2</v>
      </c>
      <c r="E780" t="str">
        <f t="shared" si="98"/>
        <v>February</v>
      </c>
      <c r="F780" s="128">
        <f t="shared" si="99"/>
        <v>2022</v>
      </c>
      <c r="G780" s="194" t="str">
        <f t="shared" si="100"/>
        <v>2022-02</v>
      </c>
      <c r="H780" s="193">
        <f t="shared" si="101"/>
        <v>44611</v>
      </c>
      <c r="I780">
        <f t="shared" si="102"/>
        <v>8</v>
      </c>
    </row>
    <row r="781" spans="1:9" x14ac:dyDescent="0.3">
      <c r="A781">
        <f t="shared" si="96"/>
        <v>20220216</v>
      </c>
      <c r="B781" s="193">
        <v>44608</v>
      </c>
      <c r="C781" s="196" t="str">
        <f t="shared" si="103"/>
        <v>16 February 2022</v>
      </c>
      <c r="D781">
        <f t="shared" si="97"/>
        <v>2</v>
      </c>
      <c r="E781" t="str">
        <f t="shared" si="98"/>
        <v>February</v>
      </c>
      <c r="F781" s="128">
        <f t="shared" si="99"/>
        <v>2022</v>
      </c>
      <c r="G781" s="194" t="str">
        <f t="shared" si="100"/>
        <v>2022-02</v>
      </c>
      <c r="H781" s="193">
        <f t="shared" si="101"/>
        <v>44611</v>
      </c>
      <c r="I781">
        <f t="shared" si="102"/>
        <v>8</v>
      </c>
    </row>
    <row r="782" spans="1:9" x14ac:dyDescent="0.3">
      <c r="A782">
        <f t="shared" si="96"/>
        <v>20220217</v>
      </c>
      <c r="B782" s="193">
        <v>44609</v>
      </c>
      <c r="C782" s="196" t="str">
        <f t="shared" si="103"/>
        <v>17 February 2022</v>
      </c>
      <c r="D782">
        <f t="shared" si="97"/>
        <v>2</v>
      </c>
      <c r="E782" t="str">
        <f t="shared" si="98"/>
        <v>February</v>
      </c>
      <c r="F782" s="128">
        <f t="shared" si="99"/>
        <v>2022</v>
      </c>
      <c r="G782" s="194" t="str">
        <f t="shared" si="100"/>
        <v>2022-02</v>
      </c>
      <c r="H782" s="193">
        <f t="shared" si="101"/>
        <v>44611</v>
      </c>
      <c r="I782">
        <f t="shared" si="102"/>
        <v>8</v>
      </c>
    </row>
    <row r="783" spans="1:9" x14ac:dyDescent="0.3">
      <c r="A783">
        <f t="shared" si="96"/>
        <v>20220218</v>
      </c>
      <c r="B783" s="193">
        <v>44610</v>
      </c>
      <c r="C783" s="196" t="str">
        <f t="shared" si="103"/>
        <v>18 February 2022</v>
      </c>
      <c r="D783">
        <f t="shared" si="97"/>
        <v>2</v>
      </c>
      <c r="E783" t="str">
        <f t="shared" si="98"/>
        <v>February</v>
      </c>
      <c r="F783" s="128">
        <f t="shared" si="99"/>
        <v>2022</v>
      </c>
      <c r="G783" s="194" t="str">
        <f t="shared" si="100"/>
        <v>2022-02</v>
      </c>
      <c r="H783" s="193">
        <f t="shared" si="101"/>
        <v>44611</v>
      </c>
      <c r="I783">
        <f t="shared" si="102"/>
        <v>8</v>
      </c>
    </row>
    <row r="784" spans="1:9" x14ac:dyDescent="0.3">
      <c r="A784">
        <f t="shared" si="96"/>
        <v>20220219</v>
      </c>
      <c r="B784" s="193">
        <v>44611</v>
      </c>
      <c r="C784" s="196" t="str">
        <f t="shared" si="103"/>
        <v>19 February 2022</v>
      </c>
      <c r="D784">
        <f t="shared" si="97"/>
        <v>2</v>
      </c>
      <c r="E784" t="str">
        <f t="shared" si="98"/>
        <v>February</v>
      </c>
      <c r="F784" s="128">
        <f t="shared" si="99"/>
        <v>2022</v>
      </c>
      <c r="G784" s="194" t="str">
        <f t="shared" si="100"/>
        <v>2022-02</v>
      </c>
      <c r="H784" s="193">
        <f t="shared" si="101"/>
        <v>44611</v>
      </c>
      <c r="I784">
        <f t="shared" si="102"/>
        <v>8</v>
      </c>
    </row>
    <row r="785" spans="1:9" x14ac:dyDescent="0.3">
      <c r="A785">
        <f t="shared" si="96"/>
        <v>20220220</v>
      </c>
      <c r="B785" s="193">
        <v>44612</v>
      </c>
      <c r="C785" s="196" t="str">
        <f t="shared" si="103"/>
        <v>20 February 2022</v>
      </c>
      <c r="D785">
        <f t="shared" si="97"/>
        <v>2</v>
      </c>
      <c r="E785" t="str">
        <f t="shared" si="98"/>
        <v>February</v>
      </c>
      <c r="F785" s="128">
        <f t="shared" si="99"/>
        <v>2022</v>
      </c>
      <c r="G785" s="194" t="str">
        <f t="shared" si="100"/>
        <v>2022-02</v>
      </c>
      <c r="H785" s="193">
        <f t="shared" si="101"/>
        <v>44618</v>
      </c>
      <c r="I785">
        <f t="shared" si="102"/>
        <v>8</v>
      </c>
    </row>
    <row r="786" spans="1:9" x14ac:dyDescent="0.3">
      <c r="A786">
        <f t="shared" si="96"/>
        <v>20220221</v>
      </c>
      <c r="B786" s="193">
        <v>44613</v>
      </c>
      <c r="C786" s="196" t="str">
        <f t="shared" si="103"/>
        <v>21 February 2022</v>
      </c>
      <c r="D786">
        <f t="shared" si="97"/>
        <v>2</v>
      </c>
      <c r="E786" t="str">
        <f t="shared" si="98"/>
        <v>February</v>
      </c>
      <c r="F786" s="128">
        <f t="shared" si="99"/>
        <v>2022</v>
      </c>
      <c r="G786" s="194" t="str">
        <f t="shared" si="100"/>
        <v>2022-02</v>
      </c>
      <c r="H786" s="193">
        <f t="shared" si="101"/>
        <v>44618</v>
      </c>
      <c r="I786">
        <f t="shared" si="102"/>
        <v>9</v>
      </c>
    </row>
    <row r="787" spans="1:9" x14ac:dyDescent="0.3">
      <c r="A787">
        <f t="shared" si="96"/>
        <v>20220222</v>
      </c>
      <c r="B787" s="193">
        <v>44614</v>
      </c>
      <c r="C787" s="196" t="str">
        <f t="shared" si="103"/>
        <v>22 February 2022</v>
      </c>
      <c r="D787">
        <f t="shared" si="97"/>
        <v>2</v>
      </c>
      <c r="E787" t="str">
        <f t="shared" si="98"/>
        <v>February</v>
      </c>
      <c r="F787" s="128">
        <f t="shared" si="99"/>
        <v>2022</v>
      </c>
      <c r="G787" s="194" t="str">
        <f t="shared" si="100"/>
        <v>2022-02</v>
      </c>
      <c r="H787" s="193">
        <f t="shared" si="101"/>
        <v>44618</v>
      </c>
      <c r="I787">
        <f t="shared" si="102"/>
        <v>9</v>
      </c>
    </row>
    <row r="788" spans="1:9" x14ac:dyDescent="0.3">
      <c r="A788">
        <f t="shared" si="96"/>
        <v>20220223</v>
      </c>
      <c r="B788" s="193">
        <v>44615</v>
      </c>
      <c r="C788" s="196" t="str">
        <f t="shared" si="103"/>
        <v>23 February 2022</v>
      </c>
      <c r="D788">
        <f t="shared" si="97"/>
        <v>2</v>
      </c>
      <c r="E788" t="str">
        <f t="shared" si="98"/>
        <v>February</v>
      </c>
      <c r="F788" s="128">
        <f t="shared" si="99"/>
        <v>2022</v>
      </c>
      <c r="G788" s="194" t="str">
        <f t="shared" si="100"/>
        <v>2022-02</v>
      </c>
      <c r="H788" s="193">
        <f t="shared" si="101"/>
        <v>44618</v>
      </c>
      <c r="I788">
        <f t="shared" si="102"/>
        <v>9</v>
      </c>
    </row>
    <row r="789" spans="1:9" x14ac:dyDescent="0.3">
      <c r="A789">
        <f t="shared" si="96"/>
        <v>20220224</v>
      </c>
      <c r="B789" s="193">
        <v>44616</v>
      </c>
      <c r="C789" s="196" t="str">
        <f t="shared" si="103"/>
        <v>24 February 2022</v>
      </c>
      <c r="D789">
        <f t="shared" si="97"/>
        <v>2</v>
      </c>
      <c r="E789" t="str">
        <f t="shared" si="98"/>
        <v>February</v>
      </c>
      <c r="F789" s="128">
        <f t="shared" si="99"/>
        <v>2022</v>
      </c>
      <c r="G789" s="194" t="str">
        <f t="shared" si="100"/>
        <v>2022-02</v>
      </c>
      <c r="H789" s="193">
        <f t="shared" si="101"/>
        <v>44618</v>
      </c>
      <c r="I789">
        <f t="shared" si="102"/>
        <v>9</v>
      </c>
    </row>
    <row r="790" spans="1:9" x14ac:dyDescent="0.3">
      <c r="A790">
        <f t="shared" si="96"/>
        <v>20220225</v>
      </c>
      <c r="B790" s="193">
        <v>44617</v>
      </c>
      <c r="C790" s="196" t="str">
        <f t="shared" si="103"/>
        <v>25 February 2022</v>
      </c>
      <c r="D790">
        <f t="shared" si="97"/>
        <v>2</v>
      </c>
      <c r="E790" t="str">
        <f t="shared" si="98"/>
        <v>February</v>
      </c>
      <c r="F790" s="128">
        <f t="shared" si="99"/>
        <v>2022</v>
      </c>
      <c r="G790" s="194" t="str">
        <f t="shared" si="100"/>
        <v>2022-02</v>
      </c>
      <c r="H790" s="193">
        <f t="shared" si="101"/>
        <v>44618</v>
      </c>
      <c r="I790">
        <f t="shared" si="102"/>
        <v>9</v>
      </c>
    </row>
    <row r="791" spans="1:9" x14ac:dyDescent="0.3">
      <c r="A791">
        <f t="shared" si="96"/>
        <v>20220226</v>
      </c>
      <c r="B791" s="193">
        <v>44618</v>
      </c>
      <c r="C791" s="196" t="str">
        <f t="shared" si="103"/>
        <v>26 February 2022</v>
      </c>
      <c r="D791">
        <f t="shared" si="97"/>
        <v>2</v>
      </c>
      <c r="E791" t="str">
        <f t="shared" si="98"/>
        <v>February</v>
      </c>
      <c r="F791" s="128">
        <f t="shared" si="99"/>
        <v>2022</v>
      </c>
      <c r="G791" s="194" t="str">
        <f t="shared" si="100"/>
        <v>2022-02</v>
      </c>
      <c r="H791" s="193">
        <f t="shared" si="101"/>
        <v>44618</v>
      </c>
      <c r="I791">
        <f t="shared" si="102"/>
        <v>9</v>
      </c>
    </row>
    <row r="792" spans="1:9" x14ac:dyDescent="0.3">
      <c r="A792">
        <f t="shared" si="96"/>
        <v>20220227</v>
      </c>
      <c r="B792" s="193">
        <v>44619</v>
      </c>
      <c r="C792" s="196" t="str">
        <f t="shared" si="103"/>
        <v>27 February 2022</v>
      </c>
      <c r="D792">
        <f t="shared" si="97"/>
        <v>2</v>
      </c>
      <c r="E792" t="str">
        <f t="shared" si="98"/>
        <v>February</v>
      </c>
      <c r="F792" s="128">
        <f t="shared" si="99"/>
        <v>2022</v>
      </c>
      <c r="G792" s="194" t="str">
        <f t="shared" si="100"/>
        <v>2022-02</v>
      </c>
      <c r="H792" s="193">
        <f t="shared" si="101"/>
        <v>44625</v>
      </c>
      <c r="I792">
        <f t="shared" si="102"/>
        <v>9</v>
      </c>
    </row>
    <row r="793" spans="1:9" x14ac:dyDescent="0.3">
      <c r="A793">
        <f t="shared" si="96"/>
        <v>20220228</v>
      </c>
      <c r="B793" s="193">
        <v>44620</v>
      </c>
      <c r="C793" s="196" t="str">
        <f t="shared" si="103"/>
        <v>28 February 2022</v>
      </c>
      <c r="D793">
        <f t="shared" si="97"/>
        <v>2</v>
      </c>
      <c r="E793" t="str">
        <f t="shared" si="98"/>
        <v>February</v>
      </c>
      <c r="F793" s="128">
        <f t="shared" si="99"/>
        <v>2022</v>
      </c>
      <c r="G793" s="194" t="str">
        <f t="shared" si="100"/>
        <v>2022-02</v>
      </c>
      <c r="H793" s="193">
        <f t="shared" si="101"/>
        <v>44625</v>
      </c>
      <c r="I793">
        <f t="shared" si="102"/>
        <v>10</v>
      </c>
    </row>
    <row r="794" spans="1:9" x14ac:dyDescent="0.3">
      <c r="A794">
        <f t="shared" si="96"/>
        <v>20220301</v>
      </c>
      <c r="B794" s="193">
        <v>44621</v>
      </c>
      <c r="C794" s="196" t="str">
        <f t="shared" si="103"/>
        <v>01 March 2022</v>
      </c>
      <c r="D794">
        <f t="shared" si="97"/>
        <v>3</v>
      </c>
      <c r="E794" t="str">
        <f t="shared" si="98"/>
        <v>March</v>
      </c>
      <c r="F794" s="128">
        <f t="shared" si="99"/>
        <v>2022</v>
      </c>
      <c r="G794" s="194" t="str">
        <f t="shared" si="100"/>
        <v>2022-03</v>
      </c>
      <c r="H794" s="193">
        <f t="shared" si="101"/>
        <v>44625</v>
      </c>
      <c r="I794">
        <f t="shared" si="102"/>
        <v>10</v>
      </c>
    </row>
    <row r="795" spans="1:9" x14ac:dyDescent="0.3">
      <c r="A795">
        <f t="shared" si="96"/>
        <v>20220302</v>
      </c>
      <c r="B795" s="193">
        <v>44622</v>
      </c>
      <c r="C795" s="196" t="str">
        <f t="shared" si="103"/>
        <v>02 March 2022</v>
      </c>
      <c r="D795">
        <f t="shared" si="97"/>
        <v>3</v>
      </c>
      <c r="E795" t="str">
        <f t="shared" si="98"/>
        <v>March</v>
      </c>
      <c r="F795" s="128">
        <f t="shared" si="99"/>
        <v>2022</v>
      </c>
      <c r="G795" s="194" t="str">
        <f t="shared" si="100"/>
        <v>2022-03</v>
      </c>
      <c r="H795" s="193">
        <f t="shared" si="101"/>
        <v>44625</v>
      </c>
      <c r="I795">
        <f t="shared" si="102"/>
        <v>10</v>
      </c>
    </row>
    <row r="796" spans="1:9" x14ac:dyDescent="0.3">
      <c r="A796">
        <f t="shared" si="96"/>
        <v>20220303</v>
      </c>
      <c r="B796" s="193">
        <v>44623</v>
      </c>
      <c r="C796" s="196" t="str">
        <f t="shared" si="103"/>
        <v>03 March 2022</v>
      </c>
      <c r="D796">
        <f t="shared" si="97"/>
        <v>3</v>
      </c>
      <c r="E796" t="str">
        <f t="shared" si="98"/>
        <v>March</v>
      </c>
      <c r="F796" s="128">
        <f t="shared" si="99"/>
        <v>2022</v>
      </c>
      <c r="G796" s="194" t="str">
        <f t="shared" si="100"/>
        <v>2022-03</v>
      </c>
      <c r="H796" s="193">
        <f t="shared" si="101"/>
        <v>44625</v>
      </c>
      <c r="I796">
        <f t="shared" si="102"/>
        <v>10</v>
      </c>
    </row>
    <row r="797" spans="1:9" x14ac:dyDescent="0.3">
      <c r="A797">
        <f t="shared" si="96"/>
        <v>20220304</v>
      </c>
      <c r="B797" s="193">
        <v>44624</v>
      </c>
      <c r="C797" s="196" t="str">
        <f t="shared" si="103"/>
        <v>04 March 2022</v>
      </c>
      <c r="D797">
        <f t="shared" si="97"/>
        <v>3</v>
      </c>
      <c r="E797" t="str">
        <f t="shared" si="98"/>
        <v>March</v>
      </c>
      <c r="F797" s="128">
        <f t="shared" si="99"/>
        <v>2022</v>
      </c>
      <c r="G797" s="194" t="str">
        <f t="shared" si="100"/>
        <v>2022-03</v>
      </c>
      <c r="H797" s="193">
        <f t="shared" si="101"/>
        <v>44625</v>
      </c>
      <c r="I797">
        <f t="shared" si="102"/>
        <v>10</v>
      </c>
    </row>
    <row r="798" spans="1:9" x14ac:dyDescent="0.3">
      <c r="A798">
        <f t="shared" si="96"/>
        <v>20220305</v>
      </c>
      <c r="B798" s="193">
        <v>44625</v>
      </c>
      <c r="C798" s="196" t="str">
        <f t="shared" si="103"/>
        <v>05 March 2022</v>
      </c>
      <c r="D798">
        <f t="shared" si="97"/>
        <v>3</v>
      </c>
      <c r="E798" t="str">
        <f t="shared" si="98"/>
        <v>March</v>
      </c>
      <c r="F798" s="128">
        <f t="shared" si="99"/>
        <v>2022</v>
      </c>
      <c r="G798" s="194" t="str">
        <f t="shared" si="100"/>
        <v>2022-03</v>
      </c>
      <c r="H798" s="193">
        <f t="shared" si="101"/>
        <v>44625</v>
      </c>
      <c r="I798">
        <f t="shared" si="102"/>
        <v>10</v>
      </c>
    </row>
    <row r="799" spans="1:9" x14ac:dyDescent="0.3">
      <c r="A799">
        <f t="shared" si="96"/>
        <v>20220306</v>
      </c>
      <c r="B799" s="193">
        <v>44626</v>
      </c>
      <c r="C799" s="196" t="str">
        <f t="shared" si="103"/>
        <v>06 March 2022</v>
      </c>
      <c r="D799">
        <f t="shared" si="97"/>
        <v>3</v>
      </c>
      <c r="E799" t="str">
        <f t="shared" si="98"/>
        <v>March</v>
      </c>
      <c r="F799" s="128">
        <f t="shared" si="99"/>
        <v>2022</v>
      </c>
      <c r="G799" s="194" t="str">
        <f t="shared" si="100"/>
        <v>2022-03</v>
      </c>
      <c r="H799" s="193">
        <f t="shared" si="101"/>
        <v>44632</v>
      </c>
      <c r="I799">
        <f t="shared" si="102"/>
        <v>10</v>
      </c>
    </row>
    <row r="800" spans="1:9" x14ac:dyDescent="0.3">
      <c r="A800">
        <f t="shared" si="96"/>
        <v>20220307</v>
      </c>
      <c r="B800" s="193">
        <v>44627</v>
      </c>
      <c r="C800" s="196" t="str">
        <f t="shared" si="103"/>
        <v>07 March 2022</v>
      </c>
      <c r="D800">
        <f t="shared" si="97"/>
        <v>3</v>
      </c>
      <c r="E800" t="str">
        <f t="shared" si="98"/>
        <v>March</v>
      </c>
      <c r="F800" s="128">
        <f t="shared" si="99"/>
        <v>2022</v>
      </c>
      <c r="G800" s="194" t="str">
        <f t="shared" si="100"/>
        <v>2022-03</v>
      </c>
      <c r="H800" s="193">
        <f t="shared" si="101"/>
        <v>44632</v>
      </c>
      <c r="I800">
        <f t="shared" si="102"/>
        <v>11</v>
      </c>
    </row>
    <row r="801" spans="1:9" x14ac:dyDescent="0.3">
      <c r="A801">
        <f t="shared" si="96"/>
        <v>20220308</v>
      </c>
      <c r="B801" s="193">
        <v>44628</v>
      </c>
      <c r="C801" s="196" t="str">
        <f t="shared" si="103"/>
        <v>08 March 2022</v>
      </c>
      <c r="D801">
        <f t="shared" si="97"/>
        <v>3</v>
      </c>
      <c r="E801" t="str">
        <f t="shared" si="98"/>
        <v>March</v>
      </c>
      <c r="F801" s="128">
        <f t="shared" si="99"/>
        <v>2022</v>
      </c>
      <c r="G801" s="194" t="str">
        <f t="shared" si="100"/>
        <v>2022-03</v>
      </c>
      <c r="H801" s="193">
        <f t="shared" si="101"/>
        <v>44632</v>
      </c>
      <c r="I801">
        <f t="shared" si="102"/>
        <v>11</v>
      </c>
    </row>
    <row r="802" spans="1:9" x14ac:dyDescent="0.3">
      <c r="A802">
        <f t="shared" si="96"/>
        <v>20220309</v>
      </c>
      <c r="B802" s="193">
        <v>44629</v>
      </c>
      <c r="C802" s="196" t="str">
        <f t="shared" si="103"/>
        <v>09 March 2022</v>
      </c>
      <c r="D802">
        <f t="shared" si="97"/>
        <v>3</v>
      </c>
      <c r="E802" t="str">
        <f t="shared" si="98"/>
        <v>March</v>
      </c>
      <c r="F802" s="128">
        <f t="shared" si="99"/>
        <v>2022</v>
      </c>
      <c r="G802" s="194" t="str">
        <f t="shared" si="100"/>
        <v>2022-03</v>
      </c>
      <c r="H802" s="193">
        <f t="shared" si="101"/>
        <v>44632</v>
      </c>
      <c r="I802">
        <f t="shared" si="102"/>
        <v>11</v>
      </c>
    </row>
    <row r="803" spans="1:9" x14ac:dyDescent="0.3">
      <c r="A803">
        <f t="shared" si="96"/>
        <v>20220310</v>
      </c>
      <c r="B803" s="193">
        <v>44630</v>
      </c>
      <c r="C803" s="196" t="str">
        <f t="shared" si="103"/>
        <v>10 March 2022</v>
      </c>
      <c r="D803">
        <f t="shared" si="97"/>
        <v>3</v>
      </c>
      <c r="E803" t="str">
        <f t="shared" si="98"/>
        <v>March</v>
      </c>
      <c r="F803" s="128">
        <f t="shared" si="99"/>
        <v>2022</v>
      </c>
      <c r="G803" s="194" t="str">
        <f t="shared" si="100"/>
        <v>2022-03</v>
      </c>
      <c r="H803" s="193">
        <f t="shared" si="101"/>
        <v>44632</v>
      </c>
      <c r="I803">
        <f t="shared" si="102"/>
        <v>11</v>
      </c>
    </row>
    <row r="804" spans="1:9" x14ac:dyDescent="0.3">
      <c r="A804">
        <f t="shared" si="96"/>
        <v>20220311</v>
      </c>
      <c r="B804" s="193">
        <v>44631</v>
      </c>
      <c r="C804" s="196" t="str">
        <f t="shared" si="103"/>
        <v>11 March 2022</v>
      </c>
      <c r="D804">
        <f t="shared" si="97"/>
        <v>3</v>
      </c>
      <c r="E804" t="str">
        <f t="shared" si="98"/>
        <v>March</v>
      </c>
      <c r="F804" s="128">
        <f t="shared" si="99"/>
        <v>2022</v>
      </c>
      <c r="G804" s="194" t="str">
        <f t="shared" si="100"/>
        <v>2022-03</v>
      </c>
      <c r="H804" s="193">
        <f t="shared" si="101"/>
        <v>44632</v>
      </c>
      <c r="I804">
        <f t="shared" si="102"/>
        <v>11</v>
      </c>
    </row>
    <row r="805" spans="1:9" x14ac:dyDescent="0.3">
      <c r="A805">
        <f t="shared" si="96"/>
        <v>20220312</v>
      </c>
      <c r="B805" s="193">
        <v>44632</v>
      </c>
      <c r="C805" s="196" t="str">
        <f t="shared" si="103"/>
        <v>12 March 2022</v>
      </c>
      <c r="D805">
        <f t="shared" si="97"/>
        <v>3</v>
      </c>
      <c r="E805" t="str">
        <f t="shared" si="98"/>
        <v>March</v>
      </c>
      <c r="F805" s="128">
        <f t="shared" si="99"/>
        <v>2022</v>
      </c>
      <c r="G805" s="194" t="str">
        <f t="shared" si="100"/>
        <v>2022-03</v>
      </c>
      <c r="H805" s="193">
        <f t="shared" si="101"/>
        <v>44632</v>
      </c>
      <c r="I805">
        <f t="shared" si="102"/>
        <v>11</v>
      </c>
    </row>
    <row r="806" spans="1:9" x14ac:dyDescent="0.3">
      <c r="A806">
        <f t="shared" si="96"/>
        <v>20220313</v>
      </c>
      <c r="B806" s="193">
        <v>44633</v>
      </c>
      <c r="C806" s="196" t="str">
        <f t="shared" si="103"/>
        <v>13 March 2022</v>
      </c>
      <c r="D806">
        <f t="shared" si="97"/>
        <v>3</v>
      </c>
      <c r="E806" t="str">
        <f t="shared" si="98"/>
        <v>March</v>
      </c>
      <c r="F806" s="128">
        <f t="shared" si="99"/>
        <v>2022</v>
      </c>
      <c r="G806" s="194" t="str">
        <f t="shared" si="100"/>
        <v>2022-03</v>
      </c>
      <c r="H806" s="193">
        <f t="shared" si="101"/>
        <v>44639</v>
      </c>
      <c r="I806">
        <f t="shared" si="102"/>
        <v>11</v>
      </c>
    </row>
    <row r="807" spans="1:9" x14ac:dyDescent="0.3">
      <c r="A807">
        <f t="shared" si="96"/>
        <v>20220314</v>
      </c>
      <c r="B807" s="193">
        <v>44634</v>
      </c>
      <c r="C807" s="196" t="str">
        <f t="shared" si="103"/>
        <v>14 March 2022</v>
      </c>
      <c r="D807">
        <f t="shared" si="97"/>
        <v>3</v>
      </c>
      <c r="E807" t="str">
        <f t="shared" si="98"/>
        <v>March</v>
      </c>
      <c r="F807" s="128">
        <f t="shared" si="99"/>
        <v>2022</v>
      </c>
      <c r="G807" s="194" t="str">
        <f t="shared" si="100"/>
        <v>2022-03</v>
      </c>
      <c r="H807" s="193">
        <f t="shared" si="101"/>
        <v>44639</v>
      </c>
      <c r="I807">
        <f t="shared" si="102"/>
        <v>12</v>
      </c>
    </row>
    <row r="808" spans="1:9" x14ac:dyDescent="0.3">
      <c r="A808">
        <f t="shared" si="96"/>
        <v>20220315</v>
      </c>
      <c r="B808" s="193">
        <v>44635</v>
      </c>
      <c r="C808" s="196" t="str">
        <f t="shared" si="103"/>
        <v>15 March 2022</v>
      </c>
      <c r="D808">
        <f t="shared" si="97"/>
        <v>3</v>
      </c>
      <c r="E808" t="str">
        <f t="shared" si="98"/>
        <v>March</v>
      </c>
      <c r="F808" s="128">
        <f t="shared" si="99"/>
        <v>2022</v>
      </c>
      <c r="G808" s="194" t="str">
        <f t="shared" si="100"/>
        <v>2022-03</v>
      </c>
      <c r="H808" s="193">
        <f t="shared" si="101"/>
        <v>44639</v>
      </c>
      <c r="I808">
        <f t="shared" si="102"/>
        <v>12</v>
      </c>
    </row>
    <row r="809" spans="1:9" x14ac:dyDescent="0.3">
      <c r="A809">
        <f t="shared" si="96"/>
        <v>20220316</v>
      </c>
      <c r="B809" s="193">
        <v>44636</v>
      </c>
      <c r="C809" s="196" t="str">
        <f t="shared" si="103"/>
        <v>16 March 2022</v>
      </c>
      <c r="D809">
        <f t="shared" si="97"/>
        <v>3</v>
      </c>
      <c r="E809" t="str">
        <f t="shared" si="98"/>
        <v>March</v>
      </c>
      <c r="F809" s="128">
        <f t="shared" si="99"/>
        <v>2022</v>
      </c>
      <c r="G809" s="194" t="str">
        <f t="shared" si="100"/>
        <v>2022-03</v>
      </c>
      <c r="H809" s="193">
        <f t="shared" si="101"/>
        <v>44639</v>
      </c>
      <c r="I809">
        <f t="shared" si="102"/>
        <v>12</v>
      </c>
    </row>
    <row r="810" spans="1:9" x14ac:dyDescent="0.3">
      <c r="A810">
        <f t="shared" si="96"/>
        <v>20220317</v>
      </c>
      <c r="B810" s="193">
        <v>44637</v>
      </c>
      <c r="C810" s="196" t="str">
        <f t="shared" si="103"/>
        <v>17 March 2022</v>
      </c>
      <c r="D810">
        <f t="shared" si="97"/>
        <v>3</v>
      </c>
      <c r="E810" t="str">
        <f t="shared" si="98"/>
        <v>March</v>
      </c>
      <c r="F810" s="128">
        <f t="shared" si="99"/>
        <v>2022</v>
      </c>
      <c r="G810" s="194" t="str">
        <f t="shared" si="100"/>
        <v>2022-03</v>
      </c>
      <c r="H810" s="193">
        <f t="shared" si="101"/>
        <v>44639</v>
      </c>
      <c r="I810">
        <f t="shared" si="102"/>
        <v>12</v>
      </c>
    </row>
    <row r="811" spans="1:9" x14ac:dyDescent="0.3">
      <c r="A811">
        <f t="shared" si="96"/>
        <v>20220318</v>
      </c>
      <c r="B811" s="193">
        <v>44638</v>
      </c>
      <c r="C811" s="196" t="str">
        <f t="shared" si="103"/>
        <v>18 March 2022</v>
      </c>
      <c r="D811">
        <f t="shared" si="97"/>
        <v>3</v>
      </c>
      <c r="E811" t="str">
        <f t="shared" si="98"/>
        <v>March</v>
      </c>
      <c r="F811" s="128">
        <f t="shared" si="99"/>
        <v>2022</v>
      </c>
      <c r="G811" s="194" t="str">
        <f t="shared" si="100"/>
        <v>2022-03</v>
      </c>
      <c r="H811" s="193">
        <f t="shared" si="101"/>
        <v>44639</v>
      </c>
      <c r="I811">
        <f t="shared" si="102"/>
        <v>12</v>
      </c>
    </row>
    <row r="812" spans="1:9" x14ac:dyDescent="0.3">
      <c r="A812">
        <f t="shared" si="96"/>
        <v>20220319</v>
      </c>
      <c r="B812" s="193">
        <v>44639</v>
      </c>
      <c r="C812" s="196" t="str">
        <f t="shared" si="103"/>
        <v>19 March 2022</v>
      </c>
      <c r="D812">
        <f t="shared" si="97"/>
        <v>3</v>
      </c>
      <c r="E812" t="str">
        <f t="shared" si="98"/>
        <v>March</v>
      </c>
      <c r="F812" s="128">
        <f t="shared" si="99"/>
        <v>2022</v>
      </c>
      <c r="G812" s="194" t="str">
        <f t="shared" si="100"/>
        <v>2022-03</v>
      </c>
      <c r="H812" s="193">
        <f t="shared" si="101"/>
        <v>44639</v>
      </c>
      <c r="I812">
        <f t="shared" si="102"/>
        <v>12</v>
      </c>
    </row>
    <row r="813" spans="1:9" x14ac:dyDescent="0.3">
      <c r="A813">
        <f t="shared" si="96"/>
        <v>20220320</v>
      </c>
      <c r="B813" s="193">
        <v>44640</v>
      </c>
      <c r="C813" s="196" t="str">
        <f t="shared" si="103"/>
        <v>20 March 2022</v>
      </c>
      <c r="D813">
        <f t="shared" si="97"/>
        <v>3</v>
      </c>
      <c r="E813" t="str">
        <f t="shared" si="98"/>
        <v>March</v>
      </c>
      <c r="F813" s="128">
        <f t="shared" si="99"/>
        <v>2022</v>
      </c>
      <c r="G813" s="194" t="str">
        <f t="shared" si="100"/>
        <v>2022-03</v>
      </c>
      <c r="H813" s="193">
        <f t="shared" si="101"/>
        <v>44646</v>
      </c>
      <c r="I813">
        <f t="shared" si="102"/>
        <v>12</v>
      </c>
    </row>
    <row r="814" spans="1:9" x14ac:dyDescent="0.3">
      <c r="A814">
        <f t="shared" si="96"/>
        <v>20220321</v>
      </c>
      <c r="B814" s="193">
        <v>44641</v>
      </c>
      <c r="C814" s="196" t="str">
        <f t="shared" si="103"/>
        <v>21 March 2022</v>
      </c>
      <c r="D814">
        <f t="shared" si="97"/>
        <v>3</v>
      </c>
      <c r="E814" t="str">
        <f t="shared" si="98"/>
        <v>March</v>
      </c>
      <c r="F814" s="128">
        <f t="shared" si="99"/>
        <v>2022</v>
      </c>
      <c r="G814" s="194" t="str">
        <f t="shared" si="100"/>
        <v>2022-03</v>
      </c>
      <c r="H814" s="193">
        <f t="shared" si="101"/>
        <v>44646</v>
      </c>
      <c r="I814">
        <f t="shared" si="102"/>
        <v>13</v>
      </c>
    </row>
    <row r="815" spans="1:9" x14ac:dyDescent="0.3">
      <c r="A815">
        <f t="shared" si="96"/>
        <v>20220322</v>
      </c>
      <c r="B815" s="193">
        <v>44642</v>
      </c>
      <c r="C815" s="196" t="str">
        <f t="shared" si="103"/>
        <v>22 March 2022</v>
      </c>
      <c r="D815">
        <f t="shared" si="97"/>
        <v>3</v>
      </c>
      <c r="E815" t="str">
        <f t="shared" si="98"/>
        <v>March</v>
      </c>
      <c r="F815" s="128">
        <f t="shared" si="99"/>
        <v>2022</v>
      </c>
      <c r="G815" s="194" t="str">
        <f t="shared" si="100"/>
        <v>2022-03</v>
      </c>
      <c r="H815" s="193">
        <f t="shared" si="101"/>
        <v>44646</v>
      </c>
      <c r="I815">
        <f t="shared" si="102"/>
        <v>13</v>
      </c>
    </row>
    <row r="816" spans="1:9" x14ac:dyDescent="0.3">
      <c r="A816">
        <f t="shared" si="96"/>
        <v>20220323</v>
      </c>
      <c r="B816" s="193">
        <v>44643</v>
      </c>
      <c r="C816" s="196" t="str">
        <f t="shared" si="103"/>
        <v>23 March 2022</v>
      </c>
      <c r="D816">
        <f t="shared" si="97"/>
        <v>3</v>
      </c>
      <c r="E816" t="str">
        <f t="shared" si="98"/>
        <v>March</v>
      </c>
      <c r="F816" s="128">
        <f t="shared" si="99"/>
        <v>2022</v>
      </c>
      <c r="G816" s="194" t="str">
        <f t="shared" si="100"/>
        <v>2022-03</v>
      </c>
      <c r="H816" s="193">
        <f t="shared" si="101"/>
        <v>44646</v>
      </c>
      <c r="I816">
        <f t="shared" si="102"/>
        <v>13</v>
      </c>
    </row>
    <row r="817" spans="1:9" x14ac:dyDescent="0.3">
      <c r="A817">
        <f t="shared" si="96"/>
        <v>20220324</v>
      </c>
      <c r="B817" s="193">
        <v>44644</v>
      </c>
      <c r="C817" s="196" t="str">
        <f t="shared" si="103"/>
        <v>24 March 2022</v>
      </c>
      <c r="D817">
        <f t="shared" si="97"/>
        <v>3</v>
      </c>
      <c r="E817" t="str">
        <f t="shared" si="98"/>
        <v>March</v>
      </c>
      <c r="F817" s="128">
        <f t="shared" si="99"/>
        <v>2022</v>
      </c>
      <c r="G817" s="194" t="str">
        <f t="shared" si="100"/>
        <v>2022-03</v>
      </c>
      <c r="H817" s="193">
        <f t="shared" si="101"/>
        <v>44646</v>
      </c>
      <c r="I817">
        <f t="shared" si="102"/>
        <v>13</v>
      </c>
    </row>
    <row r="818" spans="1:9" x14ac:dyDescent="0.3">
      <c r="A818">
        <f t="shared" si="96"/>
        <v>20220325</v>
      </c>
      <c r="B818" s="193">
        <v>44645</v>
      </c>
      <c r="C818" s="196" t="str">
        <f t="shared" si="103"/>
        <v>25 March 2022</v>
      </c>
      <c r="D818">
        <f t="shared" si="97"/>
        <v>3</v>
      </c>
      <c r="E818" t="str">
        <f t="shared" si="98"/>
        <v>March</v>
      </c>
      <c r="F818" s="128">
        <f t="shared" si="99"/>
        <v>2022</v>
      </c>
      <c r="G818" s="194" t="str">
        <f t="shared" si="100"/>
        <v>2022-03</v>
      </c>
      <c r="H818" s="193">
        <f t="shared" si="101"/>
        <v>44646</v>
      </c>
      <c r="I818">
        <f t="shared" si="102"/>
        <v>13</v>
      </c>
    </row>
    <row r="819" spans="1:9" x14ac:dyDescent="0.3">
      <c r="A819">
        <f t="shared" si="96"/>
        <v>20220326</v>
      </c>
      <c r="B819" s="193">
        <v>44646</v>
      </c>
      <c r="C819" s="196" t="str">
        <f t="shared" si="103"/>
        <v>26 March 2022</v>
      </c>
      <c r="D819">
        <f t="shared" si="97"/>
        <v>3</v>
      </c>
      <c r="E819" t="str">
        <f t="shared" si="98"/>
        <v>March</v>
      </c>
      <c r="F819" s="128">
        <f t="shared" si="99"/>
        <v>2022</v>
      </c>
      <c r="G819" s="194" t="str">
        <f t="shared" si="100"/>
        <v>2022-03</v>
      </c>
      <c r="H819" s="193">
        <f t="shared" si="101"/>
        <v>44646</v>
      </c>
      <c r="I819">
        <f t="shared" si="102"/>
        <v>13</v>
      </c>
    </row>
    <row r="820" spans="1:9" x14ac:dyDescent="0.3">
      <c r="A820">
        <f t="shared" si="96"/>
        <v>20220327</v>
      </c>
      <c r="B820" s="193">
        <v>44647</v>
      </c>
      <c r="C820" s="196" t="str">
        <f t="shared" si="103"/>
        <v>27 March 2022</v>
      </c>
      <c r="D820">
        <f t="shared" si="97"/>
        <v>3</v>
      </c>
      <c r="E820" t="str">
        <f t="shared" si="98"/>
        <v>March</v>
      </c>
      <c r="F820" s="128">
        <f t="shared" si="99"/>
        <v>2022</v>
      </c>
      <c r="G820" s="194" t="str">
        <f t="shared" si="100"/>
        <v>2022-03</v>
      </c>
      <c r="H820" s="193">
        <f t="shared" si="101"/>
        <v>44653</v>
      </c>
      <c r="I820">
        <f t="shared" si="102"/>
        <v>13</v>
      </c>
    </row>
    <row r="821" spans="1:9" x14ac:dyDescent="0.3">
      <c r="A821">
        <f t="shared" si="96"/>
        <v>20220328</v>
      </c>
      <c r="B821" s="193">
        <v>44648</v>
      </c>
      <c r="C821" s="196" t="str">
        <f t="shared" si="103"/>
        <v>28 March 2022</v>
      </c>
      <c r="D821">
        <f t="shared" si="97"/>
        <v>3</v>
      </c>
      <c r="E821" t="str">
        <f t="shared" si="98"/>
        <v>March</v>
      </c>
      <c r="F821" s="128">
        <f t="shared" si="99"/>
        <v>2022</v>
      </c>
      <c r="G821" s="194" t="str">
        <f t="shared" si="100"/>
        <v>2022-03</v>
      </c>
      <c r="H821" s="193">
        <f t="shared" si="101"/>
        <v>44653</v>
      </c>
      <c r="I821">
        <f t="shared" si="102"/>
        <v>14</v>
      </c>
    </row>
    <row r="822" spans="1:9" x14ac:dyDescent="0.3">
      <c r="A822">
        <f t="shared" si="96"/>
        <v>20220329</v>
      </c>
      <c r="B822" s="193">
        <v>44649</v>
      </c>
      <c r="C822" s="196" t="str">
        <f t="shared" si="103"/>
        <v>29 March 2022</v>
      </c>
      <c r="D822">
        <f t="shared" si="97"/>
        <v>3</v>
      </c>
      <c r="E822" t="str">
        <f t="shared" si="98"/>
        <v>March</v>
      </c>
      <c r="F822" s="128">
        <f t="shared" si="99"/>
        <v>2022</v>
      </c>
      <c r="G822" s="194" t="str">
        <f t="shared" si="100"/>
        <v>2022-03</v>
      </c>
      <c r="H822" s="193">
        <f t="shared" si="101"/>
        <v>44653</v>
      </c>
      <c r="I822">
        <f t="shared" si="102"/>
        <v>14</v>
      </c>
    </row>
    <row r="823" spans="1:9" x14ac:dyDescent="0.3">
      <c r="A823">
        <f t="shared" si="96"/>
        <v>20220330</v>
      </c>
      <c r="B823" s="193">
        <v>44650</v>
      </c>
      <c r="C823" s="196" t="str">
        <f t="shared" si="103"/>
        <v>30 March 2022</v>
      </c>
      <c r="D823">
        <f t="shared" si="97"/>
        <v>3</v>
      </c>
      <c r="E823" t="str">
        <f t="shared" si="98"/>
        <v>March</v>
      </c>
      <c r="F823" s="128">
        <f t="shared" si="99"/>
        <v>2022</v>
      </c>
      <c r="G823" s="194" t="str">
        <f t="shared" si="100"/>
        <v>2022-03</v>
      </c>
      <c r="H823" s="193">
        <f t="shared" si="101"/>
        <v>44653</v>
      </c>
      <c r="I823">
        <f t="shared" si="102"/>
        <v>14</v>
      </c>
    </row>
    <row r="824" spans="1:9" x14ac:dyDescent="0.3">
      <c r="A824">
        <f t="shared" si="96"/>
        <v>20220331</v>
      </c>
      <c r="B824" s="193">
        <v>44651</v>
      </c>
      <c r="C824" s="196" t="str">
        <f t="shared" si="103"/>
        <v>31 March 2022</v>
      </c>
      <c r="D824">
        <f t="shared" si="97"/>
        <v>3</v>
      </c>
      <c r="E824" t="str">
        <f t="shared" si="98"/>
        <v>March</v>
      </c>
      <c r="F824" s="128">
        <f t="shared" si="99"/>
        <v>2022</v>
      </c>
      <c r="G824" s="194" t="str">
        <f t="shared" si="100"/>
        <v>2022-03</v>
      </c>
      <c r="H824" s="193">
        <f t="shared" si="101"/>
        <v>44653</v>
      </c>
      <c r="I824">
        <f t="shared" si="102"/>
        <v>14</v>
      </c>
    </row>
    <row r="825" spans="1:9" x14ac:dyDescent="0.3">
      <c r="A825">
        <f t="shared" si="96"/>
        <v>20220401</v>
      </c>
      <c r="B825" s="193">
        <v>44652</v>
      </c>
      <c r="C825" s="196" t="str">
        <f t="shared" si="103"/>
        <v>01 April 2022</v>
      </c>
      <c r="D825">
        <f t="shared" si="97"/>
        <v>4</v>
      </c>
      <c r="E825" t="str">
        <f t="shared" si="98"/>
        <v>April</v>
      </c>
      <c r="F825" s="128">
        <f t="shared" si="99"/>
        <v>2022</v>
      </c>
      <c r="G825" s="194" t="str">
        <f t="shared" si="100"/>
        <v>2022-04</v>
      </c>
      <c r="H825" s="193">
        <f t="shared" si="101"/>
        <v>44653</v>
      </c>
      <c r="I825">
        <f t="shared" si="102"/>
        <v>14</v>
      </c>
    </row>
    <row r="826" spans="1:9" x14ac:dyDescent="0.3">
      <c r="A826">
        <f t="shared" si="96"/>
        <v>20220402</v>
      </c>
      <c r="B826" s="193">
        <v>44653</v>
      </c>
      <c r="C826" s="196" t="str">
        <f t="shared" si="103"/>
        <v>02 April 2022</v>
      </c>
      <c r="D826">
        <f t="shared" si="97"/>
        <v>4</v>
      </c>
      <c r="E826" t="str">
        <f t="shared" si="98"/>
        <v>April</v>
      </c>
      <c r="F826" s="128">
        <f t="shared" si="99"/>
        <v>2022</v>
      </c>
      <c r="G826" s="194" t="str">
        <f t="shared" si="100"/>
        <v>2022-04</v>
      </c>
      <c r="H826" s="193">
        <f t="shared" si="101"/>
        <v>44653</v>
      </c>
      <c r="I826">
        <f t="shared" si="102"/>
        <v>14</v>
      </c>
    </row>
    <row r="827" spans="1:9" x14ac:dyDescent="0.3">
      <c r="A827">
        <f t="shared" si="96"/>
        <v>20220403</v>
      </c>
      <c r="B827" s="193">
        <v>44654</v>
      </c>
      <c r="C827" s="196" t="str">
        <f t="shared" si="103"/>
        <v>03 April 2022</v>
      </c>
      <c r="D827">
        <f t="shared" si="97"/>
        <v>4</v>
      </c>
      <c r="E827" t="str">
        <f t="shared" si="98"/>
        <v>April</v>
      </c>
      <c r="F827" s="128">
        <f t="shared" si="99"/>
        <v>2022</v>
      </c>
      <c r="G827" s="194" t="str">
        <f t="shared" si="100"/>
        <v>2022-04</v>
      </c>
      <c r="H827" s="193">
        <f t="shared" si="101"/>
        <v>44660</v>
      </c>
      <c r="I827">
        <f t="shared" si="102"/>
        <v>14</v>
      </c>
    </row>
    <row r="828" spans="1:9" x14ac:dyDescent="0.3">
      <c r="A828">
        <f t="shared" si="96"/>
        <v>20220404</v>
      </c>
      <c r="B828" s="193">
        <v>44655</v>
      </c>
      <c r="C828" s="196" t="str">
        <f t="shared" si="103"/>
        <v>04 April 2022</v>
      </c>
      <c r="D828">
        <f t="shared" si="97"/>
        <v>4</v>
      </c>
      <c r="E828" t="str">
        <f t="shared" si="98"/>
        <v>April</v>
      </c>
      <c r="F828" s="128">
        <f t="shared" si="99"/>
        <v>2022</v>
      </c>
      <c r="G828" s="194" t="str">
        <f t="shared" si="100"/>
        <v>2022-04</v>
      </c>
      <c r="H828" s="193">
        <f t="shared" si="101"/>
        <v>44660</v>
      </c>
      <c r="I828">
        <f t="shared" si="102"/>
        <v>15</v>
      </c>
    </row>
    <row r="829" spans="1:9" x14ac:dyDescent="0.3">
      <c r="A829">
        <f t="shared" si="96"/>
        <v>20220405</v>
      </c>
      <c r="B829" s="193">
        <v>44656</v>
      </c>
      <c r="C829" s="196" t="str">
        <f t="shared" si="103"/>
        <v>05 April 2022</v>
      </c>
      <c r="D829">
        <f t="shared" si="97"/>
        <v>4</v>
      </c>
      <c r="E829" t="str">
        <f t="shared" si="98"/>
        <v>April</v>
      </c>
      <c r="F829" s="128">
        <f t="shared" si="99"/>
        <v>2022</v>
      </c>
      <c r="G829" s="194" t="str">
        <f t="shared" si="100"/>
        <v>2022-04</v>
      </c>
      <c r="H829" s="193">
        <f t="shared" si="101"/>
        <v>44660</v>
      </c>
      <c r="I829">
        <f t="shared" si="102"/>
        <v>15</v>
      </c>
    </row>
    <row r="830" spans="1:9" x14ac:dyDescent="0.3">
      <c r="A830">
        <f t="shared" si="96"/>
        <v>20220406</v>
      </c>
      <c r="B830" s="193">
        <v>44657</v>
      </c>
      <c r="C830" s="196" t="str">
        <f t="shared" si="103"/>
        <v>06 April 2022</v>
      </c>
      <c r="D830">
        <f t="shared" si="97"/>
        <v>4</v>
      </c>
      <c r="E830" t="str">
        <f t="shared" si="98"/>
        <v>April</v>
      </c>
      <c r="F830" s="128">
        <f t="shared" si="99"/>
        <v>2022</v>
      </c>
      <c r="G830" s="194" t="str">
        <f t="shared" si="100"/>
        <v>2022-04</v>
      </c>
      <c r="H830" s="193">
        <f t="shared" si="101"/>
        <v>44660</v>
      </c>
      <c r="I830">
        <f t="shared" si="102"/>
        <v>15</v>
      </c>
    </row>
    <row r="831" spans="1:9" x14ac:dyDescent="0.3">
      <c r="A831">
        <f t="shared" si="96"/>
        <v>20220407</v>
      </c>
      <c r="B831" s="193">
        <v>44658</v>
      </c>
      <c r="C831" s="196" t="str">
        <f t="shared" si="103"/>
        <v>07 April 2022</v>
      </c>
      <c r="D831">
        <f t="shared" si="97"/>
        <v>4</v>
      </c>
      <c r="E831" t="str">
        <f t="shared" si="98"/>
        <v>April</v>
      </c>
      <c r="F831" s="128">
        <f t="shared" si="99"/>
        <v>2022</v>
      </c>
      <c r="G831" s="194" t="str">
        <f t="shared" si="100"/>
        <v>2022-04</v>
      </c>
      <c r="H831" s="193">
        <f t="shared" si="101"/>
        <v>44660</v>
      </c>
      <c r="I831">
        <f t="shared" si="102"/>
        <v>15</v>
      </c>
    </row>
    <row r="832" spans="1:9" x14ac:dyDescent="0.3">
      <c r="A832">
        <f t="shared" si="96"/>
        <v>20220408</v>
      </c>
      <c r="B832" s="193">
        <v>44659</v>
      </c>
      <c r="C832" s="196" t="str">
        <f t="shared" si="103"/>
        <v>08 April 2022</v>
      </c>
      <c r="D832">
        <f t="shared" si="97"/>
        <v>4</v>
      </c>
      <c r="E832" t="str">
        <f t="shared" si="98"/>
        <v>April</v>
      </c>
      <c r="F832" s="128">
        <f t="shared" si="99"/>
        <v>2022</v>
      </c>
      <c r="G832" s="194" t="str">
        <f t="shared" si="100"/>
        <v>2022-04</v>
      </c>
      <c r="H832" s="193">
        <f t="shared" si="101"/>
        <v>44660</v>
      </c>
      <c r="I832">
        <f t="shared" si="102"/>
        <v>15</v>
      </c>
    </row>
    <row r="833" spans="1:9" x14ac:dyDescent="0.3">
      <c r="A833">
        <f t="shared" si="96"/>
        <v>20220409</v>
      </c>
      <c r="B833" s="193">
        <v>44660</v>
      </c>
      <c r="C833" s="196" t="str">
        <f t="shared" si="103"/>
        <v>09 April 2022</v>
      </c>
      <c r="D833">
        <f t="shared" si="97"/>
        <v>4</v>
      </c>
      <c r="E833" t="str">
        <f t="shared" si="98"/>
        <v>April</v>
      </c>
      <c r="F833" s="128">
        <f t="shared" si="99"/>
        <v>2022</v>
      </c>
      <c r="G833" s="194" t="str">
        <f t="shared" si="100"/>
        <v>2022-04</v>
      </c>
      <c r="H833" s="193">
        <f t="shared" si="101"/>
        <v>44660</v>
      </c>
      <c r="I833">
        <f t="shared" si="102"/>
        <v>15</v>
      </c>
    </row>
    <row r="834" spans="1:9" x14ac:dyDescent="0.3">
      <c r="A834">
        <f t="shared" si="96"/>
        <v>20220410</v>
      </c>
      <c r="B834" s="193">
        <v>44661</v>
      </c>
      <c r="C834" s="196" t="str">
        <f t="shared" si="103"/>
        <v>10 April 2022</v>
      </c>
      <c r="D834">
        <f t="shared" si="97"/>
        <v>4</v>
      </c>
      <c r="E834" t="str">
        <f t="shared" si="98"/>
        <v>April</v>
      </c>
      <c r="F834" s="128">
        <f t="shared" si="99"/>
        <v>2022</v>
      </c>
      <c r="G834" s="194" t="str">
        <f t="shared" si="100"/>
        <v>2022-04</v>
      </c>
      <c r="H834" s="193">
        <f t="shared" si="101"/>
        <v>44667</v>
      </c>
      <c r="I834">
        <f t="shared" si="102"/>
        <v>15</v>
      </c>
    </row>
    <row r="835" spans="1:9" x14ac:dyDescent="0.3">
      <c r="A835">
        <f t="shared" ref="A835:A898" si="104">YEAR(B835)*10000+MONTH(B835)*100+DAY(B835)</f>
        <v>20220411</v>
      </c>
      <c r="B835" s="193">
        <v>44662</v>
      </c>
      <c r="C835" s="196" t="str">
        <f t="shared" si="103"/>
        <v>11 April 2022</v>
      </c>
      <c r="D835">
        <f t="shared" ref="D835:D898" si="105">MONTH(B835)</f>
        <v>4</v>
      </c>
      <c r="E835" t="str">
        <f t="shared" ref="E835:E898" si="106">TEXT(B835,"MMMM")</f>
        <v>April</v>
      </c>
      <c r="F835" s="128">
        <f t="shared" ref="F835:F898" si="107">YEAR(B835)</f>
        <v>2022</v>
      </c>
      <c r="G835" s="194" t="str">
        <f t="shared" ref="G835:G898" si="108">TEXT(B835,"YYYY-MM")</f>
        <v>2022-04</v>
      </c>
      <c r="H835" s="193">
        <f t="shared" ref="H835:H898" si="109">B835-WEEKDAY(B835)+7</f>
        <v>44667</v>
      </c>
      <c r="I835">
        <f t="shared" ref="I835:I898" si="110">WEEKNUM(B835,2)</f>
        <v>16</v>
      </c>
    </row>
    <row r="836" spans="1:9" x14ac:dyDescent="0.3">
      <c r="A836">
        <f t="shared" si="104"/>
        <v>20220412</v>
      </c>
      <c r="B836" s="193">
        <v>44663</v>
      </c>
      <c r="C836" s="196" t="str">
        <f t="shared" ref="C836:C899" si="111">TEXT(B836,"dd MMMM YYYY")</f>
        <v>12 April 2022</v>
      </c>
      <c r="D836">
        <f t="shared" si="105"/>
        <v>4</v>
      </c>
      <c r="E836" t="str">
        <f t="shared" si="106"/>
        <v>April</v>
      </c>
      <c r="F836" s="128">
        <f t="shared" si="107"/>
        <v>2022</v>
      </c>
      <c r="G836" s="194" t="str">
        <f t="shared" si="108"/>
        <v>2022-04</v>
      </c>
      <c r="H836" s="193">
        <f t="shared" si="109"/>
        <v>44667</v>
      </c>
      <c r="I836">
        <f t="shared" si="110"/>
        <v>16</v>
      </c>
    </row>
    <row r="837" spans="1:9" x14ac:dyDescent="0.3">
      <c r="A837">
        <f t="shared" si="104"/>
        <v>20220413</v>
      </c>
      <c r="B837" s="193">
        <v>44664</v>
      </c>
      <c r="C837" s="196" t="str">
        <f t="shared" si="111"/>
        <v>13 April 2022</v>
      </c>
      <c r="D837">
        <f t="shared" si="105"/>
        <v>4</v>
      </c>
      <c r="E837" t="str">
        <f t="shared" si="106"/>
        <v>April</v>
      </c>
      <c r="F837" s="128">
        <f t="shared" si="107"/>
        <v>2022</v>
      </c>
      <c r="G837" s="194" t="str">
        <f t="shared" si="108"/>
        <v>2022-04</v>
      </c>
      <c r="H837" s="193">
        <f t="shared" si="109"/>
        <v>44667</v>
      </c>
      <c r="I837">
        <f t="shared" si="110"/>
        <v>16</v>
      </c>
    </row>
    <row r="838" spans="1:9" x14ac:dyDescent="0.3">
      <c r="A838">
        <f t="shared" si="104"/>
        <v>20220414</v>
      </c>
      <c r="B838" s="193">
        <v>44665</v>
      </c>
      <c r="C838" s="196" t="str">
        <f t="shared" si="111"/>
        <v>14 April 2022</v>
      </c>
      <c r="D838">
        <f t="shared" si="105"/>
        <v>4</v>
      </c>
      <c r="E838" t="str">
        <f t="shared" si="106"/>
        <v>April</v>
      </c>
      <c r="F838" s="128">
        <f t="shared" si="107"/>
        <v>2022</v>
      </c>
      <c r="G838" s="194" t="str">
        <f t="shared" si="108"/>
        <v>2022-04</v>
      </c>
      <c r="H838" s="193">
        <f t="shared" si="109"/>
        <v>44667</v>
      </c>
      <c r="I838">
        <f t="shared" si="110"/>
        <v>16</v>
      </c>
    </row>
    <row r="839" spans="1:9" x14ac:dyDescent="0.3">
      <c r="A839">
        <f t="shared" si="104"/>
        <v>20220415</v>
      </c>
      <c r="B839" s="193">
        <v>44666</v>
      </c>
      <c r="C839" s="196" t="str">
        <f t="shared" si="111"/>
        <v>15 April 2022</v>
      </c>
      <c r="D839">
        <f t="shared" si="105"/>
        <v>4</v>
      </c>
      <c r="E839" t="str">
        <f t="shared" si="106"/>
        <v>April</v>
      </c>
      <c r="F839" s="128">
        <f t="shared" si="107"/>
        <v>2022</v>
      </c>
      <c r="G839" s="194" t="str">
        <f t="shared" si="108"/>
        <v>2022-04</v>
      </c>
      <c r="H839" s="193">
        <f t="shared" si="109"/>
        <v>44667</v>
      </c>
      <c r="I839">
        <f t="shared" si="110"/>
        <v>16</v>
      </c>
    </row>
    <row r="840" spans="1:9" x14ac:dyDescent="0.3">
      <c r="A840">
        <f t="shared" si="104"/>
        <v>20220416</v>
      </c>
      <c r="B840" s="193">
        <v>44667</v>
      </c>
      <c r="C840" s="196" t="str">
        <f t="shared" si="111"/>
        <v>16 April 2022</v>
      </c>
      <c r="D840">
        <f t="shared" si="105"/>
        <v>4</v>
      </c>
      <c r="E840" t="str">
        <f t="shared" si="106"/>
        <v>April</v>
      </c>
      <c r="F840" s="128">
        <f t="shared" si="107"/>
        <v>2022</v>
      </c>
      <c r="G840" s="194" t="str">
        <f t="shared" si="108"/>
        <v>2022-04</v>
      </c>
      <c r="H840" s="193">
        <f t="shared" si="109"/>
        <v>44667</v>
      </c>
      <c r="I840">
        <f t="shared" si="110"/>
        <v>16</v>
      </c>
    </row>
    <row r="841" spans="1:9" x14ac:dyDescent="0.3">
      <c r="A841">
        <f t="shared" si="104"/>
        <v>20220417</v>
      </c>
      <c r="B841" s="193">
        <v>44668</v>
      </c>
      <c r="C841" s="196" t="str">
        <f t="shared" si="111"/>
        <v>17 April 2022</v>
      </c>
      <c r="D841">
        <f t="shared" si="105"/>
        <v>4</v>
      </c>
      <c r="E841" t="str">
        <f t="shared" si="106"/>
        <v>April</v>
      </c>
      <c r="F841" s="128">
        <f t="shared" si="107"/>
        <v>2022</v>
      </c>
      <c r="G841" s="194" t="str">
        <f t="shared" si="108"/>
        <v>2022-04</v>
      </c>
      <c r="H841" s="193">
        <f t="shared" si="109"/>
        <v>44674</v>
      </c>
      <c r="I841">
        <f t="shared" si="110"/>
        <v>16</v>
      </c>
    </row>
    <row r="842" spans="1:9" x14ac:dyDescent="0.3">
      <c r="A842">
        <f t="shared" si="104"/>
        <v>20220418</v>
      </c>
      <c r="B842" s="193">
        <v>44669</v>
      </c>
      <c r="C842" s="196" t="str">
        <f t="shared" si="111"/>
        <v>18 April 2022</v>
      </c>
      <c r="D842">
        <f t="shared" si="105"/>
        <v>4</v>
      </c>
      <c r="E842" t="str">
        <f t="shared" si="106"/>
        <v>April</v>
      </c>
      <c r="F842" s="128">
        <f t="shared" si="107"/>
        <v>2022</v>
      </c>
      <c r="G842" s="194" t="str">
        <f t="shared" si="108"/>
        <v>2022-04</v>
      </c>
      <c r="H842" s="193">
        <f t="shared" si="109"/>
        <v>44674</v>
      </c>
      <c r="I842">
        <f t="shared" si="110"/>
        <v>17</v>
      </c>
    </row>
    <row r="843" spans="1:9" x14ac:dyDescent="0.3">
      <c r="A843">
        <f t="shared" si="104"/>
        <v>20220419</v>
      </c>
      <c r="B843" s="193">
        <v>44670</v>
      </c>
      <c r="C843" s="196" t="str">
        <f t="shared" si="111"/>
        <v>19 April 2022</v>
      </c>
      <c r="D843">
        <f t="shared" si="105"/>
        <v>4</v>
      </c>
      <c r="E843" t="str">
        <f t="shared" si="106"/>
        <v>April</v>
      </c>
      <c r="F843" s="128">
        <f t="shared" si="107"/>
        <v>2022</v>
      </c>
      <c r="G843" s="194" t="str">
        <f t="shared" si="108"/>
        <v>2022-04</v>
      </c>
      <c r="H843" s="193">
        <f t="shared" si="109"/>
        <v>44674</v>
      </c>
      <c r="I843">
        <f t="shared" si="110"/>
        <v>17</v>
      </c>
    </row>
    <row r="844" spans="1:9" x14ac:dyDescent="0.3">
      <c r="A844">
        <f t="shared" si="104"/>
        <v>20220420</v>
      </c>
      <c r="B844" s="193">
        <v>44671</v>
      </c>
      <c r="C844" s="196" t="str">
        <f t="shared" si="111"/>
        <v>20 April 2022</v>
      </c>
      <c r="D844">
        <f t="shared" si="105"/>
        <v>4</v>
      </c>
      <c r="E844" t="str">
        <f t="shared" si="106"/>
        <v>April</v>
      </c>
      <c r="F844" s="128">
        <f t="shared" si="107"/>
        <v>2022</v>
      </c>
      <c r="G844" s="194" t="str">
        <f t="shared" si="108"/>
        <v>2022-04</v>
      </c>
      <c r="H844" s="193">
        <f t="shared" si="109"/>
        <v>44674</v>
      </c>
      <c r="I844">
        <f t="shared" si="110"/>
        <v>17</v>
      </c>
    </row>
    <row r="845" spans="1:9" x14ac:dyDescent="0.3">
      <c r="A845">
        <f t="shared" si="104"/>
        <v>20220421</v>
      </c>
      <c r="B845" s="193">
        <v>44672</v>
      </c>
      <c r="C845" s="196" t="str">
        <f t="shared" si="111"/>
        <v>21 April 2022</v>
      </c>
      <c r="D845">
        <f t="shared" si="105"/>
        <v>4</v>
      </c>
      <c r="E845" t="str">
        <f t="shared" si="106"/>
        <v>April</v>
      </c>
      <c r="F845" s="128">
        <f t="shared" si="107"/>
        <v>2022</v>
      </c>
      <c r="G845" s="194" t="str">
        <f t="shared" si="108"/>
        <v>2022-04</v>
      </c>
      <c r="H845" s="193">
        <f t="shared" si="109"/>
        <v>44674</v>
      </c>
      <c r="I845">
        <f t="shared" si="110"/>
        <v>17</v>
      </c>
    </row>
    <row r="846" spans="1:9" x14ac:dyDescent="0.3">
      <c r="A846">
        <f t="shared" si="104"/>
        <v>20220422</v>
      </c>
      <c r="B846" s="193">
        <v>44673</v>
      </c>
      <c r="C846" s="196" t="str">
        <f t="shared" si="111"/>
        <v>22 April 2022</v>
      </c>
      <c r="D846">
        <f t="shared" si="105"/>
        <v>4</v>
      </c>
      <c r="E846" t="str">
        <f t="shared" si="106"/>
        <v>April</v>
      </c>
      <c r="F846" s="128">
        <f t="shared" si="107"/>
        <v>2022</v>
      </c>
      <c r="G846" s="194" t="str">
        <f t="shared" si="108"/>
        <v>2022-04</v>
      </c>
      <c r="H846" s="193">
        <f t="shared" si="109"/>
        <v>44674</v>
      </c>
      <c r="I846">
        <f t="shared" si="110"/>
        <v>17</v>
      </c>
    </row>
    <row r="847" spans="1:9" x14ac:dyDescent="0.3">
      <c r="A847">
        <f t="shared" si="104"/>
        <v>20220423</v>
      </c>
      <c r="B847" s="193">
        <v>44674</v>
      </c>
      <c r="C847" s="196" t="str">
        <f t="shared" si="111"/>
        <v>23 April 2022</v>
      </c>
      <c r="D847">
        <f t="shared" si="105"/>
        <v>4</v>
      </c>
      <c r="E847" t="str">
        <f t="shared" si="106"/>
        <v>April</v>
      </c>
      <c r="F847" s="128">
        <f t="shared" si="107"/>
        <v>2022</v>
      </c>
      <c r="G847" s="194" t="str">
        <f t="shared" si="108"/>
        <v>2022-04</v>
      </c>
      <c r="H847" s="193">
        <f t="shared" si="109"/>
        <v>44674</v>
      </c>
      <c r="I847">
        <f t="shared" si="110"/>
        <v>17</v>
      </c>
    </row>
    <row r="848" spans="1:9" x14ac:dyDescent="0.3">
      <c r="A848">
        <f t="shared" si="104"/>
        <v>20220424</v>
      </c>
      <c r="B848" s="193">
        <v>44675</v>
      </c>
      <c r="C848" s="196" t="str">
        <f t="shared" si="111"/>
        <v>24 April 2022</v>
      </c>
      <c r="D848">
        <f t="shared" si="105"/>
        <v>4</v>
      </c>
      <c r="E848" t="str">
        <f t="shared" si="106"/>
        <v>April</v>
      </c>
      <c r="F848" s="128">
        <f t="shared" si="107"/>
        <v>2022</v>
      </c>
      <c r="G848" s="194" t="str">
        <f t="shared" si="108"/>
        <v>2022-04</v>
      </c>
      <c r="H848" s="193">
        <f t="shared" si="109"/>
        <v>44681</v>
      </c>
      <c r="I848">
        <f t="shared" si="110"/>
        <v>17</v>
      </c>
    </row>
    <row r="849" spans="1:9" x14ac:dyDescent="0.3">
      <c r="A849">
        <f t="shared" si="104"/>
        <v>20220425</v>
      </c>
      <c r="B849" s="193">
        <v>44676</v>
      </c>
      <c r="C849" s="196" t="str">
        <f t="shared" si="111"/>
        <v>25 April 2022</v>
      </c>
      <c r="D849">
        <f t="shared" si="105"/>
        <v>4</v>
      </c>
      <c r="E849" t="str">
        <f t="shared" si="106"/>
        <v>April</v>
      </c>
      <c r="F849" s="128">
        <f t="shared" si="107"/>
        <v>2022</v>
      </c>
      <c r="G849" s="194" t="str">
        <f t="shared" si="108"/>
        <v>2022-04</v>
      </c>
      <c r="H849" s="193">
        <f t="shared" si="109"/>
        <v>44681</v>
      </c>
      <c r="I849">
        <f t="shared" si="110"/>
        <v>18</v>
      </c>
    </row>
    <row r="850" spans="1:9" x14ac:dyDescent="0.3">
      <c r="A850">
        <f t="shared" si="104"/>
        <v>20220426</v>
      </c>
      <c r="B850" s="193">
        <v>44677</v>
      </c>
      <c r="C850" s="196" t="str">
        <f t="shared" si="111"/>
        <v>26 April 2022</v>
      </c>
      <c r="D850">
        <f t="shared" si="105"/>
        <v>4</v>
      </c>
      <c r="E850" t="str">
        <f t="shared" si="106"/>
        <v>April</v>
      </c>
      <c r="F850" s="128">
        <f t="shared" si="107"/>
        <v>2022</v>
      </c>
      <c r="G850" s="194" t="str">
        <f t="shared" si="108"/>
        <v>2022-04</v>
      </c>
      <c r="H850" s="193">
        <f t="shared" si="109"/>
        <v>44681</v>
      </c>
      <c r="I850">
        <f t="shared" si="110"/>
        <v>18</v>
      </c>
    </row>
    <row r="851" spans="1:9" x14ac:dyDescent="0.3">
      <c r="A851">
        <f t="shared" si="104"/>
        <v>20220427</v>
      </c>
      <c r="B851" s="193">
        <v>44678</v>
      </c>
      <c r="C851" s="196" t="str">
        <f t="shared" si="111"/>
        <v>27 April 2022</v>
      </c>
      <c r="D851">
        <f t="shared" si="105"/>
        <v>4</v>
      </c>
      <c r="E851" t="str">
        <f t="shared" si="106"/>
        <v>April</v>
      </c>
      <c r="F851" s="128">
        <f t="shared" si="107"/>
        <v>2022</v>
      </c>
      <c r="G851" s="194" t="str">
        <f t="shared" si="108"/>
        <v>2022-04</v>
      </c>
      <c r="H851" s="193">
        <f t="shared" si="109"/>
        <v>44681</v>
      </c>
      <c r="I851">
        <f t="shared" si="110"/>
        <v>18</v>
      </c>
    </row>
    <row r="852" spans="1:9" x14ac:dyDescent="0.3">
      <c r="A852">
        <f t="shared" si="104"/>
        <v>20220428</v>
      </c>
      <c r="B852" s="193">
        <v>44679</v>
      </c>
      <c r="C852" s="196" t="str">
        <f t="shared" si="111"/>
        <v>28 April 2022</v>
      </c>
      <c r="D852">
        <f t="shared" si="105"/>
        <v>4</v>
      </c>
      <c r="E852" t="str">
        <f t="shared" si="106"/>
        <v>April</v>
      </c>
      <c r="F852" s="128">
        <f t="shared" si="107"/>
        <v>2022</v>
      </c>
      <c r="G852" s="194" t="str">
        <f t="shared" si="108"/>
        <v>2022-04</v>
      </c>
      <c r="H852" s="193">
        <f t="shared" si="109"/>
        <v>44681</v>
      </c>
      <c r="I852">
        <f t="shared" si="110"/>
        <v>18</v>
      </c>
    </row>
    <row r="853" spans="1:9" x14ac:dyDescent="0.3">
      <c r="A853">
        <f t="shared" si="104"/>
        <v>20220429</v>
      </c>
      <c r="B853" s="193">
        <v>44680</v>
      </c>
      <c r="C853" s="196" t="str">
        <f t="shared" si="111"/>
        <v>29 April 2022</v>
      </c>
      <c r="D853">
        <f t="shared" si="105"/>
        <v>4</v>
      </c>
      <c r="E853" t="str">
        <f t="shared" si="106"/>
        <v>April</v>
      </c>
      <c r="F853" s="128">
        <f t="shared" si="107"/>
        <v>2022</v>
      </c>
      <c r="G853" s="194" t="str">
        <f t="shared" si="108"/>
        <v>2022-04</v>
      </c>
      <c r="H853" s="193">
        <f t="shared" si="109"/>
        <v>44681</v>
      </c>
      <c r="I853">
        <f t="shared" si="110"/>
        <v>18</v>
      </c>
    </row>
    <row r="854" spans="1:9" x14ac:dyDescent="0.3">
      <c r="A854">
        <f t="shared" si="104"/>
        <v>20220430</v>
      </c>
      <c r="B854" s="193">
        <v>44681</v>
      </c>
      <c r="C854" s="196" t="str">
        <f t="shared" si="111"/>
        <v>30 April 2022</v>
      </c>
      <c r="D854">
        <f t="shared" si="105"/>
        <v>4</v>
      </c>
      <c r="E854" t="str">
        <f t="shared" si="106"/>
        <v>April</v>
      </c>
      <c r="F854" s="128">
        <f t="shared" si="107"/>
        <v>2022</v>
      </c>
      <c r="G854" s="194" t="str">
        <f t="shared" si="108"/>
        <v>2022-04</v>
      </c>
      <c r="H854" s="193">
        <f t="shared" si="109"/>
        <v>44681</v>
      </c>
      <c r="I854">
        <f t="shared" si="110"/>
        <v>18</v>
      </c>
    </row>
    <row r="855" spans="1:9" x14ac:dyDescent="0.3">
      <c r="A855">
        <f t="shared" si="104"/>
        <v>20220501</v>
      </c>
      <c r="B855" s="193">
        <v>44682</v>
      </c>
      <c r="C855" s="196" t="str">
        <f t="shared" si="111"/>
        <v>01 May 2022</v>
      </c>
      <c r="D855">
        <f t="shared" si="105"/>
        <v>5</v>
      </c>
      <c r="E855" t="str">
        <f t="shared" si="106"/>
        <v>May</v>
      </c>
      <c r="F855" s="128">
        <f t="shared" si="107"/>
        <v>2022</v>
      </c>
      <c r="G855" s="194" t="str">
        <f t="shared" si="108"/>
        <v>2022-05</v>
      </c>
      <c r="H855" s="193">
        <f t="shared" si="109"/>
        <v>44688</v>
      </c>
      <c r="I855">
        <f t="shared" si="110"/>
        <v>18</v>
      </c>
    </row>
    <row r="856" spans="1:9" x14ac:dyDescent="0.3">
      <c r="A856">
        <f t="shared" si="104"/>
        <v>20220502</v>
      </c>
      <c r="B856" s="193">
        <v>44683</v>
      </c>
      <c r="C856" s="196" t="str">
        <f t="shared" si="111"/>
        <v>02 May 2022</v>
      </c>
      <c r="D856">
        <f t="shared" si="105"/>
        <v>5</v>
      </c>
      <c r="E856" t="str">
        <f t="shared" si="106"/>
        <v>May</v>
      </c>
      <c r="F856" s="128">
        <f t="shared" si="107"/>
        <v>2022</v>
      </c>
      <c r="G856" s="194" t="str">
        <f t="shared" si="108"/>
        <v>2022-05</v>
      </c>
      <c r="H856" s="193">
        <f t="shared" si="109"/>
        <v>44688</v>
      </c>
      <c r="I856">
        <f t="shared" si="110"/>
        <v>19</v>
      </c>
    </row>
    <row r="857" spans="1:9" x14ac:dyDescent="0.3">
      <c r="A857">
        <f t="shared" si="104"/>
        <v>20220503</v>
      </c>
      <c r="B857" s="193">
        <v>44684</v>
      </c>
      <c r="C857" s="196" t="str">
        <f t="shared" si="111"/>
        <v>03 May 2022</v>
      </c>
      <c r="D857">
        <f t="shared" si="105"/>
        <v>5</v>
      </c>
      <c r="E857" t="str">
        <f t="shared" si="106"/>
        <v>May</v>
      </c>
      <c r="F857" s="128">
        <f t="shared" si="107"/>
        <v>2022</v>
      </c>
      <c r="G857" s="194" t="str">
        <f t="shared" si="108"/>
        <v>2022-05</v>
      </c>
      <c r="H857" s="193">
        <f t="shared" si="109"/>
        <v>44688</v>
      </c>
      <c r="I857">
        <f t="shared" si="110"/>
        <v>19</v>
      </c>
    </row>
    <row r="858" spans="1:9" x14ac:dyDescent="0.3">
      <c r="A858">
        <f t="shared" si="104"/>
        <v>20220504</v>
      </c>
      <c r="B858" s="193">
        <v>44685</v>
      </c>
      <c r="C858" s="196" t="str">
        <f t="shared" si="111"/>
        <v>04 May 2022</v>
      </c>
      <c r="D858">
        <f t="shared" si="105"/>
        <v>5</v>
      </c>
      <c r="E858" t="str">
        <f t="shared" si="106"/>
        <v>May</v>
      </c>
      <c r="F858" s="128">
        <f t="shared" si="107"/>
        <v>2022</v>
      </c>
      <c r="G858" s="194" t="str">
        <f t="shared" si="108"/>
        <v>2022-05</v>
      </c>
      <c r="H858" s="193">
        <f t="shared" si="109"/>
        <v>44688</v>
      </c>
      <c r="I858">
        <f t="shared" si="110"/>
        <v>19</v>
      </c>
    </row>
    <row r="859" spans="1:9" x14ac:dyDescent="0.3">
      <c r="A859">
        <f t="shared" si="104"/>
        <v>20220505</v>
      </c>
      <c r="B859" s="193">
        <v>44686</v>
      </c>
      <c r="C859" s="196" t="str">
        <f t="shared" si="111"/>
        <v>05 May 2022</v>
      </c>
      <c r="D859">
        <f t="shared" si="105"/>
        <v>5</v>
      </c>
      <c r="E859" t="str">
        <f t="shared" si="106"/>
        <v>May</v>
      </c>
      <c r="F859" s="128">
        <f t="shared" si="107"/>
        <v>2022</v>
      </c>
      <c r="G859" s="194" t="str">
        <f t="shared" si="108"/>
        <v>2022-05</v>
      </c>
      <c r="H859" s="193">
        <f t="shared" si="109"/>
        <v>44688</v>
      </c>
      <c r="I859">
        <f t="shared" si="110"/>
        <v>19</v>
      </c>
    </row>
    <row r="860" spans="1:9" x14ac:dyDescent="0.3">
      <c r="A860">
        <f t="shared" si="104"/>
        <v>20220506</v>
      </c>
      <c r="B860" s="193">
        <v>44687</v>
      </c>
      <c r="C860" s="196" t="str">
        <f t="shared" si="111"/>
        <v>06 May 2022</v>
      </c>
      <c r="D860">
        <f t="shared" si="105"/>
        <v>5</v>
      </c>
      <c r="E860" t="str">
        <f t="shared" si="106"/>
        <v>May</v>
      </c>
      <c r="F860" s="128">
        <f t="shared" si="107"/>
        <v>2022</v>
      </c>
      <c r="G860" s="194" t="str">
        <f t="shared" si="108"/>
        <v>2022-05</v>
      </c>
      <c r="H860" s="193">
        <f t="shared" si="109"/>
        <v>44688</v>
      </c>
      <c r="I860">
        <f t="shared" si="110"/>
        <v>19</v>
      </c>
    </row>
    <row r="861" spans="1:9" x14ac:dyDescent="0.3">
      <c r="A861">
        <f t="shared" si="104"/>
        <v>20220507</v>
      </c>
      <c r="B861" s="193">
        <v>44688</v>
      </c>
      <c r="C861" s="196" t="str">
        <f t="shared" si="111"/>
        <v>07 May 2022</v>
      </c>
      <c r="D861">
        <f t="shared" si="105"/>
        <v>5</v>
      </c>
      <c r="E861" t="str">
        <f t="shared" si="106"/>
        <v>May</v>
      </c>
      <c r="F861" s="128">
        <f t="shared" si="107"/>
        <v>2022</v>
      </c>
      <c r="G861" s="194" t="str">
        <f t="shared" si="108"/>
        <v>2022-05</v>
      </c>
      <c r="H861" s="193">
        <f t="shared" si="109"/>
        <v>44688</v>
      </c>
      <c r="I861">
        <f t="shared" si="110"/>
        <v>19</v>
      </c>
    </row>
    <row r="862" spans="1:9" x14ac:dyDescent="0.3">
      <c r="A862">
        <f t="shared" si="104"/>
        <v>20220508</v>
      </c>
      <c r="B862" s="193">
        <v>44689</v>
      </c>
      <c r="C862" s="196" t="str">
        <f t="shared" si="111"/>
        <v>08 May 2022</v>
      </c>
      <c r="D862">
        <f t="shared" si="105"/>
        <v>5</v>
      </c>
      <c r="E862" t="str">
        <f t="shared" si="106"/>
        <v>May</v>
      </c>
      <c r="F862" s="128">
        <f t="shared" si="107"/>
        <v>2022</v>
      </c>
      <c r="G862" s="194" t="str">
        <f t="shared" si="108"/>
        <v>2022-05</v>
      </c>
      <c r="H862" s="193">
        <f t="shared" si="109"/>
        <v>44695</v>
      </c>
      <c r="I862">
        <f t="shared" si="110"/>
        <v>19</v>
      </c>
    </row>
    <row r="863" spans="1:9" x14ac:dyDescent="0.3">
      <c r="A863">
        <f t="shared" si="104"/>
        <v>20220509</v>
      </c>
      <c r="B863" s="193">
        <v>44690</v>
      </c>
      <c r="C863" s="196" t="str">
        <f t="shared" si="111"/>
        <v>09 May 2022</v>
      </c>
      <c r="D863">
        <f t="shared" si="105"/>
        <v>5</v>
      </c>
      <c r="E863" t="str">
        <f t="shared" si="106"/>
        <v>May</v>
      </c>
      <c r="F863" s="128">
        <f t="shared" si="107"/>
        <v>2022</v>
      </c>
      <c r="G863" s="194" t="str">
        <f t="shared" si="108"/>
        <v>2022-05</v>
      </c>
      <c r="H863" s="193">
        <f t="shared" si="109"/>
        <v>44695</v>
      </c>
      <c r="I863">
        <f t="shared" si="110"/>
        <v>20</v>
      </c>
    </row>
    <row r="864" spans="1:9" x14ac:dyDescent="0.3">
      <c r="A864">
        <f t="shared" si="104"/>
        <v>20220510</v>
      </c>
      <c r="B864" s="193">
        <v>44691</v>
      </c>
      <c r="C864" s="196" t="str">
        <f t="shared" si="111"/>
        <v>10 May 2022</v>
      </c>
      <c r="D864">
        <f t="shared" si="105"/>
        <v>5</v>
      </c>
      <c r="E864" t="str">
        <f t="shared" si="106"/>
        <v>May</v>
      </c>
      <c r="F864" s="128">
        <f t="shared" si="107"/>
        <v>2022</v>
      </c>
      <c r="G864" s="194" t="str">
        <f t="shared" si="108"/>
        <v>2022-05</v>
      </c>
      <c r="H864" s="193">
        <f t="shared" si="109"/>
        <v>44695</v>
      </c>
      <c r="I864">
        <f t="shared" si="110"/>
        <v>20</v>
      </c>
    </row>
    <row r="865" spans="1:9" x14ac:dyDescent="0.3">
      <c r="A865">
        <f t="shared" si="104"/>
        <v>20220511</v>
      </c>
      <c r="B865" s="193">
        <v>44692</v>
      </c>
      <c r="C865" s="196" t="str">
        <f t="shared" si="111"/>
        <v>11 May 2022</v>
      </c>
      <c r="D865">
        <f t="shared" si="105"/>
        <v>5</v>
      </c>
      <c r="E865" t="str">
        <f t="shared" si="106"/>
        <v>May</v>
      </c>
      <c r="F865" s="128">
        <f t="shared" si="107"/>
        <v>2022</v>
      </c>
      <c r="G865" s="194" t="str">
        <f t="shared" si="108"/>
        <v>2022-05</v>
      </c>
      <c r="H865" s="193">
        <f t="shared" si="109"/>
        <v>44695</v>
      </c>
      <c r="I865">
        <f t="shared" si="110"/>
        <v>20</v>
      </c>
    </row>
    <row r="866" spans="1:9" x14ac:dyDescent="0.3">
      <c r="A866">
        <f t="shared" si="104"/>
        <v>20220512</v>
      </c>
      <c r="B866" s="193">
        <v>44693</v>
      </c>
      <c r="C866" s="196" t="str">
        <f t="shared" si="111"/>
        <v>12 May 2022</v>
      </c>
      <c r="D866">
        <f t="shared" si="105"/>
        <v>5</v>
      </c>
      <c r="E866" t="str">
        <f t="shared" si="106"/>
        <v>May</v>
      </c>
      <c r="F866" s="128">
        <f t="shared" si="107"/>
        <v>2022</v>
      </c>
      <c r="G866" s="194" t="str">
        <f t="shared" si="108"/>
        <v>2022-05</v>
      </c>
      <c r="H866" s="193">
        <f t="shared" si="109"/>
        <v>44695</v>
      </c>
      <c r="I866">
        <f t="shared" si="110"/>
        <v>20</v>
      </c>
    </row>
    <row r="867" spans="1:9" x14ac:dyDescent="0.3">
      <c r="A867">
        <f t="shared" si="104"/>
        <v>20220513</v>
      </c>
      <c r="B867" s="193">
        <v>44694</v>
      </c>
      <c r="C867" s="196" t="str">
        <f t="shared" si="111"/>
        <v>13 May 2022</v>
      </c>
      <c r="D867">
        <f t="shared" si="105"/>
        <v>5</v>
      </c>
      <c r="E867" t="str">
        <f t="shared" si="106"/>
        <v>May</v>
      </c>
      <c r="F867" s="128">
        <f t="shared" si="107"/>
        <v>2022</v>
      </c>
      <c r="G867" s="194" t="str">
        <f t="shared" si="108"/>
        <v>2022-05</v>
      </c>
      <c r="H867" s="193">
        <f t="shared" si="109"/>
        <v>44695</v>
      </c>
      <c r="I867">
        <f t="shared" si="110"/>
        <v>20</v>
      </c>
    </row>
    <row r="868" spans="1:9" x14ac:dyDescent="0.3">
      <c r="A868">
        <f t="shared" si="104"/>
        <v>20220514</v>
      </c>
      <c r="B868" s="193">
        <v>44695</v>
      </c>
      <c r="C868" s="196" t="str">
        <f t="shared" si="111"/>
        <v>14 May 2022</v>
      </c>
      <c r="D868">
        <f t="shared" si="105"/>
        <v>5</v>
      </c>
      <c r="E868" t="str">
        <f t="shared" si="106"/>
        <v>May</v>
      </c>
      <c r="F868" s="128">
        <f t="shared" si="107"/>
        <v>2022</v>
      </c>
      <c r="G868" s="194" t="str">
        <f t="shared" si="108"/>
        <v>2022-05</v>
      </c>
      <c r="H868" s="193">
        <f t="shared" si="109"/>
        <v>44695</v>
      </c>
      <c r="I868">
        <f t="shared" si="110"/>
        <v>20</v>
      </c>
    </row>
    <row r="869" spans="1:9" x14ac:dyDescent="0.3">
      <c r="A869">
        <f t="shared" si="104"/>
        <v>20220515</v>
      </c>
      <c r="B869" s="193">
        <v>44696</v>
      </c>
      <c r="C869" s="196" t="str">
        <f t="shared" si="111"/>
        <v>15 May 2022</v>
      </c>
      <c r="D869">
        <f t="shared" si="105"/>
        <v>5</v>
      </c>
      <c r="E869" t="str">
        <f t="shared" si="106"/>
        <v>May</v>
      </c>
      <c r="F869" s="128">
        <f t="shared" si="107"/>
        <v>2022</v>
      </c>
      <c r="G869" s="194" t="str">
        <f t="shared" si="108"/>
        <v>2022-05</v>
      </c>
      <c r="H869" s="193">
        <f t="shared" si="109"/>
        <v>44702</v>
      </c>
      <c r="I869">
        <f t="shared" si="110"/>
        <v>20</v>
      </c>
    </row>
    <row r="870" spans="1:9" x14ac:dyDescent="0.3">
      <c r="A870">
        <f t="shared" si="104"/>
        <v>20220516</v>
      </c>
      <c r="B870" s="193">
        <v>44697</v>
      </c>
      <c r="C870" s="196" t="str">
        <f t="shared" si="111"/>
        <v>16 May 2022</v>
      </c>
      <c r="D870">
        <f t="shared" si="105"/>
        <v>5</v>
      </c>
      <c r="E870" t="str">
        <f t="shared" si="106"/>
        <v>May</v>
      </c>
      <c r="F870" s="128">
        <f t="shared" si="107"/>
        <v>2022</v>
      </c>
      <c r="G870" s="194" t="str">
        <f t="shared" si="108"/>
        <v>2022-05</v>
      </c>
      <c r="H870" s="193">
        <f t="shared" si="109"/>
        <v>44702</v>
      </c>
      <c r="I870">
        <f t="shared" si="110"/>
        <v>21</v>
      </c>
    </row>
    <row r="871" spans="1:9" x14ac:dyDescent="0.3">
      <c r="A871">
        <f t="shared" si="104"/>
        <v>20220517</v>
      </c>
      <c r="B871" s="193">
        <v>44698</v>
      </c>
      <c r="C871" s="196" t="str">
        <f t="shared" si="111"/>
        <v>17 May 2022</v>
      </c>
      <c r="D871">
        <f t="shared" si="105"/>
        <v>5</v>
      </c>
      <c r="E871" t="str">
        <f t="shared" si="106"/>
        <v>May</v>
      </c>
      <c r="F871" s="128">
        <f t="shared" si="107"/>
        <v>2022</v>
      </c>
      <c r="G871" s="194" t="str">
        <f t="shared" si="108"/>
        <v>2022-05</v>
      </c>
      <c r="H871" s="193">
        <f t="shared" si="109"/>
        <v>44702</v>
      </c>
      <c r="I871">
        <f t="shared" si="110"/>
        <v>21</v>
      </c>
    </row>
    <row r="872" spans="1:9" x14ac:dyDescent="0.3">
      <c r="A872">
        <f t="shared" si="104"/>
        <v>20220518</v>
      </c>
      <c r="B872" s="193">
        <v>44699</v>
      </c>
      <c r="C872" s="196" t="str">
        <f t="shared" si="111"/>
        <v>18 May 2022</v>
      </c>
      <c r="D872">
        <f t="shared" si="105"/>
        <v>5</v>
      </c>
      <c r="E872" t="str">
        <f t="shared" si="106"/>
        <v>May</v>
      </c>
      <c r="F872" s="128">
        <f t="shared" si="107"/>
        <v>2022</v>
      </c>
      <c r="G872" s="194" t="str">
        <f t="shared" si="108"/>
        <v>2022-05</v>
      </c>
      <c r="H872" s="193">
        <f t="shared" si="109"/>
        <v>44702</v>
      </c>
      <c r="I872">
        <f t="shared" si="110"/>
        <v>21</v>
      </c>
    </row>
    <row r="873" spans="1:9" x14ac:dyDescent="0.3">
      <c r="A873">
        <f t="shared" si="104"/>
        <v>20220519</v>
      </c>
      <c r="B873" s="193">
        <v>44700</v>
      </c>
      <c r="C873" s="196" t="str">
        <f t="shared" si="111"/>
        <v>19 May 2022</v>
      </c>
      <c r="D873">
        <f t="shared" si="105"/>
        <v>5</v>
      </c>
      <c r="E873" t="str">
        <f t="shared" si="106"/>
        <v>May</v>
      </c>
      <c r="F873" s="128">
        <f t="shared" si="107"/>
        <v>2022</v>
      </c>
      <c r="G873" s="194" t="str">
        <f t="shared" si="108"/>
        <v>2022-05</v>
      </c>
      <c r="H873" s="193">
        <f t="shared" si="109"/>
        <v>44702</v>
      </c>
      <c r="I873">
        <f t="shared" si="110"/>
        <v>21</v>
      </c>
    </row>
    <row r="874" spans="1:9" x14ac:dyDescent="0.3">
      <c r="A874">
        <f t="shared" si="104"/>
        <v>20220520</v>
      </c>
      <c r="B874" s="193">
        <v>44701</v>
      </c>
      <c r="C874" s="196" t="str">
        <f t="shared" si="111"/>
        <v>20 May 2022</v>
      </c>
      <c r="D874">
        <f t="shared" si="105"/>
        <v>5</v>
      </c>
      <c r="E874" t="str">
        <f t="shared" si="106"/>
        <v>May</v>
      </c>
      <c r="F874" s="128">
        <f t="shared" si="107"/>
        <v>2022</v>
      </c>
      <c r="G874" s="194" t="str">
        <f t="shared" si="108"/>
        <v>2022-05</v>
      </c>
      <c r="H874" s="193">
        <f t="shared" si="109"/>
        <v>44702</v>
      </c>
      <c r="I874">
        <f t="shared" si="110"/>
        <v>21</v>
      </c>
    </row>
    <row r="875" spans="1:9" x14ac:dyDescent="0.3">
      <c r="A875">
        <f t="shared" si="104"/>
        <v>20220521</v>
      </c>
      <c r="B875" s="193">
        <v>44702</v>
      </c>
      <c r="C875" s="196" t="str">
        <f t="shared" si="111"/>
        <v>21 May 2022</v>
      </c>
      <c r="D875">
        <f t="shared" si="105"/>
        <v>5</v>
      </c>
      <c r="E875" t="str">
        <f t="shared" si="106"/>
        <v>May</v>
      </c>
      <c r="F875" s="128">
        <f t="shared" si="107"/>
        <v>2022</v>
      </c>
      <c r="G875" s="194" t="str">
        <f t="shared" si="108"/>
        <v>2022-05</v>
      </c>
      <c r="H875" s="193">
        <f t="shared" si="109"/>
        <v>44702</v>
      </c>
      <c r="I875">
        <f t="shared" si="110"/>
        <v>21</v>
      </c>
    </row>
    <row r="876" spans="1:9" x14ac:dyDescent="0.3">
      <c r="A876">
        <f t="shared" si="104"/>
        <v>20220522</v>
      </c>
      <c r="B876" s="193">
        <v>44703</v>
      </c>
      <c r="C876" s="196" t="str">
        <f t="shared" si="111"/>
        <v>22 May 2022</v>
      </c>
      <c r="D876">
        <f t="shared" si="105"/>
        <v>5</v>
      </c>
      <c r="E876" t="str">
        <f t="shared" si="106"/>
        <v>May</v>
      </c>
      <c r="F876" s="128">
        <f t="shared" si="107"/>
        <v>2022</v>
      </c>
      <c r="G876" s="194" t="str">
        <f t="shared" si="108"/>
        <v>2022-05</v>
      </c>
      <c r="H876" s="193">
        <f t="shared" si="109"/>
        <v>44709</v>
      </c>
      <c r="I876">
        <f t="shared" si="110"/>
        <v>21</v>
      </c>
    </row>
    <row r="877" spans="1:9" x14ac:dyDescent="0.3">
      <c r="A877">
        <f t="shared" si="104"/>
        <v>20220523</v>
      </c>
      <c r="B877" s="193">
        <v>44704</v>
      </c>
      <c r="C877" s="196" t="str">
        <f t="shared" si="111"/>
        <v>23 May 2022</v>
      </c>
      <c r="D877">
        <f t="shared" si="105"/>
        <v>5</v>
      </c>
      <c r="E877" t="str">
        <f t="shared" si="106"/>
        <v>May</v>
      </c>
      <c r="F877" s="128">
        <f t="shared" si="107"/>
        <v>2022</v>
      </c>
      <c r="G877" s="194" t="str">
        <f t="shared" si="108"/>
        <v>2022-05</v>
      </c>
      <c r="H877" s="193">
        <f t="shared" si="109"/>
        <v>44709</v>
      </c>
      <c r="I877">
        <f t="shared" si="110"/>
        <v>22</v>
      </c>
    </row>
    <row r="878" spans="1:9" x14ac:dyDescent="0.3">
      <c r="A878">
        <f t="shared" si="104"/>
        <v>20220524</v>
      </c>
      <c r="B878" s="193">
        <v>44705</v>
      </c>
      <c r="C878" s="196" t="str">
        <f t="shared" si="111"/>
        <v>24 May 2022</v>
      </c>
      <c r="D878">
        <f t="shared" si="105"/>
        <v>5</v>
      </c>
      <c r="E878" t="str">
        <f t="shared" si="106"/>
        <v>May</v>
      </c>
      <c r="F878" s="128">
        <f t="shared" si="107"/>
        <v>2022</v>
      </c>
      <c r="G878" s="194" t="str">
        <f t="shared" si="108"/>
        <v>2022-05</v>
      </c>
      <c r="H878" s="193">
        <f t="shared" si="109"/>
        <v>44709</v>
      </c>
      <c r="I878">
        <f t="shared" si="110"/>
        <v>22</v>
      </c>
    </row>
    <row r="879" spans="1:9" x14ac:dyDescent="0.3">
      <c r="A879">
        <f t="shared" si="104"/>
        <v>20220525</v>
      </c>
      <c r="B879" s="193">
        <v>44706</v>
      </c>
      <c r="C879" s="196" t="str">
        <f t="shared" si="111"/>
        <v>25 May 2022</v>
      </c>
      <c r="D879">
        <f t="shared" si="105"/>
        <v>5</v>
      </c>
      <c r="E879" t="str">
        <f t="shared" si="106"/>
        <v>May</v>
      </c>
      <c r="F879" s="128">
        <f t="shared" si="107"/>
        <v>2022</v>
      </c>
      <c r="G879" s="194" t="str">
        <f t="shared" si="108"/>
        <v>2022-05</v>
      </c>
      <c r="H879" s="193">
        <f t="shared" si="109"/>
        <v>44709</v>
      </c>
      <c r="I879">
        <f t="shared" si="110"/>
        <v>22</v>
      </c>
    </row>
    <row r="880" spans="1:9" x14ac:dyDescent="0.3">
      <c r="A880">
        <f t="shared" si="104"/>
        <v>20220526</v>
      </c>
      <c r="B880" s="193">
        <v>44707</v>
      </c>
      <c r="C880" s="196" t="str">
        <f t="shared" si="111"/>
        <v>26 May 2022</v>
      </c>
      <c r="D880">
        <f t="shared" si="105"/>
        <v>5</v>
      </c>
      <c r="E880" t="str">
        <f t="shared" si="106"/>
        <v>May</v>
      </c>
      <c r="F880" s="128">
        <f t="shared" si="107"/>
        <v>2022</v>
      </c>
      <c r="G880" s="194" t="str">
        <f t="shared" si="108"/>
        <v>2022-05</v>
      </c>
      <c r="H880" s="193">
        <f t="shared" si="109"/>
        <v>44709</v>
      </c>
      <c r="I880">
        <f t="shared" si="110"/>
        <v>22</v>
      </c>
    </row>
    <row r="881" spans="1:9" x14ac:dyDescent="0.3">
      <c r="A881">
        <f t="shared" si="104"/>
        <v>20220527</v>
      </c>
      <c r="B881" s="193">
        <v>44708</v>
      </c>
      <c r="C881" s="196" t="str">
        <f t="shared" si="111"/>
        <v>27 May 2022</v>
      </c>
      <c r="D881">
        <f t="shared" si="105"/>
        <v>5</v>
      </c>
      <c r="E881" t="str">
        <f t="shared" si="106"/>
        <v>May</v>
      </c>
      <c r="F881" s="128">
        <f t="shared" si="107"/>
        <v>2022</v>
      </c>
      <c r="G881" s="194" t="str">
        <f t="shared" si="108"/>
        <v>2022-05</v>
      </c>
      <c r="H881" s="193">
        <f t="shared" si="109"/>
        <v>44709</v>
      </c>
      <c r="I881">
        <f t="shared" si="110"/>
        <v>22</v>
      </c>
    </row>
    <row r="882" spans="1:9" x14ac:dyDescent="0.3">
      <c r="A882">
        <f t="shared" si="104"/>
        <v>20220528</v>
      </c>
      <c r="B882" s="193">
        <v>44709</v>
      </c>
      <c r="C882" s="196" t="str">
        <f t="shared" si="111"/>
        <v>28 May 2022</v>
      </c>
      <c r="D882">
        <f t="shared" si="105"/>
        <v>5</v>
      </c>
      <c r="E882" t="str">
        <f t="shared" si="106"/>
        <v>May</v>
      </c>
      <c r="F882" s="128">
        <f t="shared" si="107"/>
        <v>2022</v>
      </c>
      <c r="G882" s="194" t="str">
        <f t="shared" si="108"/>
        <v>2022-05</v>
      </c>
      <c r="H882" s="193">
        <f t="shared" si="109"/>
        <v>44709</v>
      </c>
      <c r="I882">
        <f t="shared" si="110"/>
        <v>22</v>
      </c>
    </row>
    <row r="883" spans="1:9" x14ac:dyDescent="0.3">
      <c r="A883">
        <f t="shared" si="104"/>
        <v>20220529</v>
      </c>
      <c r="B883" s="193">
        <v>44710</v>
      </c>
      <c r="C883" s="196" t="str">
        <f t="shared" si="111"/>
        <v>29 May 2022</v>
      </c>
      <c r="D883">
        <f t="shared" si="105"/>
        <v>5</v>
      </c>
      <c r="E883" t="str">
        <f t="shared" si="106"/>
        <v>May</v>
      </c>
      <c r="F883" s="128">
        <f t="shared" si="107"/>
        <v>2022</v>
      </c>
      <c r="G883" s="194" t="str">
        <f t="shared" si="108"/>
        <v>2022-05</v>
      </c>
      <c r="H883" s="193">
        <f t="shared" si="109"/>
        <v>44716</v>
      </c>
      <c r="I883">
        <f t="shared" si="110"/>
        <v>22</v>
      </c>
    </row>
    <row r="884" spans="1:9" x14ac:dyDescent="0.3">
      <c r="A884">
        <f t="shared" si="104"/>
        <v>20220530</v>
      </c>
      <c r="B884" s="193">
        <v>44711</v>
      </c>
      <c r="C884" s="196" t="str">
        <f t="shared" si="111"/>
        <v>30 May 2022</v>
      </c>
      <c r="D884">
        <f t="shared" si="105"/>
        <v>5</v>
      </c>
      <c r="E884" t="str">
        <f t="shared" si="106"/>
        <v>May</v>
      </c>
      <c r="F884" s="128">
        <f t="shared" si="107"/>
        <v>2022</v>
      </c>
      <c r="G884" s="194" t="str">
        <f t="shared" si="108"/>
        <v>2022-05</v>
      </c>
      <c r="H884" s="193">
        <f t="shared" si="109"/>
        <v>44716</v>
      </c>
      <c r="I884">
        <f t="shared" si="110"/>
        <v>23</v>
      </c>
    </row>
    <row r="885" spans="1:9" x14ac:dyDescent="0.3">
      <c r="A885">
        <f t="shared" si="104"/>
        <v>20220531</v>
      </c>
      <c r="B885" s="193">
        <v>44712</v>
      </c>
      <c r="C885" s="196" t="str">
        <f t="shared" si="111"/>
        <v>31 May 2022</v>
      </c>
      <c r="D885">
        <f t="shared" si="105"/>
        <v>5</v>
      </c>
      <c r="E885" t="str">
        <f t="shared" si="106"/>
        <v>May</v>
      </c>
      <c r="F885" s="128">
        <f t="shared" si="107"/>
        <v>2022</v>
      </c>
      <c r="G885" s="194" t="str">
        <f t="shared" si="108"/>
        <v>2022-05</v>
      </c>
      <c r="H885" s="193">
        <f t="shared" si="109"/>
        <v>44716</v>
      </c>
      <c r="I885">
        <f t="shared" si="110"/>
        <v>23</v>
      </c>
    </row>
    <row r="886" spans="1:9" x14ac:dyDescent="0.3">
      <c r="A886">
        <f t="shared" si="104"/>
        <v>20220601</v>
      </c>
      <c r="B886" s="193">
        <v>44713</v>
      </c>
      <c r="C886" s="196" t="str">
        <f t="shared" si="111"/>
        <v>01 June 2022</v>
      </c>
      <c r="D886">
        <f t="shared" si="105"/>
        <v>6</v>
      </c>
      <c r="E886" t="str">
        <f t="shared" si="106"/>
        <v>June</v>
      </c>
      <c r="F886" s="128">
        <f t="shared" si="107"/>
        <v>2022</v>
      </c>
      <c r="G886" s="194" t="str">
        <f t="shared" si="108"/>
        <v>2022-06</v>
      </c>
      <c r="H886" s="193">
        <f t="shared" si="109"/>
        <v>44716</v>
      </c>
      <c r="I886">
        <f t="shared" si="110"/>
        <v>23</v>
      </c>
    </row>
    <row r="887" spans="1:9" x14ac:dyDescent="0.3">
      <c r="A887">
        <f t="shared" si="104"/>
        <v>20220602</v>
      </c>
      <c r="B887" s="193">
        <v>44714</v>
      </c>
      <c r="C887" s="196" t="str">
        <f t="shared" si="111"/>
        <v>02 June 2022</v>
      </c>
      <c r="D887">
        <f t="shared" si="105"/>
        <v>6</v>
      </c>
      <c r="E887" t="str">
        <f t="shared" si="106"/>
        <v>June</v>
      </c>
      <c r="F887" s="128">
        <f t="shared" si="107"/>
        <v>2022</v>
      </c>
      <c r="G887" s="194" t="str">
        <f t="shared" si="108"/>
        <v>2022-06</v>
      </c>
      <c r="H887" s="193">
        <f t="shared" si="109"/>
        <v>44716</v>
      </c>
      <c r="I887">
        <f t="shared" si="110"/>
        <v>23</v>
      </c>
    </row>
    <row r="888" spans="1:9" x14ac:dyDescent="0.3">
      <c r="A888">
        <f t="shared" si="104"/>
        <v>20220603</v>
      </c>
      <c r="B888" s="193">
        <v>44715</v>
      </c>
      <c r="C888" s="196" t="str">
        <f t="shared" si="111"/>
        <v>03 June 2022</v>
      </c>
      <c r="D888">
        <f t="shared" si="105"/>
        <v>6</v>
      </c>
      <c r="E888" t="str">
        <f t="shared" si="106"/>
        <v>June</v>
      </c>
      <c r="F888" s="128">
        <f t="shared" si="107"/>
        <v>2022</v>
      </c>
      <c r="G888" s="194" t="str">
        <f t="shared" si="108"/>
        <v>2022-06</v>
      </c>
      <c r="H888" s="193">
        <f t="shared" si="109"/>
        <v>44716</v>
      </c>
      <c r="I888">
        <f t="shared" si="110"/>
        <v>23</v>
      </c>
    </row>
    <row r="889" spans="1:9" x14ac:dyDescent="0.3">
      <c r="A889">
        <f t="shared" si="104"/>
        <v>20220604</v>
      </c>
      <c r="B889" s="193">
        <v>44716</v>
      </c>
      <c r="C889" s="196" t="str">
        <f t="shared" si="111"/>
        <v>04 June 2022</v>
      </c>
      <c r="D889">
        <f t="shared" si="105"/>
        <v>6</v>
      </c>
      <c r="E889" t="str">
        <f t="shared" si="106"/>
        <v>June</v>
      </c>
      <c r="F889" s="128">
        <f t="shared" si="107"/>
        <v>2022</v>
      </c>
      <c r="G889" s="194" t="str">
        <f t="shared" si="108"/>
        <v>2022-06</v>
      </c>
      <c r="H889" s="193">
        <f t="shared" si="109"/>
        <v>44716</v>
      </c>
      <c r="I889">
        <f t="shared" si="110"/>
        <v>23</v>
      </c>
    </row>
    <row r="890" spans="1:9" x14ac:dyDescent="0.3">
      <c r="A890">
        <f t="shared" si="104"/>
        <v>20220605</v>
      </c>
      <c r="B890" s="193">
        <v>44717</v>
      </c>
      <c r="C890" s="196" t="str">
        <f t="shared" si="111"/>
        <v>05 June 2022</v>
      </c>
      <c r="D890">
        <f t="shared" si="105"/>
        <v>6</v>
      </c>
      <c r="E890" t="str">
        <f t="shared" si="106"/>
        <v>June</v>
      </c>
      <c r="F890" s="128">
        <f t="shared" si="107"/>
        <v>2022</v>
      </c>
      <c r="G890" s="194" t="str">
        <f t="shared" si="108"/>
        <v>2022-06</v>
      </c>
      <c r="H890" s="193">
        <f t="shared" si="109"/>
        <v>44723</v>
      </c>
      <c r="I890">
        <f t="shared" si="110"/>
        <v>23</v>
      </c>
    </row>
    <row r="891" spans="1:9" x14ac:dyDescent="0.3">
      <c r="A891">
        <f t="shared" si="104"/>
        <v>20220606</v>
      </c>
      <c r="B891" s="193">
        <v>44718</v>
      </c>
      <c r="C891" s="196" t="str">
        <f t="shared" si="111"/>
        <v>06 June 2022</v>
      </c>
      <c r="D891">
        <f t="shared" si="105"/>
        <v>6</v>
      </c>
      <c r="E891" t="str">
        <f t="shared" si="106"/>
        <v>June</v>
      </c>
      <c r="F891" s="128">
        <f t="shared" si="107"/>
        <v>2022</v>
      </c>
      <c r="G891" s="194" t="str">
        <f t="shared" si="108"/>
        <v>2022-06</v>
      </c>
      <c r="H891" s="193">
        <f t="shared" si="109"/>
        <v>44723</v>
      </c>
      <c r="I891">
        <f t="shared" si="110"/>
        <v>24</v>
      </c>
    </row>
    <row r="892" spans="1:9" x14ac:dyDescent="0.3">
      <c r="A892">
        <f t="shared" si="104"/>
        <v>20220607</v>
      </c>
      <c r="B892" s="193">
        <v>44719</v>
      </c>
      <c r="C892" s="196" t="str">
        <f t="shared" si="111"/>
        <v>07 June 2022</v>
      </c>
      <c r="D892">
        <f t="shared" si="105"/>
        <v>6</v>
      </c>
      <c r="E892" t="str">
        <f t="shared" si="106"/>
        <v>June</v>
      </c>
      <c r="F892" s="128">
        <f t="shared" si="107"/>
        <v>2022</v>
      </c>
      <c r="G892" s="194" t="str">
        <f t="shared" si="108"/>
        <v>2022-06</v>
      </c>
      <c r="H892" s="193">
        <f t="shared" si="109"/>
        <v>44723</v>
      </c>
      <c r="I892">
        <f t="shared" si="110"/>
        <v>24</v>
      </c>
    </row>
    <row r="893" spans="1:9" x14ac:dyDescent="0.3">
      <c r="A893">
        <f t="shared" si="104"/>
        <v>20220608</v>
      </c>
      <c r="B893" s="193">
        <v>44720</v>
      </c>
      <c r="C893" s="196" t="str">
        <f t="shared" si="111"/>
        <v>08 June 2022</v>
      </c>
      <c r="D893">
        <f t="shared" si="105"/>
        <v>6</v>
      </c>
      <c r="E893" t="str">
        <f t="shared" si="106"/>
        <v>June</v>
      </c>
      <c r="F893" s="128">
        <f t="shared" si="107"/>
        <v>2022</v>
      </c>
      <c r="G893" s="194" t="str">
        <f t="shared" si="108"/>
        <v>2022-06</v>
      </c>
      <c r="H893" s="193">
        <f t="shared" si="109"/>
        <v>44723</v>
      </c>
      <c r="I893">
        <f t="shared" si="110"/>
        <v>24</v>
      </c>
    </row>
    <row r="894" spans="1:9" x14ac:dyDescent="0.3">
      <c r="A894">
        <f t="shared" si="104"/>
        <v>20220609</v>
      </c>
      <c r="B894" s="193">
        <v>44721</v>
      </c>
      <c r="C894" s="196" t="str">
        <f t="shared" si="111"/>
        <v>09 June 2022</v>
      </c>
      <c r="D894">
        <f t="shared" si="105"/>
        <v>6</v>
      </c>
      <c r="E894" t="str">
        <f t="shared" si="106"/>
        <v>June</v>
      </c>
      <c r="F894" s="128">
        <f t="shared" si="107"/>
        <v>2022</v>
      </c>
      <c r="G894" s="194" t="str">
        <f t="shared" si="108"/>
        <v>2022-06</v>
      </c>
      <c r="H894" s="193">
        <f t="shared" si="109"/>
        <v>44723</v>
      </c>
      <c r="I894">
        <f t="shared" si="110"/>
        <v>24</v>
      </c>
    </row>
    <row r="895" spans="1:9" x14ac:dyDescent="0.3">
      <c r="A895">
        <f t="shared" si="104"/>
        <v>20220610</v>
      </c>
      <c r="B895" s="193">
        <v>44722</v>
      </c>
      <c r="C895" s="196" t="str">
        <f t="shared" si="111"/>
        <v>10 June 2022</v>
      </c>
      <c r="D895">
        <f t="shared" si="105"/>
        <v>6</v>
      </c>
      <c r="E895" t="str">
        <f t="shared" si="106"/>
        <v>June</v>
      </c>
      <c r="F895" s="128">
        <f t="shared" si="107"/>
        <v>2022</v>
      </c>
      <c r="G895" s="194" t="str">
        <f t="shared" si="108"/>
        <v>2022-06</v>
      </c>
      <c r="H895" s="193">
        <f t="shared" si="109"/>
        <v>44723</v>
      </c>
      <c r="I895">
        <f t="shared" si="110"/>
        <v>24</v>
      </c>
    </row>
    <row r="896" spans="1:9" x14ac:dyDescent="0.3">
      <c r="A896">
        <f t="shared" si="104"/>
        <v>20220611</v>
      </c>
      <c r="B896" s="193">
        <v>44723</v>
      </c>
      <c r="C896" s="196" t="str">
        <f t="shared" si="111"/>
        <v>11 June 2022</v>
      </c>
      <c r="D896">
        <f t="shared" si="105"/>
        <v>6</v>
      </c>
      <c r="E896" t="str">
        <f t="shared" si="106"/>
        <v>June</v>
      </c>
      <c r="F896" s="128">
        <f t="shared" si="107"/>
        <v>2022</v>
      </c>
      <c r="G896" s="194" t="str">
        <f t="shared" si="108"/>
        <v>2022-06</v>
      </c>
      <c r="H896" s="193">
        <f t="shared" si="109"/>
        <v>44723</v>
      </c>
      <c r="I896">
        <f t="shared" si="110"/>
        <v>24</v>
      </c>
    </row>
    <row r="897" spans="1:9" x14ac:dyDescent="0.3">
      <c r="A897">
        <f t="shared" si="104"/>
        <v>20220612</v>
      </c>
      <c r="B897" s="193">
        <v>44724</v>
      </c>
      <c r="C897" s="196" t="str">
        <f t="shared" si="111"/>
        <v>12 June 2022</v>
      </c>
      <c r="D897">
        <f t="shared" si="105"/>
        <v>6</v>
      </c>
      <c r="E897" t="str">
        <f t="shared" si="106"/>
        <v>June</v>
      </c>
      <c r="F897" s="128">
        <f t="shared" si="107"/>
        <v>2022</v>
      </c>
      <c r="G897" s="194" t="str">
        <f t="shared" si="108"/>
        <v>2022-06</v>
      </c>
      <c r="H897" s="193">
        <f t="shared" si="109"/>
        <v>44730</v>
      </c>
      <c r="I897">
        <f t="shared" si="110"/>
        <v>24</v>
      </c>
    </row>
    <row r="898" spans="1:9" x14ac:dyDescent="0.3">
      <c r="A898">
        <f t="shared" si="104"/>
        <v>20220613</v>
      </c>
      <c r="B898" s="193">
        <v>44725</v>
      </c>
      <c r="C898" s="196" t="str">
        <f t="shared" si="111"/>
        <v>13 June 2022</v>
      </c>
      <c r="D898">
        <f t="shared" si="105"/>
        <v>6</v>
      </c>
      <c r="E898" t="str">
        <f t="shared" si="106"/>
        <v>June</v>
      </c>
      <c r="F898" s="128">
        <f t="shared" si="107"/>
        <v>2022</v>
      </c>
      <c r="G898" s="194" t="str">
        <f t="shared" si="108"/>
        <v>2022-06</v>
      </c>
      <c r="H898" s="193">
        <f t="shared" si="109"/>
        <v>44730</v>
      </c>
      <c r="I898">
        <f t="shared" si="110"/>
        <v>25</v>
      </c>
    </row>
    <row r="899" spans="1:9" x14ac:dyDescent="0.3">
      <c r="A899">
        <f t="shared" ref="A899:A962" si="112">YEAR(B899)*10000+MONTH(B899)*100+DAY(B899)</f>
        <v>20220614</v>
      </c>
      <c r="B899" s="193">
        <v>44726</v>
      </c>
      <c r="C899" s="196" t="str">
        <f t="shared" si="111"/>
        <v>14 June 2022</v>
      </c>
      <c r="D899">
        <f t="shared" ref="D899:D962" si="113">MONTH(B899)</f>
        <v>6</v>
      </c>
      <c r="E899" t="str">
        <f t="shared" ref="E899:E962" si="114">TEXT(B899,"MMMM")</f>
        <v>June</v>
      </c>
      <c r="F899" s="128">
        <f t="shared" ref="F899:F962" si="115">YEAR(B899)</f>
        <v>2022</v>
      </c>
      <c r="G899" s="194" t="str">
        <f t="shared" ref="G899:G962" si="116">TEXT(B899,"YYYY-MM")</f>
        <v>2022-06</v>
      </c>
      <c r="H899" s="193">
        <f t="shared" ref="H899:H962" si="117">B899-WEEKDAY(B899)+7</f>
        <v>44730</v>
      </c>
      <c r="I899">
        <f t="shared" ref="I899:I962" si="118">WEEKNUM(B899,2)</f>
        <v>25</v>
      </c>
    </row>
    <row r="900" spans="1:9" x14ac:dyDescent="0.3">
      <c r="A900">
        <f t="shared" si="112"/>
        <v>20220615</v>
      </c>
      <c r="B900" s="193">
        <v>44727</v>
      </c>
      <c r="C900" s="196" t="str">
        <f t="shared" ref="C900:C963" si="119">TEXT(B900,"dd MMMM YYYY")</f>
        <v>15 June 2022</v>
      </c>
      <c r="D900">
        <f t="shared" si="113"/>
        <v>6</v>
      </c>
      <c r="E900" t="str">
        <f t="shared" si="114"/>
        <v>June</v>
      </c>
      <c r="F900" s="128">
        <f t="shared" si="115"/>
        <v>2022</v>
      </c>
      <c r="G900" s="194" t="str">
        <f t="shared" si="116"/>
        <v>2022-06</v>
      </c>
      <c r="H900" s="193">
        <f t="shared" si="117"/>
        <v>44730</v>
      </c>
      <c r="I900">
        <f t="shared" si="118"/>
        <v>25</v>
      </c>
    </row>
    <row r="901" spans="1:9" x14ac:dyDescent="0.3">
      <c r="A901">
        <f t="shared" si="112"/>
        <v>20220616</v>
      </c>
      <c r="B901" s="193">
        <v>44728</v>
      </c>
      <c r="C901" s="196" t="str">
        <f t="shared" si="119"/>
        <v>16 June 2022</v>
      </c>
      <c r="D901">
        <f t="shared" si="113"/>
        <v>6</v>
      </c>
      <c r="E901" t="str">
        <f t="shared" si="114"/>
        <v>June</v>
      </c>
      <c r="F901" s="128">
        <f t="shared" si="115"/>
        <v>2022</v>
      </c>
      <c r="G901" s="194" t="str">
        <f t="shared" si="116"/>
        <v>2022-06</v>
      </c>
      <c r="H901" s="193">
        <f t="shared" si="117"/>
        <v>44730</v>
      </c>
      <c r="I901">
        <f t="shared" si="118"/>
        <v>25</v>
      </c>
    </row>
    <row r="902" spans="1:9" x14ac:dyDescent="0.3">
      <c r="A902">
        <f t="shared" si="112"/>
        <v>20220617</v>
      </c>
      <c r="B902" s="193">
        <v>44729</v>
      </c>
      <c r="C902" s="196" t="str">
        <f t="shared" si="119"/>
        <v>17 June 2022</v>
      </c>
      <c r="D902">
        <f t="shared" si="113"/>
        <v>6</v>
      </c>
      <c r="E902" t="str">
        <f t="shared" si="114"/>
        <v>June</v>
      </c>
      <c r="F902" s="128">
        <f t="shared" si="115"/>
        <v>2022</v>
      </c>
      <c r="G902" s="194" t="str">
        <f t="shared" si="116"/>
        <v>2022-06</v>
      </c>
      <c r="H902" s="193">
        <f t="shared" si="117"/>
        <v>44730</v>
      </c>
      <c r="I902">
        <f t="shared" si="118"/>
        <v>25</v>
      </c>
    </row>
    <row r="903" spans="1:9" x14ac:dyDescent="0.3">
      <c r="A903">
        <f t="shared" si="112"/>
        <v>20220618</v>
      </c>
      <c r="B903" s="193">
        <v>44730</v>
      </c>
      <c r="C903" s="196" t="str">
        <f t="shared" si="119"/>
        <v>18 June 2022</v>
      </c>
      <c r="D903">
        <f t="shared" si="113"/>
        <v>6</v>
      </c>
      <c r="E903" t="str">
        <f t="shared" si="114"/>
        <v>June</v>
      </c>
      <c r="F903" s="128">
        <f t="shared" si="115"/>
        <v>2022</v>
      </c>
      <c r="G903" s="194" t="str">
        <f t="shared" si="116"/>
        <v>2022-06</v>
      </c>
      <c r="H903" s="193">
        <f t="shared" si="117"/>
        <v>44730</v>
      </c>
      <c r="I903">
        <f t="shared" si="118"/>
        <v>25</v>
      </c>
    </row>
    <row r="904" spans="1:9" x14ac:dyDescent="0.3">
      <c r="A904">
        <f t="shared" si="112"/>
        <v>20220619</v>
      </c>
      <c r="B904" s="193">
        <v>44731</v>
      </c>
      <c r="C904" s="196" t="str">
        <f t="shared" si="119"/>
        <v>19 June 2022</v>
      </c>
      <c r="D904">
        <f t="shared" si="113"/>
        <v>6</v>
      </c>
      <c r="E904" t="str">
        <f t="shared" si="114"/>
        <v>June</v>
      </c>
      <c r="F904" s="128">
        <f t="shared" si="115"/>
        <v>2022</v>
      </c>
      <c r="G904" s="194" t="str">
        <f t="shared" si="116"/>
        <v>2022-06</v>
      </c>
      <c r="H904" s="193">
        <f t="shared" si="117"/>
        <v>44737</v>
      </c>
      <c r="I904">
        <f t="shared" si="118"/>
        <v>25</v>
      </c>
    </row>
    <row r="905" spans="1:9" x14ac:dyDescent="0.3">
      <c r="A905">
        <f t="shared" si="112"/>
        <v>20220620</v>
      </c>
      <c r="B905" s="193">
        <v>44732</v>
      </c>
      <c r="C905" s="196" t="str">
        <f t="shared" si="119"/>
        <v>20 June 2022</v>
      </c>
      <c r="D905">
        <f t="shared" si="113"/>
        <v>6</v>
      </c>
      <c r="E905" t="str">
        <f t="shared" si="114"/>
        <v>June</v>
      </c>
      <c r="F905" s="128">
        <f t="shared" si="115"/>
        <v>2022</v>
      </c>
      <c r="G905" s="194" t="str">
        <f t="shared" si="116"/>
        <v>2022-06</v>
      </c>
      <c r="H905" s="193">
        <f t="shared" si="117"/>
        <v>44737</v>
      </c>
      <c r="I905">
        <f t="shared" si="118"/>
        <v>26</v>
      </c>
    </row>
    <row r="906" spans="1:9" x14ac:dyDescent="0.3">
      <c r="A906">
        <f t="shared" si="112"/>
        <v>20220621</v>
      </c>
      <c r="B906" s="193">
        <v>44733</v>
      </c>
      <c r="C906" s="196" t="str">
        <f t="shared" si="119"/>
        <v>21 June 2022</v>
      </c>
      <c r="D906">
        <f t="shared" si="113"/>
        <v>6</v>
      </c>
      <c r="E906" t="str">
        <f t="shared" si="114"/>
        <v>June</v>
      </c>
      <c r="F906" s="128">
        <f t="shared" si="115"/>
        <v>2022</v>
      </c>
      <c r="G906" s="194" t="str">
        <f t="shared" si="116"/>
        <v>2022-06</v>
      </c>
      <c r="H906" s="193">
        <f t="shared" si="117"/>
        <v>44737</v>
      </c>
      <c r="I906">
        <f t="shared" si="118"/>
        <v>26</v>
      </c>
    </row>
    <row r="907" spans="1:9" x14ac:dyDescent="0.3">
      <c r="A907">
        <f t="shared" si="112"/>
        <v>20220622</v>
      </c>
      <c r="B907" s="193">
        <v>44734</v>
      </c>
      <c r="C907" s="196" t="str">
        <f t="shared" si="119"/>
        <v>22 June 2022</v>
      </c>
      <c r="D907">
        <f t="shared" si="113"/>
        <v>6</v>
      </c>
      <c r="E907" t="str">
        <f t="shared" si="114"/>
        <v>June</v>
      </c>
      <c r="F907" s="128">
        <f t="shared" si="115"/>
        <v>2022</v>
      </c>
      <c r="G907" s="194" t="str">
        <f t="shared" si="116"/>
        <v>2022-06</v>
      </c>
      <c r="H907" s="193">
        <f t="shared" si="117"/>
        <v>44737</v>
      </c>
      <c r="I907">
        <f t="shared" si="118"/>
        <v>26</v>
      </c>
    </row>
    <row r="908" spans="1:9" x14ac:dyDescent="0.3">
      <c r="A908">
        <f t="shared" si="112"/>
        <v>20220623</v>
      </c>
      <c r="B908" s="193">
        <v>44735</v>
      </c>
      <c r="C908" s="196" t="str">
        <f t="shared" si="119"/>
        <v>23 June 2022</v>
      </c>
      <c r="D908">
        <f t="shared" si="113"/>
        <v>6</v>
      </c>
      <c r="E908" t="str">
        <f t="shared" si="114"/>
        <v>June</v>
      </c>
      <c r="F908" s="128">
        <f t="shared" si="115"/>
        <v>2022</v>
      </c>
      <c r="G908" s="194" t="str">
        <f t="shared" si="116"/>
        <v>2022-06</v>
      </c>
      <c r="H908" s="193">
        <f t="shared" si="117"/>
        <v>44737</v>
      </c>
      <c r="I908">
        <f t="shared" si="118"/>
        <v>26</v>
      </c>
    </row>
    <row r="909" spans="1:9" x14ac:dyDescent="0.3">
      <c r="A909">
        <f t="shared" si="112"/>
        <v>20220624</v>
      </c>
      <c r="B909" s="193">
        <v>44736</v>
      </c>
      <c r="C909" s="196" t="str">
        <f t="shared" si="119"/>
        <v>24 June 2022</v>
      </c>
      <c r="D909">
        <f t="shared" si="113"/>
        <v>6</v>
      </c>
      <c r="E909" t="str">
        <f t="shared" si="114"/>
        <v>June</v>
      </c>
      <c r="F909" s="128">
        <f t="shared" si="115"/>
        <v>2022</v>
      </c>
      <c r="G909" s="194" t="str">
        <f t="shared" si="116"/>
        <v>2022-06</v>
      </c>
      <c r="H909" s="193">
        <f t="shared" si="117"/>
        <v>44737</v>
      </c>
      <c r="I909">
        <f t="shared" si="118"/>
        <v>26</v>
      </c>
    </row>
    <row r="910" spans="1:9" x14ac:dyDescent="0.3">
      <c r="A910">
        <f t="shared" si="112"/>
        <v>20220625</v>
      </c>
      <c r="B910" s="193">
        <v>44737</v>
      </c>
      <c r="C910" s="196" t="str">
        <f t="shared" si="119"/>
        <v>25 June 2022</v>
      </c>
      <c r="D910">
        <f t="shared" si="113"/>
        <v>6</v>
      </c>
      <c r="E910" t="str">
        <f t="shared" si="114"/>
        <v>June</v>
      </c>
      <c r="F910" s="128">
        <f t="shared" si="115"/>
        <v>2022</v>
      </c>
      <c r="G910" s="194" t="str">
        <f t="shared" si="116"/>
        <v>2022-06</v>
      </c>
      <c r="H910" s="193">
        <f t="shared" si="117"/>
        <v>44737</v>
      </c>
      <c r="I910">
        <f t="shared" si="118"/>
        <v>26</v>
      </c>
    </row>
    <row r="911" spans="1:9" x14ac:dyDescent="0.3">
      <c r="A911">
        <f t="shared" si="112"/>
        <v>20220626</v>
      </c>
      <c r="B911" s="193">
        <v>44738</v>
      </c>
      <c r="C911" s="196" t="str">
        <f t="shared" si="119"/>
        <v>26 June 2022</v>
      </c>
      <c r="D911">
        <f t="shared" si="113"/>
        <v>6</v>
      </c>
      <c r="E911" t="str">
        <f t="shared" si="114"/>
        <v>June</v>
      </c>
      <c r="F911" s="128">
        <f t="shared" si="115"/>
        <v>2022</v>
      </c>
      <c r="G911" s="194" t="str">
        <f t="shared" si="116"/>
        <v>2022-06</v>
      </c>
      <c r="H911" s="193">
        <f t="shared" si="117"/>
        <v>44744</v>
      </c>
      <c r="I911">
        <f t="shared" si="118"/>
        <v>26</v>
      </c>
    </row>
    <row r="912" spans="1:9" x14ac:dyDescent="0.3">
      <c r="A912">
        <f t="shared" si="112"/>
        <v>20220627</v>
      </c>
      <c r="B912" s="193">
        <v>44739</v>
      </c>
      <c r="C912" s="196" t="str">
        <f t="shared" si="119"/>
        <v>27 June 2022</v>
      </c>
      <c r="D912">
        <f t="shared" si="113"/>
        <v>6</v>
      </c>
      <c r="E912" t="str">
        <f t="shared" si="114"/>
        <v>June</v>
      </c>
      <c r="F912" s="128">
        <f t="shared" si="115"/>
        <v>2022</v>
      </c>
      <c r="G912" s="194" t="str">
        <f t="shared" si="116"/>
        <v>2022-06</v>
      </c>
      <c r="H912" s="193">
        <f t="shared" si="117"/>
        <v>44744</v>
      </c>
      <c r="I912">
        <f t="shared" si="118"/>
        <v>27</v>
      </c>
    </row>
    <row r="913" spans="1:9" x14ac:dyDescent="0.3">
      <c r="A913">
        <f t="shared" si="112"/>
        <v>20220628</v>
      </c>
      <c r="B913" s="193">
        <v>44740</v>
      </c>
      <c r="C913" s="196" t="str">
        <f t="shared" si="119"/>
        <v>28 June 2022</v>
      </c>
      <c r="D913">
        <f t="shared" si="113"/>
        <v>6</v>
      </c>
      <c r="E913" t="str">
        <f t="shared" si="114"/>
        <v>June</v>
      </c>
      <c r="F913" s="128">
        <f t="shared" si="115"/>
        <v>2022</v>
      </c>
      <c r="G913" s="194" t="str">
        <f t="shared" si="116"/>
        <v>2022-06</v>
      </c>
      <c r="H913" s="193">
        <f t="shared" si="117"/>
        <v>44744</v>
      </c>
      <c r="I913">
        <f t="shared" si="118"/>
        <v>27</v>
      </c>
    </row>
    <row r="914" spans="1:9" x14ac:dyDescent="0.3">
      <c r="A914">
        <f t="shared" si="112"/>
        <v>20220629</v>
      </c>
      <c r="B914" s="193">
        <v>44741</v>
      </c>
      <c r="C914" s="196" t="str">
        <f t="shared" si="119"/>
        <v>29 June 2022</v>
      </c>
      <c r="D914">
        <f t="shared" si="113"/>
        <v>6</v>
      </c>
      <c r="E914" t="str">
        <f t="shared" si="114"/>
        <v>June</v>
      </c>
      <c r="F914" s="128">
        <f t="shared" si="115"/>
        <v>2022</v>
      </c>
      <c r="G914" s="194" t="str">
        <f t="shared" si="116"/>
        <v>2022-06</v>
      </c>
      <c r="H914" s="193">
        <f t="shared" si="117"/>
        <v>44744</v>
      </c>
      <c r="I914">
        <f t="shared" si="118"/>
        <v>27</v>
      </c>
    </row>
    <row r="915" spans="1:9" x14ac:dyDescent="0.3">
      <c r="A915">
        <f t="shared" si="112"/>
        <v>20220630</v>
      </c>
      <c r="B915" s="193">
        <v>44742</v>
      </c>
      <c r="C915" s="196" t="str">
        <f t="shared" si="119"/>
        <v>30 June 2022</v>
      </c>
      <c r="D915">
        <f t="shared" si="113"/>
        <v>6</v>
      </c>
      <c r="E915" t="str">
        <f t="shared" si="114"/>
        <v>June</v>
      </c>
      <c r="F915" s="128">
        <f t="shared" si="115"/>
        <v>2022</v>
      </c>
      <c r="G915" s="194" t="str">
        <f t="shared" si="116"/>
        <v>2022-06</v>
      </c>
      <c r="H915" s="193">
        <f t="shared" si="117"/>
        <v>44744</v>
      </c>
      <c r="I915">
        <f t="shared" si="118"/>
        <v>27</v>
      </c>
    </row>
    <row r="916" spans="1:9" x14ac:dyDescent="0.3">
      <c r="A916">
        <f t="shared" si="112"/>
        <v>20220701</v>
      </c>
      <c r="B916" s="193">
        <v>44743</v>
      </c>
      <c r="C916" s="196" t="str">
        <f t="shared" si="119"/>
        <v>01 July 2022</v>
      </c>
      <c r="D916">
        <f t="shared" si="113"/>
        <v>7</v>
      </c>
      <c r="E916" t="str">
        <f t="shared" si="114"/>
        <v>July</v>
      </c>
      <c r="F916" s="128">
        <f t="shared" si="115"/>
        <v>2022</v>
      </c>
      <c r="G916" s="194" t="str">
        <f t="shared" si="116"/>
        <v>2022-07</v>
      </c>
      <c r="H916" s="193">
        <f t="shared" si="117"/>
        <v>44744</v>
      </c>
      <c r="I916">
        <f t="shared" si="118"/>
        <v>27</v>
      </c>
    </row>
    <row r="917" spans="1:9" x14ac:dyDescent="0.3">
      <c r="A917">
        <f t="shared" si="112"/>
        <v>20220702</v>
      </c>
      <c r="B917" s="193">
        <v>44744</v>
      </c>
      <c r="C917" s="196" t="str">
        <f t="shared" si="119"/>
        <v>02 July 2022</v>
      </c>
      <c r="D917">
        <f t="shared" si="113"/>
        <v>7</v>
      </c>
      <c r="E917" t="str">
        <f t="shared" si="114"/>
        <v>July</v>
      </c>
      <c r="F917" s="128">
        <f t="shared" si="115"/>
        <v>2022</v>
      </c>
      <c r="G917" s="194" t="str">
        <f t="shared" si="116"/>
        <v>2022-07</v>
      </c>
      <c r="H917" s="193">
        <f t="shared" si="117"/>
        <v>44744</v>
      </c>
      <c r="I917">
        <f t="shared" si="118"/>
        <v>27</v>
      </c>
    </row>
    <row r="918" spans="1:9" x14ac:dyDescent="0.3">
      <c r="A918">
        <f t="shared" si="112"/>
        <v>20220703</v>
      </c>
      <c r="B918" s="193">
        <v>44745</v>
      </c>
      <c r="C918" s="196" t="str">
        <f t="shared" si="119"/>
        <v>03 July 2022</v>
      </c>
      <c r="D918">
        <f t="shared" si="113"/>
        <v>7</v>
      </c>
      <c r="E918" t="str">
        <f t="shared" si="114"/>
        <v>July</v>
      </c>
      <c r="F918" s="128">
        <f t="shared" si="115"/>
        <v>2022</v>
      </c>
      <c r="G918" s="194" t="str">
        <f t="shared" si="116"/>
        <v>2022-07</v>
      </c>
      <c r="H918" s="193">
        <f t="shared" si="117"/>
        <v>44751</v>
      </c>
      <c r="I918">
        <f t="shared" si="118"/>
        <v>27</v>
      </c>
    </row>
    <row r="919" spans="1:9" x14ac:dyDescent="0.3">
      <c r="A919">
        <f t="shared" si="112"/>
        <v>20220704</v>
      </c>
      <c r="B919" s="193">
        <v>44746</v>
      </c>
      <c r="C919" s="196" t="str">
        <f t="shared" si="119"/>
        <v>04 July 2022</v>
      </c>
      <c r="D919">
        <f t="shared" si="113"/>
        <v>7</v>
      </c>
      <c r="E919" t="str">
        <f t="shared" si="114"/>
        <v>July</v>
      </c>
      <c r="F919" s="128">
        <f t="shared" si="115"/>
        <v>2022</v>
      </c>
      <c r="G919" s="194" t="str">
        <f t="shared" si="116"/>
        <v>2022-07</v>
      </c>
      <c r="H919" s="193">
        <f t="shared" si="117"/>
        <v>44751</v>
      </c>
      <c r="I919">
        <f t="shared" si="118"/>
        <v>28</v>
      </c>
    </row>
    <row r="920" spans="1:9" x14ac:dyDescent="0.3">
      <c r="A920">
        <f t="shared" si="112"/>
        <v>20220705</v>
      </c>
      <c r="B920" s="193">
        <v>44747</v>
      </c>
      <c r="C920" s="196" t="str">
        <f t="shared" si="119"/>
        <v>05 July 2022</v>
      </c>
      <c r="D920">
        <f t="shared" si="113"/>
        <v>7</v>
      </c>
      <c r="E920" t="str">
        <f t="shared" si="114"/>
        <v>July</v>
      </c>
      <c r="F920" s="128">
        <f t="shared" si="115"/>
        <v>2022</v>
      </c>
      <c r="G920" s="194" t="str">
        <f t="shared" si="116"/>
        <v>2022-07</v>
      </c>
      <c r="H920" s="193">
        <f t="shared" si="117"/>
        <v>44751</v>
      </c>
      <c r="I920">
        <f t="shared" si="118"/>
        <v>28</v>
      </c>
    </row>
    <row r="921" spans="1:9" x14ac:dyDescent="0.3">
      <c r="A921">
        <f t="shared" si="112"/>
        <v>20220706</v>
      </c>
      <c r="B921" s="193">
        <v>44748</v>
      </c>
      <c r="C921" s="196" t="str">
        <f t="shared" si="119"/>
        <v>06 July 2022</v>
      </c>
      <c r="D921">
        <f t="shared" si="113"/>
        <v>7</v>
      </c>
      <c r="E921" t="str">
        <f t="shared" si="114"/>
        <v>July</v>
      </c>
      <c r="F921" s="128">
        <f t="shared" si="115"/>
        <v>2022</v>
      </c>
      <c r="G921" s="194" t="str">
        <f t="shared" si="116"/>
        <v>2022-07</v>
      </c>
      <c r="H921" s="193">
        <f t="shared" si="117"/>
        <v>44751</v>
      </c>
      <c r="I921">
        <f t="shared" si="118"/>
        <v>28</v>
      </c>
    </row>
    <row r="922" spans="1:9" x14ac:dyDescent="0.3">
      <c r="A922">
        <f t="shared" si="112"/>
        <v>20220707</v>
      </c>
      <c r="B922" s="193">
        <v>44749</v>
      </c>
      <c r="C922" s="196" t="str">
        <f t="shared" si="119"/>
        <v>07 July 2022</v>
      </c>
      <c r="D922">
        <f t="shared" si="113"/>
        <v>7</v>
      </c>
      <c r="E922" t="str">
        <f t="shared" si="114"/>
        <v>July</v>
      </c>
      <c r="F922" s="128">
        <f t="shared" si="115"/>
        <v>2022</v>
      </c>
      <c r="G922" s="194" t="str">
        <f t="shared" si="116"/>
        <v>2022-07</v>
      </c>
      <c r="H922" s="193">
        <f t="shared" si="117"/>
        <v>44751</v>
      </c>
      <c r="I922">
        <f t="shared" si="118"/>
        <v>28</v>
      </c>
    </row>
    <row r="923" spans="1:9" x14ac:dyDescent="0.3">
      <c r="A923">
        <f t="shared" si="112"/>
        <v>20220708</v>
      </c>
      <c r="B923" s="193">
        <v>44750</v>
      </c>
      <c r="C923" s="196" t="str">
        <f t="shared" si="119"/>
        <v>08 July 2022</v>
      </c>
      <c r="D923">
        <f t="shared" si="113"/>
        <v>7</v>
      </c>
      <c r="E923" t="str">
        <f t="shared" si="114"/>
        <v>July</v>
      </c>
      <c r="F923" s="128">
        <f t="shared" si="115"/>
        <v>2022</v>
      </c>
      <c r="G923" s="194" t="str">
        <f t="shared" si="116"/>
        <v>2022-07</v>
      </c>
      <c r="H923" s="193">
        <f t="shared" si="117"/>
        <v>44751</v>
      </c>
      <c r="I923">
        <f t="shared" si="118"/>
        <v>28</v>
      </c>
    </row>
    <row r="924" spans="1:9" x14ac:dyDescent="0.3">
      <c r="A924">
        <f t="shared" si="112"/>
        <v>20220709</v>
      </c>
      <c r="B924" s="193">
        <v>44751</v>
      </c>
      <c r="C924" s="196" t="str">
        <f t="shared" si="119"/>
        <v>09 July 2022</v>
      </c>
      <c r="D924">
        <f t="shared" si="113"/>
        <v>7</v>
      </c>
      <c r="E924" t="str">
        <f t="shared" si="114"/>
        <v>July</v>
      </c>
      <c r="F924" s="128">
        <f t="shared" si="115"/>
        <v>2022</v>
      </c>
      <c r="G924" s="194" t="str">
        <f t="shared" si="116"/>
        <v>2022-07</v>
      </c>
      <c r="H924" s="193">
        <f t="shared" si="117"/>
        <v>44751</v>
      </c>
      <c r="I924">
        <f t="shared" si="118"/>
        <v>28</v>
      </c>
    </row>
    <row r="925" spans="1:9" x14ac:dyDescent="0.3">
      <c r="A925">
        <f t="shared" si="112"/>
        <v>20220710</v>
      </c>
      <c r="B925" s="193">
        <v>44752</v>
      </c>
      <c r="C925" s="196" t="str">
        <f t="shared" si="119"/>
        <v>10 July 2022</v>
      </c>
      <c r="D925">
        <f t="shared" si="113"/>
        <v>7</v>
      </c>
      <c r="E925" t="str">
        <f t="shared" si="114"/>
        <v>July</v>
      </c>
      <c r="F925" s="128">
        <f t="shared" si="115"/>
        <v>2022</v>
      </c>
      <c r="G925" s="194" t="str">
        <f t="shared" si="116"/>
        <v>2022-07</v>
      </c>
      <c r="H925" s="193">
        <f t="shared" si="117"/>
        <v>44758</v>
      </c>
      <c r="I925">
        <f t="shared" si="118"/>
        <v>28</v>
      </c>
    </row>
    <row r="926" spans="1:9" x14ac:dyDescent="0.3">
      <c r="A926">
        <f t="shared" si="112"/>
        <v>20220711</v>
      </c>
      <c r="B926" s="193">
        <v>44753</v>
      </c>
      <c r="C926" s="196" t="str">
        <f t="shared" si="119"/>
        <v>11 July 2022</v>
      </c>
      <c r="D926">
        <f t="shared" si="113"/>
        <v>7</v>
      </c>
      <c r="E926" t="str">
        <f t="shared" si="114"/>
        <v>July</v>
      </c>
      <c r="F926" s="128">
        <f t="shared" si="115"/>
        <v>2022</v>
      </c>
      <c r="G926" s="194" t="str">
        <f t="shared" si="116"/>
        <v>2022-07</v>
      </c>
      <c r="H926" s="193">
        <f t="shared" si="117"/>
        <v>44758</v>
      </c>
      <c r="I926">
        <f t="shared" si="118"/>
        <v>29</v>
      </c>
    </row>
    <row r="927" spans="1:9" x14ac:dyDescent="0.3">
      <c r="A927">
        <f t="shared" si="112"/>
        <v>20220712</v>
      </c>
      <c r="B927" s="193">
        <v>44754</v>
      </c>
      <c r="C927" s="196" t="str">
        <f t="shared" si="119"/>
        <v>12 July 2022</v>
      </c>
      <c r="D927">
        <f t="shared" si="113"/>
        <v>7</v>
      </c>
      <c r="E927" t="str">
        <f t="shared" si="114"/>
        <v>July</v>
      </c>
      <c r="F927" s="128">
        <f t="shared" si="115"/>
        <v>2022</v>
      </c>
      <c r="G927" s="194" t="str">
        <f t="shared" si="116"/>
        <v>2022-07</v>
      </c>
      <c r="H927" s="193">
        <f t="shared" si="117"/>
        <v>44758</v>
      </c>
      <c r="I927">
        <f t="shared" si="118"/>
        <v>29</v>
      </c>
    </row>
    <row r="928" spans="1:9" x14ac:dyDescent="0.3">
      <c r="A928">
        <f t="shared" si="112"/>
        <v>20220713</v>
      </c>
      <c r="B928" s="193">
        <v>44755</v>
      </c>
      <c r="C928" s="196" t="str">
        <f t="shared" si="119"/>
        <v>13 July 2022</v>
      </c>
      <c r="D928">
        <f t="shared" si="113"/>
        <v>7</v>
      </c>
      <c r="E928" t="str">
        <f t="shared" si="114"/>
        <v>July</v>
      </c>
      <c r="F928" s="128">
        <f t="shared" si="115"/>
        <v>2022</v>
      </c>
      <c r="G928" s="194" t="str">
        <f t="shared" si="116"/>
        <v>2022-07</v>
      </c>
      <c r="H928" s="193">
        <f t="shared" si="117"/>
        <v>44758</v>
      </c>
      <c r="I928">
        <f t="shared" si="118"/>
        <v>29</v>
      </c>
    </row>
    <row r="929" spans="1:9" x14ac:dyDescent="0.3">
      <c r="A929">
        <f t="shared" si="112"/>
        <v>20220714</v>
      </c>
      <c r="B929" s="193">
        <v>44756</v>
      </c>
      <c r="C929" s="196" t="str">
        <f t="shared" si="119"/>
        <v>14 July 2022</v>
      </c>
      <c r="D929">
        <f t="shared" si="113"/>
        <v>7</v>
      </c>
      <c r="E929" t="str">
        <f t="shared" si="114"/>
        <v>July</v>
      </c>
      <c r="F929" s="128">
        <f t="shared" si="115"/>
        <v>2022</v>
      </c>
      <c r="G929" s="194" t="str">
        <f t="shared" si="116"/>
        <v>2022-07</v>
      </c>
      <c r="H929" s="193">
        <f t="shared" si="117"/>
        <v>44758</v>
      </c>
      <c r="I929">
        <f t="shared" si="118"/>
        <v>29</v>
      </c>
    </row>
    <row r="930" spans="1:9" x14ac:dyDescent="0.3">
      <c r="A930">
        <f t="shared" si="112"/>
        <v>20220715</v>
      </c>
      <c r="B930" s="193">
        <v>44757</v>
      </c>
      <c r="C930" s="196" t="str">
        <f t="shared" si="119"/>
        <v>15 July 2022</v>
      </c>
      <c r="D930">
        <f t="shared" si="113"/>
        <v>7</v>
      </c>
      <c r="E930" t="str">
        <f t="shared" si="114"/>
        <v>July</v>
      </c>
      <c r="F930" s="128">
        <f t="shared" si="115"/>
        <v>2022</v>
      </c>
      <c r="G930" s="194" t="str">
        <f t="shared" si="116"/>
        <v>2022-07</v>
      </c>
      <c r="H930" s="193">
        <f t="shared" si="117"/>
        <v>44758</v>
      </c>
      <c r="I930">
        <f t="shared" si="118"/>
        <v>29</v>
      </c>
    </row>
    <row r="931" spans="1:9" x14ac:dyDescent="0.3">
      <c r="A931">
        <f t="shared" si="112"/>
        <v>20220716</v>
      </c>
      <c r="B931" s="193">
        <v>44758</v>
      </c>
      <c r="C931" s="196" t="str">
        <f t="shared" si="119"/>
        <v>16 July 2022</v>
      </c>
      <c r="D931">
        <f t="shared" si="113"/>
        <v>7</v>
      </c>
      <c r="E931" t="str">
        <f t="shared" si="114"/>
        <v>July</v>
      </c>
      <c r="F931" s="128">
        <f t="shared" si="115"/>
        <v>2022</v>
      </c>
      <c r="G931" s="194" t="str">
        <f t="shared" si="116"/>
        <v>2022-07</v>
      </c>
      <c r="H931" s="193">
        <f t="shared" si="117"/>
        <v>44758</v>
      </c>
      <c r="I931">
        <f t="shared" si="118"/>
        <v>29</v>
      </c>
    </row>
    <row r="932" spans="1:9" x14ac:dyDescent="0.3">
      <c r="A932">
        <f t="shared" si="112"/>
        <v>20220717</v>
      </c>
      <c r="B932" s="193">
        <v>44759</v>
      </c>
      <c r="C932" s="196" t="str">
        <f t="shared" si="119"/>
        <v>17 July 2022</v>
      </c>
      <c r="D932">
        <f t="shared" si="113"/>
        <v>7</v>
      </c>
      <c r="E932" t="str">
        <f t="shared" si="114"/>
        <v>July</v>
      </c>
      <c r="F932" s="128">
        <f t="shared" si="115"/>
        <v>2022</v>
      </c>
      <c r="G932" s="194" t="str">
        <f t="shared" si="116"/>
        <v>2022-07</v>
      </c>
      <c r="H932" s="193">
        <f t="shared" si="117"/>
        <v>44765</v>
      </c>
      <c r="I932">
        <f t="shared" si="118"/>
        <v>29</v>
      </c>
    </row>
    <row r="933" spans="1:9" x14ac:dyDescent="0.3">
      <c r="A933">
        <f t="shared" si="112"/>
        <v>20220718</v>
      </c>
      <c r="B933" s="193">
        <v>44760</v>
      </c>
      <c r="C933" s="196" t="str">
        <f t="shared" si="119"/>
        <v>18 July 2022</v>
      </c>
      <c r="D933">
        <f t="shared" si="113"/>
        <v>7</v>
      </c>
      <c r="E933" t="str">
        <f t="shared" si="114"/>
        <v>July</v>
      </c>
      <c r="F933" s="128">
        <f t="shared" si="115"/>
        <v>2022</v>
      </c>
      <c r="G933" s="194" t="str">
        <f t="shared" si="116"/>
        <v>2022-07</v>
      </c>
      <c r="H933" s="193">
        <f t="shared" si="117"/>
        <v>44765</v>
      </c>
      <c r="I933">
        <f t="shared" si="118"/>
        <v>30</v>
      </c>
    </row>
    <row r="934" spans="1:9" x14ac:dyDescent="0.3">
      <c r="A934">
        <f t="shared" si="112"/>
        <v>20220719</v>
      </c>
      <c r="B934" s="193">
        <v>44761</v>
      </c>
      <c r="C934" s="196" t="str">
        <f t="shared" si="119"/>
        <v>19 July 2022</v>
      </c>
      <c r="D934">
        <f t="shared" si="113"/>
        <v>7</v>
      </c>
      <c r="E934" t="str">
        <f t="shared" si="114"/>
        <v>July</v>
      </c>
      <c r="F934" s="128">
        <f t="shared" si="115"/>
        <v>2022</v>
      </c>
      <c r="G934" s="194" t="str">
        <f t="shared" si="116"/>
        <v>2022-07</v>
      </c>
      <c r="H934" s="193">
        <f t="shared" si="117"/>
        <v>44765</v>
      </c>
      <c r="I934">
        <f t="shared" si="118"/>
        <v>30</v>
      </c>
    </row>
    <row r="935" spans="1:9" x14ac:dyDescent="0.3">
      <c r="A935">
        <f t="shared" si="112"/>
        <v>20220720</v>
      </c>
      <c r="B935" s="193">
        <v>44762</v>
      </c>
      <c r="C935" s="196" t="str">
        <f t="shared" si="119"/>
        <v>20 July 2022</v>
      </c>
      <c r="D935">
        <f t="shared" si="113"/>
        <v>7</v>
      </c>
      <c r="E935" t="str">
        <f t="shared" si="114"/>
        <v>July</v>
      </c>
      <c r="F935" s="128">
        <f t="shared" si="115"/>
        <v>2022</v>
      </c>
      <c r="G935" s="194" t="str">
        <f t="shared" si="116"/>
        <v>2022-07</v>
      </c>
      <c r="H935" s="193">
        <f t="shared" si="117"/>
        <v>44765</v>
      </c>
      <c r="I935">
        <f t="shared" si="118"/>
        <v>30</v>
      </c>
    </row>
    <row r="936" spans="1:9" x14ac:dyDescent="0.3">
      <c r="A936">
        <f t="shared" si="112"/>
        <v>20220721</v>
      </c>
      <c r="B936" s="193">
        <v>44763</v>
      </c>
      <c r="C936" s="196" t="str">
        <f t="shared" si="119"/>
        <v>21 July 2022</v>
      </c>
      <c r="D936">
        <f t="shared" si="113"/>
        <v>7</v>
      </c>
      <c r="E936" t="str">
        <f t="shared" si="114"/>
        <v>July</v>
      </c>
      <c r="F936" s="128">
        <f t="shared" si="115"/>
        <v>2022</v>
      </c>
      <c r="G936" s="194" t="str">
        <f t="shared" si="116"/>
        <v>2022-07</v>
      </c>
      <c r="H936" s="193">
        <f t="shared" si="117"/>
        <v>44765</v>
      </c>
      <c r="I936">
        <f t="shared" si="118"/>
        <v>30</v>
      </c>
    </row>
    <row r="937" spans="1:9" x14ac:dyDescent="0.3">
      <c r="A937">
        <f t="shared" si="112"/>
        <v>20220722</v>
      </c>
      <c r="B937" s="193">
        <v>44764</v>
      </c>
      <c r="C937" s="196" t="str">
        <f t="shared" si="119"/>
        <v>22 July 2022</v>
      </c>
      <c r="D937">
        <f t="shared" si="113"/>
        <v>7</v>
      </c>
      <c r="E937" t="str">
        <f t="shared" si="114"/>
        <v>July</v>
      </c>
      <c r="F937" s="128">
        <f t="shared" si="115"/>
        <v>2022</v>
      </c>
      <c r="G937" s="194" t="str">
        <f t="shared" si="116"/>
        <v>2022-07</v>
      </c>
      <c r="H937" s="193">
        <f t="shared" si="117"/>
        <v>44765</v>
      </c>
      <c r="I937">
        <f t="shared" si="118"/>
        <v>30</v>
      </c>
    </row>
    <row r="938" spans="1:9" x14ac:dyDescent="0.3">
      <c r="A938">
        <f t="shared" si="112"/>
        <v>20220723</v>
      </c>
      <c r="B938" s="193">
        <v>44765</v>
      </c>
      <c r="C938" s="196" t="str">
        <f t="shared" si="119"/>
        <v>23 July 2022</v>
      </c>
      <c r="D938">
        <f t="shared" si="113"/>
        <v>7</v>
      </c>
      <c r="E938" t="str">
        <f t="shared" si="114"/>
        <v>July</v>
      </c>
      <c r="F938" s="128">
        <f t="shared" si="115"/>
        <v>2022</v>
      </c>
      <c r="G938" s="194" t="str">
        <f t="shared" si="116"/>
        <v>2022-07</v>
      </c>
      <c r="H938" s="193">
        <f t="shared" si="117"/>
        <v>44765</v>
      </c>
      <c r="I938">
        <f t="shared" si="118"/>
        <v>30</v>
      </c>
    </row>
    <row r="939" spans="1:9" x14ac:dyDescent="0.3">
      <c r="A939">
        <f t="shared" si="112"/>
        <v>20220724</v>
      </c>
      <c r="B939" s="193">
        <v>44766</v>
      </c>
      <c r="C939" s="196" t="str">
        <f t="shared" si="119"/>
        <v>24 July 2022</v>
      </c>
      <c r="D939">
        <f t="shared" si="113"/>
        <v>7</v>
      </c>
      <c r="E939" t="str">
        <f t="shared" si="114"/>
        <v>July</v>
      </c>
      <c r="F939" s="128">
        <f t="shared" si="115"/>
        <v>2022</v>
      </c>
      <c r="G939" s="194" t="str">
        <f t="shared" si="116"/>
        <v>2022-07</v>
      </c>
      <c r="H939" s="193">
        <f t="shared" si="117"/>
        <v>44772</v>
      </c>
      <c r="I939">
        <f t="shared" si="118"/>
        <v>30</v>
      </c>
    </row>
    <row r="940" spans="1:9" x14ac:dyDescent="0.3">
      <c r="A940">
        <f t="shared" si="112"/>
        <v>20220725</v>
      </c>
      <c r="B940" s="193">
        <v>44767</v>
      </c>
      <c r="C940" s="196" t="str">
        <f t="shared" si="119"/>
        <v>25 July 2022</v>
      </c>
      <c r="D940">
        <f t="shared" si="113"/>
        <v>7</v>
      </c>
      <c r="E940" t="str">
        <f t="shared" si="114"/>
        <v>July</v>
      </c>
      <c r="F940" s="128">
        <f t="shared" si="115"/>
        <v>2022</v>
      </c>
      <c r="G940" s="194" t="str">
        <f t="shared" si="116"/>
        <v>2022-07</v>
      </c>
      <c r="H940" s="193">
        <f t="shared" si="117"/>
        <v>44772</v>
      </c>
      <c r="I940">
        <f t="shared" si="118"/>
        <v>31</v>
      </c>
    </row>
    <row r="941" spans="1:9" x14ac:dyDescent="0.3">
      <c r="A941">
        <f t="shared" si="112"/>
        <v>20220726</v>
      </c>
      <c r="B941" s="193">
        <v>44768</v>
      </c>
      <c r="C941" s="196" t="str">
        <f t="shared" si="119"/>
        <v>26 July 2022</v>
      </c>
      <c r="D941">
        <f t="shared" si="113"/>
        <v>7</v>
      </c>
      <c r="E941" t="str">
        <f t="shared" si="114"/>
        <v>July</v>
      </c>
      <c r="F941" s="128">
        <f t="shared" si="115"/>
        <v>2022</v>
      </c>
      <c r="G941" s="194" t="str">
        <f t="shared" si="116"/>
        <v>2022-07</v>
      </c>
      <c r="H941" s="193">
        <f t="shared" si="117"/>
        <v>44772</v>
      </c>
      <c r="I941">
        <f t="shared" si="118"/>
        <v>31</v>
      </c>
    </row>
    <row r="942" spans="1:9" x14ac:dyDescent="0.3">
      <c r="A942">
        <f t="shared" si="112"/>
        <v>20220727</v>
      </c>
      <c r="B942" s="193">
        <v>44769</v>
      </c>
      <c r="C942" s="196" t="str">
        <f t="shared" si="119"/>
        <v>27 July 2022</v>
      </c>
      <c r="D942">
        <f t="shared" si="113"/>
        <v>7</v>
      </c>
      <c r="E942" t="str">
        <f t="shared" si="114"/>
        <v>July</v>
      </c>
      <c r="F942" s="128">
        <f t="shared" si="115"/>
        <v>2022</v>
      </c>
      <c r="G942" s="194" t="str">
        <f t="shared" si="116"/>
        <v>2022-07</v>
      </c>
      <c r="H942" s="193">
        <f t="shared" si="117"/>
        <v>44772</v>
      </c>
      <c r="I942">
        <f t="shared" si="118"/>
        <v>31</v>
      </c>
    </row>
    <row r="943" spans="1:9" x14ac:dyDescent="0.3">
      <c r="A943">
        <f t="shared" si="112"/>
        <v>20220728</v>
      </c>
      <c r="B943" s="193">
        <v>44770</v>
      </c>
      <c r="C943" s="196" t="str">
        <f t="shared" si="119"/>
        <v>28 July 2022</v>
      </c>
      <c r="D943">
        <f t="shared" si="113"/>
        <v>7</v>
      </c>
      <c r="E943" t="str">
        <f t="shared" si="114"/>
        <v>July</v>
      </c>
      <c r="F943" s="128">
        <f t="shared" si="115"/>
        <v>2022</v>
      </c>
      <c r="G943" s="194" t="str">
        <f t="shared" si="116"/>
        <v>2022-07</v>
      </c>
      <c r="H943" s="193">
        <f t="shared" si="117"/>
        <v>44772</v>
      </c>
      <c r="I943">
        <f t="shared" si="118"/>
        <v>31</v>
      </c>
    </row>
    <row r="944" spans="1:9" x14ac:dyDescent="0.3">
      <c r="A944">
        <f t="shared" si="112"/>
        <v>20220729</v>
      </c>
      <c r="B944" s="193">
        <v>44771</v>
      </c>
      <c r="C944" s="196" t="str">
        <f t="shared" si="119"/>
        <v>29 July 2022</v>
      </c>
      <c r="D944">
        <f t="shared" si="113"/>
        <v>7</v>
      </c>
      <c r="E944" t="str">
        <f t="shared" si="114"/>
        <v>July</v>
      </c>
      <c r="F944" s="128">
        <f t="shared" si="115"/>
        <v>2022</v>
      </c>
      <c r="G944" s="194" t="str">
        <f t="shared" si="116"/>
        <v>2022-07</v>
      </c>
      <c r="H944" s="193">
        <f t="shared" si="117"/>
        <v>44772</v>
      </c>
      <c r="I944">
        <f t="shared" si="118"/>
        <v>31</v>
      </c>
    </row>
    <row r="945" spans="1:9" x14ac:dyDescent="0.3">
      <c r="A945">
        <f t="shared" si="112"/>
        <v>20220730</v>
      </c>
      <c r="B945" s="193">
        <v>44772</v>
      </c>
      <c r="C945" s="196" t="str">
        <f t="shared" si="119"/>
        <v>30 July 2022</v>
      </c>
      <c r="D945">
        <f t="shared" si="113"/>
        <v>7</v>
      </c>
      <c r="E945" t="str">
        <f t="shared" si="114"/>
        <v>July</v>
      </c>
      <c r="F945" s="128">
        <f t="shared" si="115"/>
        <v>2022</v>
      </c>
      <c r="G945" s="194" t="str">
        <f t="shared" si="116"/>
        <v>2022-07</v>
      </c>
      <c r="H945" s="193">
        <f t="shared" si="117"/>
        <v>44772</v>
      </c>
      <c r="I945">
        <f t="shared" si="118"/>
        <v>31</v>
      </c>
    </row>
    <row r="946" spans="1:9" x14ac:dyDescent="0.3">
      <c r="A946">
        <f t="shared" si="112"/>
        <v>20220731</v>
      </c>
      <c r="B946" s="193">
        <v>44773</v>
      </c>
      <c r="C946" s="196" t="str">
        <f t="shared" si="119"/>
        <v>31 July 2022</v>
      </c>
      <c r="D946">
        <f t="shared" si="113"/>
        <v>7</v>
      </c>
      <c r="E946" t="str">
        <f t="shared" si="114"/>
        <v>July</v>
      </c>
      <c r="F946" s="128">
        <f t="shared" si="115"/>
        <v>2022</v>
      </c>
      <c r="G946" s="194" t="str">
        <f t="shared" si="116"/>
        <v>2022-07</v>
      </c>
      <c r="H946" s="193">
        <f t="shared" si="117"/>
        <v>44779</v>
      </c>
      <c r="I946">
        <f t="shared" si="118"/>
        <v>31</v>
      </c>
    </row>
    <row r="947" spans="1:9" x14ac:dyDescent="0.3">
      <c r="A947">
        <f t="shared" si="112"/>
        <v>20220801</v>
      </c>
      <c r="B947" s="193">
        <v>44774</v>
      </c>
      <c r="C947" s="196" t="str">
        <f t="shared" si="119"/>
        <v>01 August 2022</v>
      </c>
      <c r="D947">
        <f t="shared" si="113"/>
        <v>8</v>
      </c>
      <c r="E947" t="str">
        <f t="shared" si="114"/>
        <v>August</v>
      </c>
      <c r="F947" s="128">
        <f t="shared" si="115"/>
        <v>2022</v>
      </c>
      <c r="G947" s="194" t="str">
        <f t="shared" si="116"/>
        <v>2022-08</v>
      </c>
      <c r="H947" s="193">
        <f t="shared" si="117"/>
        <v>44779</v>
      </c>
      <c r="I947">
        <f t="shared" si="118"/>
        <v>32</v>
      </c>
    </row>
    <row r="948" spans="1:9" x14ac:dyDescent="0.3">
      <c r="A948">
        <f t="shared" si="112"/>
        <v>20220802</v>
      </c>
      <c r="B948" s="193">
        <v>44775</v>
      </c>
      <c r="C948" s="196" t="str">
        <f t="shared" si="119"/>
        <v>02 August 2022</v>
      </c>
      <c r="D948">
        <f t="shared" si="113"/>
        <v>8</v>
      </c>
      <c r="E948" t="str">
        <f t="shared" si="114"/>
        <v>August</v>
      </c>
      <c r="F948" s="128">
        <f t="shared" si="115"/>
        <v>2022</v>
      </c>
      <c r="G948" s="194" t="str">
        <f t="shared" si="116"/>
        <v>2022-08</v>
      </c>
      <c r="H948" s="193">
        <f t="shared" si="117"/>
        <v>44779</v>
      </c>
      <c r="I948">
        <f t="shared" si="118"/>
        <v>32</v>
      </c>
    </row>
    <row r="949" spans="1:9" x14ac:dyDescent="0.3">
      <c r="A949">
        <f t="shared" si="112"/>
        <v>20220803</v>
      </c>
      <c r="B949" s="193">
        <v>44776</v>
      </c>
      <c r="C949" s="196" t="str">
        <f t="shared" si="119"/>
        <v>03 August 2022</v>
      </c>
      <c r="D949">
        <f t="shared" si="113"/>
        <v>8</v>
      </c>
      <c r="E949" t="str">
        <f t="shared" si="114"/>
        <v>August</v>
      </c>
      <c r="F949" s="128">
        <f t="shared" si="115"/>
        <v>2022</v>
      </c>
      <c r="G949" s="194" t="str">
        <f t="shared" si="116"/>
        <v>2022-08</v>
      </c>
      <c r="H949" s="193">
        <f t="shared" si="117"/>
        <v>44779</v>
      </c>
      <c r="I949">
        <f t="shared" si="118"/>
        <v>32</v>
      </c>
    </row>
    <row r="950" spans="1:9" x14ac:dyDescent="0.3">
      <c r="A950">
        <f t="shared" si="112"/>
        <v>20220804</v>
      </c>
      <c r="B950" s="193">
        <v>44777</v>
      </c>
      <c r="C950" s="196" t="str">
        <f t="shared" si="119"/>
        <v>04 August 2022</v>
      </c>
      <c r="D950">
        <f t="shared" si="113"/>
        <v>8</v>
      </c>
      <c r="E950" t="str">
        <f t="shared" si="114"/>
        <v>August</v>
      </c>
      <c r="F950" s="128">
        <f t="shared" si="115"/>
        <v>2022</v>
      </c>
      <c r="G950" s="194" t="str">
        <f t="shared" si="116"/>
        <v>2022-08</v>
      </c>
      <c r="H950" s="193">
        <f t="shared" si="117"/>
        <v>44779</v>
      </c>
      <c r="I950">
        <f t="shared" si="118"/>
        <v>32</v>
      </c>
    </row>
    <row r="951" spans="1:9" x14ac:dyDescent="0.3">
      <c r="A951">
        <f t="shared" si="112"/>
        <v>20220805</v>
      </c>
      <c r="B951" s="193">
        <v>44778</v>
      </c>
      <c r="C951" s="196" t="str">
        <f t="shared" si="119"/>
        <v>05 August 2022</v>
      </c>
      <c r="D951">
        <f t="shared" si="113"/>
        <v>8</v>
      </c>
      <c r="E951" t="str">
        <f t="shared" si="114"/>
        <v>August</v>
      </c>
      <c r="F951" s="128">
        <f t="shared" si="115"/>
        <v>2022</v>
      </c>
      <c r="G951" s="194" t="str">
        <f t="shared" si="116"/>
        <v>2022-08</v>
      </c>
      <c r="H951" s="193">
        <f t="shared" si="117"/>
        <v>44779</v>
      </c>
      <c r="I951">
        <f t="shared" si="118"/>
        <v>32</v>
      </c>
    </row>
    <row r="952" spans="1:9" x14ac:dyDescent="0.3">
      <c r="A952">
        <f t="shared" si="112"/>
        <v>20220806</v>
      </c>
      <c r="B952" s="193">
        <v>44779</v>
      </c>
      <c r="C952" s="196" t="str">
        <f t="shared" si="119"/>
        <v>06 August 2022</v>
      </c>
      <c r="D952">
        <f t="shared" si="113"/>
        <v>8</v>
      </c>
      <c r="E952" t="str">
        <f t="shared" si="114"/>
        <v>August</v>
      </c>
      <c r="F952" s="128">
        <f t="shared" si="115"/>
        <v>2022</v>
      </c>
      <c r="G952" s="194" t="str">
        <f t="shared" si="116"/>
        <v>2022-08</v>
      </c>
      <c r="H952" s="193">
        <f t="shared" si="117"/>
        <v>44779</v>
      </c>
      <c r="I952">
        <f t="shared" si="118"/>
        <v>32</v>
      </c>
    </row>
    <row r="953" spans="1:9" x14ac:dyDescent="0.3">
      <c r="A953">
        <f t="shared" si="112"/>
        <v>20220807</v>
      </c>
      <c r="B953" s="193">
        <v>44780</v>
      </c>
      <c r="C953" s="196" t="str">
        <f t="shared" si="119"/>
        <v>07 August 2022</v>
      </c>
      <c r="D953">
        <f t="shared" si="113"/>
        <v>8</v>
      </c>
      <c r="E953" t="str">
        <f t="shared" si="114"/>
        <v>August</v>
      </c>
      <c r="F953" s="128">
        <f t="shared" si="115"/>
        <v>2022</v>
      </c>
      <c r="G953" s="194" t="str">
        <f t="shared" si="116"/>
        <v>2022-08</v>
      </c>
      <c r="H953" s="193">
        <f t="shared" si="117"/>
        <v>44786</v>
      </c>
      <c r="I953">
        <f t="shared" si="118"/>
        <v>32</v>
      </c>
    </row>
    <row r="954" spans="1:9" x14ac:dyDescent="0.3">
      <c r="A954">
        <f t="shared" si="112"/>
        <v>20220808</v>
      </c>
      <c r="B954" s="193">
        <v>44781</v>
      </c>
      <c r="C954" s="196" t="str">
        <f t="shared" si="119"/>
        <v>08 August 2022</v>
      </c>
      <c r="D954">
        <f t="shared" si="113"/>
        <v>8</v>
      </c>
      <c r="E954" t="str">
        <f t="shared" si="114"/>
        <v>August</v>
      </c>
      <c r="F954" s="128">
        <f t="shared" si="115"/>
        <v>2022</v>
      </c>
      <c r="G954" s="194" t="str">
        <f t="shared" si="116"/>
        <v>2022-08</v>
      </c>
      <c r="H954" s="193">
        <f t="shared" si="117"/>
        <v>44786</v>
      </c>
      <c r="I954">
        <f t="shared" si="118"/>
        <v>33</v>
      </c>
    </row>
    <row r="955" spans="1:9" x14ac:dyDescent="0.3">
      <c r="A955">
        <f t="shared" si="112"/>
        <v>20220809</v>
      </c>
      <c r="B955" s="193">
        <v>44782</v>
      </c>
      <c r="C955" s="196" t="str">
        <f t="shared" si="119"/>
        <v>09 August 2022</v>
      </c>
      <c r="D955">
        <f t="shared" si="113"/>
        <v>8</v>
      </c>
      <c r="E955" t="str">
        <f t="shared" si="114"/>
        <v>August</v>
      </c>
      <c r="F955" s="128">
        <f t="shared" si="115"/>
        <v>2022</v>
      </c>
      <c r="G955" s="194" t="str">
        <f t="shared" si="116"/>
        <v>2022-08</v>
      </c>
      <c r="H955" s="193">
        <f t="shared" si="117"/>
        <v>44786</v>
      </c>
      <c r="I955">
        <f t="shared" si="118"/>
        <v>33</v>
      </c>
    </row>
    <row r="956" spans="1:9" x14ac:dyDescent="0.3">
      <c r="A956">
        <f t="shared" si="112"/>
        <v>20220810</v>
      </c>
      <c r="B956" s="193">
        <v>44783</v>
      </c>
      <c r="C956" s="196" t="str">
        <f t="shared" si="119"/>
        <v>10 August 2022</v>
      </c>
      <c r="D956">
        <f t="shared" si="113"/>
        <v>8</v>
      </c>
      <c r="E956" t="str">
        <f t="shared" si="114"/>
        <v>August</v>
      </c>
      <c r="F956" s="128">
        <f t="shared" si="115"/>
        <v>2022</v>
      </c>
      <c r="G956" s="194" t="str">
        <f t="shared" si="116"/>
        <v>2022-08</v>
      </c>
      <c r="H956" s="193">
        <f t="shared" si="117"/>
        <v>44786</v>
      </c>
      <c r="I956">
        <f t="shared" si="118"/>
        <v>33</v>
      </c>
    </row>
    <row r="957" spans="1:9" x14ac:dyDescent="0.3">
      <c r="A957">
        <f t="shared" si="112"/>
        <v>20220811</v>
      </c>
      <c r="B957" s="193">
        <v>44784</v>
      </c>
      <c r="C957" s="196" t="str">
        <f t="shared" si="119"/>
        <v>11 August 2022</v>
      </c>
      <c r="D957">
        <f t="shared" si="113"/>
        <v>8</v>
      </c>
      <c r="E957" t="str">
        <f t="shared" si="114"/>
        <v>August</v>
      </c>
      <c r="F957" s="128">
        <f t="shared" si="115"/>
        <v>2022</v>
      </c>
      <c r="G957" s="194" t="str">
        <f t="shared" si="116"/>
        <v>2022-08</v>
      </c>
      <c r="H957" s="193">
        <f t="shared" si="117"/>
        <v>44786</v>
      </c>
      <c r="I957">
        <f t="shared" si="118"/>
        <v>33</v>
      </c>
    </row>
    <row r="958" spans="1:9" x14ac:dyDescent="0.3">
      <c r="A958">
        <f t="shared" si="112"/>
        <v>20220812</v>
      </c>
      <c r="B958" s="193">
        <v>44785</v>
      </c>
      <c r="C958" s="196" t="str">
        <f t="shared" si="119"/>
        <v>12 August 2022</v>
      </c>
      <c r="D958">
        <f t="shared" si="113"/>
        <v>8</v>
      </c>
      <c r="E958" t="str">
        <f t="shared" si="114"/>
        <v>August</v>
      </c>
      <c r="F958" s="128">
        <f t="shared" si="115"/>
        <v>2022</v>
      </c>
      <c r="G958" s="194" t="str">
        <f t="shared" si="116"/>
        <v>2022-08</v>
      </c>
      <c r="H958" s="193">
        <f t="shared" si="117"/>
        <v>44786</v>
      </c>
      <c r="I958">
        <f t="shared" si="118"/>
        <v>33</v>
      </c>
    </row>
    <row r="959" spans="1:9" x14ac:dyDescent="0.3">
      <c r="A959">
        <f t="shared" si="112"/>
        <v>20220813</v>
      </c>
      <c r="B959" s="193">
        <v>44786</v>
      </c>
      <c r="C959" s="196" t="str">
        <f t="shared" si="119"/>
        <v>13 August 2022</v>
      </c>
      <c r="D959">
        <f t="shared" si="113"/>
        <v>8</v>
      </c>
      <c r="E959" t="str">
        <f t="shared" si="114"/>
        <v>August</v>
      </c>
      <c r="F959" s="128">
        <f t="shared" si="115"/>
        <v>2022</v>
      </c>
      <c r="G959" s="194" t="str">
        <f t="shared" si="116"/>
        <v>2022-08</v>
      </c>
      <c r="H959" s="193">
        <f t="shared" si="117"/>
        <v>44786</v>
      </c>
      <c r="I959">
        <f t="shared" si="118"/>
        <v>33</v>
      </c>
    </row>
    <row r="960" spans="1:9" x14ac:dyDescent="0.3">
      <c r="A960">
        <f t="shared" si="112"/>
        <v>20220814</v>
      </c>
      <c r="B960" s="193">
        <v>44787</v>
      </c>
      <c r="C960" s="196" t="str">
        <f t="shared" si="119"/>
        <v>14 August 2022</v>
      </c>
      <c r="D960">
        <f t="shared" si="113"/>
        <v>8</v>
      </c>
      <c r="E960" t="str">
        <f t="shared" si="114"/>
        <v>August</v>
      </c>
      <c r="F960" s="128">
        <f t="shared" si="115"/>
        <v>2022</v>
      </c>
      <c r="G960" s="194" t="str">
        <f t="shared" si="116"/>
        <v>2022-08</v>
      </c>
      <c r="H960" s="193">
        <f t="shared" si="117"/>
        <v>44793</v>
      </c>
      <c r="I960">
        <f t="shared" si="118"/>
        <v>33</v>
      </c>
    </row>
    <row r="961" spans="1:9" x14ac:dyDescent="0.3">
      <c r="A961">
        <f t="shared" si="112"/>
        <v>20220815</v>
      </c>
      <c r="B961" s="193">
        <v>44788</v>
      </c>
      <c r="C961" s="196" t="str">
        <f t="shared" si="119"/>
        <v>15 August 2022</v>
      </c>
      <c r="D961">
        <f t="shared" si="113"/>
        <v>8</v>
      </c>
      <c r="E961" t="str">
        <f t="shared" si="114"/>
        <v>August</v>
      </c>
      <c r="F961" s="128">
        <f t="shared" si="115"/>
        <v>2022</v>
      </c>
      <c r="G961" s="194" t="str">
        <f t="shared" si="116"/>
        <v>2022-08</v>
      </c>
      <c r="H961" s="193">
        <f t="shared" si="117"/>
        <v>44793</v>
      </c>
      <c r="I961">
        <f t="shared" si="118"/>
        <v>34</v>
      </c>
    </row>
    <row r="962" spans="1:9" x14ac:dyDescent="0.3">
      <c r="A962">
        <f t="shared" si="112"/>
        <v>20220816</v>
      </c>
      <c r="B962" s="193">
        <v>44789</v>
      </c>
      <c r="C962" s="196" t="str">
        <f t="shared" si="119"/>
        <v>16 August 2022</v>
      </c>
      <c r="D962">
        <f t="shared" si="113"/>
        <v>8</v>
      </c>
      <c r="E962" t="str">
        <f t="shared" si="114"/>
        <v>August</v>
      </c>
      <c r="F962" s="128">
        <f t="shared" si="115"/>
        <v>2022</v>
      </c>
      <c r="G962" s="194" t="str">
        <f t="shared" si="116"/>
        <v>2022-08</v>
      </c>
      <c r="H962" s="193">
        <f t="shared" si="117"/>
        <v>44793</v>
      </c>
      <c r="I962">
        <f t="shared" si="118"/>
        <v>34</v>
      </c>
    </row>
    <row r="963" spans="1:9" x14ac:dyDescent="0.3">
      <c r="A963">
        <f t="shared" ref="A963:A1026" si="120">YEAR(B963)*10000+MONTH(B963)*100+DAY(B963)</f>
        <v>20220817</v>
      </c>
      <c r="B963" s="193">
        <v>44790</v>
      </c>
      <c r="C963" s="196" t="str">
        <f t="shared" si="119"/>
        <v>17 August 2022</v>
      </c>
      <c r="D963">
        <f t="shared" ref="D963:D1026" si="121">MONTH(B963)</f>
        <v>8</v>
      </c>
      <c r="E963" t="str">
        <f t="shared" ref="E963:E1026" si="122">TEXT(B963,"MMMM")</f>
        <v>August</v>
      </c>
      <c r="F963" s="128">
        <f t="shared" ref="F963:F1026" si="123">YEAR(B963)</f>
        <v>2022</v>
      </c>
      <c r="G963" s="194" t="str">
        <f t="shared" ref="G963:G1026" si="124">TEXT(B963,"YYYY-MM")</f>
        <v>2022-08</v>
      </c>
      <c r="H963" s="193">
        <f t="shared" ref="H963:H1026" si="125">B963-WEEKDAY(B963)+7</f>
        <v>44793</v>
      </c>
      <c r="I963">
        <f t="shared" ref="I963:I1026" si="126">WEEKNUM(B963,2)</f>
        <v>34</v>
      </c>
    </row>
    <row r="964" spans="1:9" x14ac:dyDescent="0.3">
      <c r="A964">
        <f t="shared" si="120"/>
        <v>20220818</v>
      </c>
      <c r="B964" s="193">
        <v>44791</v>
      </c>
      <c r="C964" s="196" t="str">
        <f t="shared" ref="C964:C1027" si="127">TEXT(B964,"dd MMMM YYYY")</f>
        <v>18 August 2022</v>
      </c>
      <c r="D964">
        <f t="shared" si="121"/>
        <v>8</v>
      </c>
      <c r="E964" t="str">
        <f t="shared" si="122"/>
        <v>August</v>
      </c>
      <c r="F964" s="128">
        <f t="shared" si="123"/>
        <v>2022</v>
      </c>
      <c r="G964" s="194" t="str">
        <f t="shared" si="124"/>
        <v>2022-08</v>
      </c>
      <c r="H964" s="193">
        <f t="shared" si="125"/>
        <v>44793</v>
      </c>
      <c r="I964">
        <f t="shared" si="126"/>
        <v>34</v>
      </c>
    </row>
    <row r="965" spans="1:9" x14ac:dyDescent="0.3">
      <c r="A965">
        <f t="shared" si="120"/>
        <v>20220819</v>
      </c>
      <c r="B965" s="193">
        <v>44792</v>
      </c>
      <c r="C965" s="196" t="str">
        <f t="shared" si="127"/>
        <v>19 August 2022</v>
      </c>
      <c r="D965">
        <f t="shared" si="121"/>
        <v>8</v>
      </c>
      <c r="E965" t="str">
        <f t="shared" si="122"/>
        <v>August</v>
      </c>
      <c r="F965" s="128">
        <f t="shared" si="123"/>
        <v>2022</v>
      </c>
      <c r="G965" s="194" t="str">
        <f t="shared" si="124"/>
        <v>2022-08</v>
      </c>
      <c r="H965" s="193">
        <f t="shared" si="125"/>
        <v>44793</v>
      </c>
      <c r="I965">
        <f t="shared" si="126"/>
        <v>34</v>
      </c>
    </row>
    <row r="966" spans="1:9" x14ac:dyDescent="0.3">
      <c r="A966">
        <f t="shared" si="120"/>
        <v>20220820</v>
      </c>
      <c r="B966" s="193">
        <v>44793</v>
      </c>
      <c r="C966" s="196" t="str">
        <f t="shared" si="127"/>
        <v>20 August 2022</v>
      </c>
      <c r="D966">
        <f t="shared" si="121"/>
        <v>8</v>
      </c>
      <c r="E966" t="str">
        <f t="shared" si="122"/>
        <v>August</v>
      </c>
      <c r="F966" s="128">
        <f t="shared" si="123"/>
        <v>2022</v>
      </c>
      <c r="G966" s="194" t="str">
        <f t="shared" si="124"/>
        <v>2022-08</v>
      </c>
      <c r="H966" s="193">
        <f t="shared" si="125"/>
        <v>44793</v>
      </c>
      <c r="I966">
        <f t="shared" si="126"/>
        <v>34</v>
      </c>
    </row>
    <row r="967" spans="1:9" x14ac:dyDescent="0.3">
      <c r="A967">
        <f t="shared" si="120"/>
        <v>20220821</v>
      </c>
      <c r="B967" s="193">
        <v>44794</v>
      </c>
      <c r="C967" s="196" t="str">
        <f t="shared" si="127"/>
        <v>21 August 2022</v>
      </c>
      <c r="D967">
        <f t="shared" si="121"/>
        <v>8</v>
      </c>
      <c r="E967" t="str">
        <f t="shared" si="122"/>
        <v>August</v>
      </c>
      <c r="F967" s="128">
        <f t="shared" si="123"/>
        <v>2022</v>
      </c>
      <c r="G967" s="194" t="str">
        <f t="shared" si="124"/>
        <v>2022-08</v>
      </c>
      <c r="H967" s="193">
        <f t="shared" si="125"/>
        <v>44800</v>
      </c>
      <c r="I967">
        <f t="shared" si="126"/>
        <v>34</v>
      </c>
    </row>
    <row r="968" spans="1:9" x14ac:dyDescent="0.3">
      <c r="A968">
        <f t="shared" si="120"/>
        <v>20220822</v>
      </c>
      <c r="B968" s="193">
        <v>44795</v>
      </c>
      <c r="C968" s="196" t="str">
        <f t="shared" si="127"/>
        <v>22 August 2022</v>
      </c>
      <c r="D968">
        <f t="shared" si="121"/>
        <v>8</v>
      </c>
      <c r="E968" t="str">
        <f t="shared" si="122"/>
        <v>August</v>
      </c>
      <c r="F968" s="128">
        <f t="shared" si="123"/>
        <v>2022</v>
      </c>
      <c r="G968" s="194" t="str">
        <f t="shared" si="124"/>
        <v>2022-08</v>
      </c>
      <c r="H968" s="193">
        <f t="shared" si="125"/>
        <v>44800</v>
      </c>
      <c r="I968">
        <f t="shared" si="126"/>
        <v>35</v>
      </c>
    </row>
    <row r="969" spans="1:9" x14ac:dyDescent="0.3">
      <c r="A969">
        <f t="shared" si="120"/>
        <v>20220823</v>
      </c>
      <c r="B969" s="193">
        <v>44796</v>
      </c>
      <c r="C969" s="196" t="str">
        <f t="shared" si="127"/>
        <v>23 August 2022</v>
      </c>
      <c r="D969">
        <f t="shared" si="121"/>
        <v>8</v>
      </c>
      <c r="E969" t="str">
        <f t="shared" si="122"/>
        <v>August</v>
      </c>
      <c r="F969" s="128">
        <f t="shared" si="123"/>
        <v>2022</v>
      </c>
      <c r="G969" s="194" t="str">
        <f t="shared" si="124"/>
        <v>2022-08</v>
      </c>
      <c r="H969" s="193">
        <f t="shared" si="125"/>
        <v>44800</v>
      </c>
      <c r="I969">
        <f t="shared" si="126"/>
        <v>35</v>
      </c>
    </row>
    <row r="970" spans="1:9" x14ac:dyDescent="0.3">
      <c r="A970">
        <f t="shared" si="120"/>
        <v>20220824</v>
      </c>
      <c r="B970" s="193">
        <v>44797</v>
      </c>
      <c r="C970" s="196" t="str">
        <f t="shared" si="127"/>
        <v>24 August 2022</v>
      </c>
      <c r="D970">
        <f t="shared" si="121"/>
        <v>8</v>
      </c>
      <c r="E970" t="str">
        <f t="shared" si="122"/>
        <v>August</v>
      </c>
      <c r="F970" s="128">
        <f t="shared" si="123"/>
        <v>2022</v>
      </c>
      <c r="G970" s="194" t="str">
        <f t="shared" si="124"/>
        <v>2022-08</v>
      </c>
      <c r="H970" s="193">
        <f t="shared" si="125"/>
        <v>44800</v>
      </c>
      <c r="I970">
        <f t="shared" si="126"/>
        <v>35</v>
      </c>
    </row>
    <row r="971" spans="1:9" x14ac:dyDescent="0.3">
      <c r="A971">
        <f t="shared" si="120"/>
        <v>20220825</v>
      </c>
      <c r="B971" s="193">
        <v>44798</v>
      </c>
      <c r="C971" s="196" t="str">
        <f t="shared" si="127"/>
        <v>25 August 2022</v>
      </c>
      <c r="D971">
        <f t="shared" si="121"/>
        <v>8</v>
      </c>
      <c r="E971" t="str">
        <f t="shared" si="122"/>
        <v>August</v>
      </c>
      <c r="F971" s="128">
        <f t="shared" si="123"/>
        <v>2022</v>
      </c>
      <c r="G971" s="194" t="str">
        <f t="shared" si="124"/>
        <v>2022-08</v>
      </c>
      <c r="H971" s="193">
        <f t="shared" si="125"/>
        <v>44800</v>
      </c>
      <c r="I971">
        <f t="shared" si="126"/>
        <v>35</v>
      </c>
    </row>
    <row r="972" spans="1:9" x14ac:dyDescent="0.3">
      <c r="A972">
        <f t="shared" si="120"/>
        <v>20220826</v>
      </c>
      <c r="B972" s="193">
        <v>44799</v>
      </c>
      <c r="C972" s="196" t="str">
        <f t="shared" si="127"/>
        <v>26 August 2022</v>
      </c>
      <c r="D972">
        <f t="shared" si="121"/>
        <v>8</v>
      </c>
      <c r="E972" t="str">
        <f t="shared" si="122"/>
        <v>August</v>
      </c>
      <c r="F972" s="128">
        <f t="shared" si="123"/>
        <v>2022</v>
      </c>
      <c r="G972" s="194" t="str">
        <f t="shared" si="124"/>
        <v>2022-08</v>
      </c>
      <c r="H972" s="193">
        <f t="shared" si="125"/>
        <v>44800</v>
      </c>
      <c r="I972">
        <f t="shared" si="126"/>
        <v>35</v>
      </c>
    </row>
    <row r="973" spans="1:9" x14ac:dyDescent="0.3">
      <c r="A973">
        <f t="shared" si="120"/>
        <v>20220827</v>
      </c>
      <c r="B973" s="193">
        <v>44800</v>
      </c>
      <c r="C973" s="196" t="str">
        <f t="shared" si="127"/>
        <v>27 August 2022</v>
      </c>
      <c r="D973">
        <f t="shared" si="121"/>
        <v>8</v>
      </c>
      <c r="E973" t="str">
        <f t="shared" si="122"/>
        <v>August</v>
      </c>
      <c r="F973" s="128">
        <f t="shared" si="123"/>
        <v>2022</v>
      </c>
      <c r="G973" s="194" t="str">
        <f t="shared" si="124"/>
        <v>2022-08</v>
      </c>
      <c r="H973" s="193">
        <f t="shared" si="125"/>
        <v>44800</v>
      </c>
      <c r="I973">
        <f t="shared" si="126"/>
        <v>35</v>
      </c>
    </row>
    <row r="974" spans="1:9" x14ac:dyDescent="0.3">
      <c r="A974">
        <f t="shared" si="120"/>
        <v>20220828</v>
      </c>
      <c r="B974" s="193">
        <v>44801</v>
      </c>
      <c r="C974" s="196" t="str">
        <f t="shared" si="127"/>
        <v>28 August 2022</v>
      </c>
      <c r="D974">
        <f t="shared" si="121"/>
        <v>8</v>
      </c>
      <c r="E974" t="str">
        <f t="shared" si="122"/>
        <v>August</v>
      </c>
      <c r="F974" s="128">
        <f t="shared" si="123"/>
        <v>2022</v>
      </c>
      <c r="G974" s="194" t="str">
        <f t="shared" si="124"/>
        <v>2022-08</v>
      </c>
      <c r="H974" s="193">
        <f t="shared" si="125"/>
        <v>44807</v>
      </c>
      <c r="I974">
        <f t="shared" si="126"/>
        <v>35</v>
      </c>
    </row>
    <row r="975" spans="1:9" x14ac:dyDescent="0.3">
      <c r="A975">
        <f t="shared" si="120"/>
        <v>20220829</v>
      </c>
      <c r="B975" s="193">
        <v>44802</v>
      </c>
      <c r="C975" s="196" t="str">
        <f t="shared" si="127"/>
        <v>29 August 2022</v>
      </c>
      <c r="D975">
        <f t="shared" si="121"/>
        <v>8</v>
      </c>
      <c r="E975" t="str">
        <f t="shared" si="122"/>
        <v>August</v>
      </c>
      <c r="F975" s="128">
        <f t="shared" si="123"/>
        <v>2022</v>
      </c>
      <c r="G975" s="194" t="str">
        <f t="shared" si="124"/>
        <v>2022-08</v>
      </c>
      <c r="H975" s="193">
        <f t="shared" si="125"/>
        <v>44807</v>
      </c>
      <c r="I975">
        <f t="shared" si="126"/>
        <v>36</v>
      </c>
    </row>
    <row r="976" spans="1:9" x14ac:dyDescent="0.3">
      <c r="A976">
        <f t="shared" si="120"/>
        <v>20220830</v>
      </c>
      <c r="B976" s="193">
        <v>44803</v>
      </c>
      <c r="C976" s="196" t="str">
        <f t="shared" si="127"/>
        <v>30 August 2022</v>
      </c>
      <c r="D976">
        <f t="shared" si="121"/>
        <v>8</v>
      </c>
      <c r="E976" t="str">
        <f t="shared" si="122"/>
        <v>August</v>
      </c>
      <c r="F976" s="128">
        <f t="shared" si="123"/>
        <v>2022</v>
      </c>
      <c r="G976" s="194" t="str">
        <f t="shared" si="124"/>
        <v>2022-08</v>
      </c>
      <c r="H976" s="193">
        <f t="shared" si="125"/>
        <v>44807</v>
      </c>
      <c r="I976">
        <f t="shared" si="126"/>
        <v>36</v>
      </c>
    </row>
    <row r="977" spans="1:9" x14ac:dyDescent="0.3">
      <c r="A977">
        <f t="shared" si="120"/>
        <v>20220831</v>
      </c>
      <c r="B977" s="193">
        <v>44804</v>
      </c>
      <c r="C977" s="196" t="str">
        <f t="shared" si="127"/>
        <v>31 August 2022</v>
      </c>
      <c r="D977">
        <f t="shared" si="121"/>
        <v>8</v>
      </c>
      <c r="E977" t="str">
        <f t="shared" si="122"/>
        <v>August</v>
      </c>
      <c r="F977" s="128">
        <f t="shared" si="123"/>
        <v>2022</v>
      </c>
      <c r="G977" s="194" t="str">
        <f t="shared" si="124"/>
        <v>2022-08</v>
      </c>
      <c r="H977" s="193">
        <f t="shared" si="125"/>
        <v>44807</v>
      </c>
      <c r="I977">
        <f t="shared" si="126"/>
        <v>36</v>
      </c>
    </row>
    <row r="978" spans="1:9" x14ac:dyDescent="0.3">
      <c r="A978">
        <f t="shared" si="120"/>
        <v>20220901</v>
      </c>
      <c r="B978" s="193">
        <v>44805</v>
      </c>
      <c r="C978" s="196" t="str">
        <f t="shared" si="127"/>
        <v>01 September 2022</v>
      </c>
      <c r="D978">
        <f t="shared" si="121"/>
        <v>9</v>
      </c>
      <c r="E978" t="str">
        <f t="shared" si="122"/>
        <v>September</v>
      </c>
      <c r="F978" s="128">
        <f t="shared" si="123"/>
        <v>2022</v>
      </c>
      <c r="G978" s="194" t="str">
        <f t="shared" si="124"/>
        <v>2022-09</v>
      </c>
      <c r="H978" s="193">
        <f t="shared" si="125"/>
        <v>44807</v>
      </c>
      <c r="I978">
        <f t="shared" si="126"/>
        <v>36</v>
      </c>
    </row>
    <row r="979" spans="1:9" x14ac:dyDescent="0.3">
      <c r="A979">
        <f t="shared" si="120"/>
        <v>20220902</v>
      </c>
      <c r="B979" s="193">
        <v>44806</v>
      </c>
      <c r="C979" s="196" t="str">
        <f t="shared" si="127"/>
        <v>02 September 2022</v>
      </c>
      <c r="D979">
        <f t="shared" si="121"/>
        <v>9</v>
      </c>
      <c r="E979" t="str">
        <f t="shared" si="122"/>
        <v>September</v>
      </c>
      <c r="F979" s="128">
        <f t="shared" si="123"/>
        <v>2022</v>
      </c>
      <c r="G979" s="194" t="str">
        <f t="shared" si="124"/>
        <v>2022-09</v>
      </c>
      <c r="H979" s="193">
        <f t="shared" si="125"/>
        <v>44807</v>
      </c>
      <c r="I979">
        <f t="shared" si="126"/>
        <v>36</v>
      </c>
    </row>
    <row r="980" spans="1:9" x14ac:dyDescent="0.3">
      <c r="A980">
        <f t="shared" si="120"/>
        <v>20220903</v>
      </c>
      <c r="B980" s="193">
        <v>44807</v>
      </c>
      <c r="C980" s="196" t="str">
        <f t="shared" si="127"/>
        <v>03 September 2022</v>
      </c>
      <c r="D980">
        <f t="shared" si="121"/>
        <v>9</v>
      </c>
      <c r="E980" t="str">
        <f t="shared" si="122"/>
        <v>September</v>
      </c>
      <c r="F980" s="128">
        <f t="shared" si="123"/>
        <v>2022</v>
      </c>
      <c r="G980" s="194" t="str">
        <f t="shared" si="124"/>
        <v>2022-09</v>
      </c>
      <c r="H980" s="193">
        <f t="shared" si="125"/>
        <v>44807</v>
      </c>
      <c r="I980">
        <f t="shared" si="126"/>
        <v>36</v>
      </c>
    </row>
    <row r="981" spans="1:9" x14ac:dyDescent="0.3">
      <c r="A981">
        <f t="shared" si="120"/>
        <v>20220904</v>
      </c>
      <c r="B981" s="193">
        <v>44808</v>
      </c>
      <c r="C981" s="196" t="str">
        <f t="shared" si="127"/>
        <v>04 September 2022</v>
      </c>
      <c r="D981">
        <f t="shared" si="121"/>
        <v>9</v>
      </c>
      <c r="E981" t="str">
        <f t="shared" si="122"/>
        <v>September</v>
      </c>
      <c r="F981" s="128">
        <f t="shared" si="123"/>
        <v>2022</v>
      </c>
      <c r="G981" s="194" t="str">
        <f t="shared" si="124"/>
        <v>2022-09</v>
      </c>
      <c r="H981" s="193">
        <f t="shared" si="125"/>
        <v>44814</v>
      </c>
      <c r="I981">
        <f t="shared" si="126"/>
        <v>36</v>
      </c>
    </row>
    <row r="982" spans="1:9" x14ac:dyDescent="0.3">
      <c r="A982">
        <f t="shared" si="120"/>
        <v>20220905</v>
      </c>
      <c r="B982" s="193">
        <v>44809</v>
      </c>
      <c r="C982" s="196" t="str">
        <f t="shared" si="127"/>
        <v>05 September 2022</v>
      </c>
      <c r="D982">
        <f t="shared" si="121"/>
        <v>9</v>
      </c>
      <c r="E982" t="str">
        <f t="shared" si="122"/>
        <v>September</v>
      </c>
      <c r="F982" s="128">
        <f t="shared" si="123"/>
        <v>2022</v>
      </c>
      <c r="G982" s="194" t="str">
        <f t="shared" si="124"/>
        <v>2022-09</v>
      </c>
      <c r="H982" s="193">
        <f t="shared" si="125"/>
        <v>44814</v>
      </c>
      <c r="I982">
        <f t="shared" si="126"/>
        <v>37</v>
      </c>
    </row>
    <row r="983" spans="1:9" x14ac:dyDescent="0.3">
      <c r="A983">
        <f t="shared" si="120"/>
        <v>20220906</v>
      </c>
      <c r="B983" s="193">
        <v>44810</v>
      </c>
      <c r="C983" s="196" t="str">
        <f t="shared" si="127"/>
        <v>06 September 2022</v>
      </c>
      <c r="D983">
        <f t="shared" si="121"/>
        <v>9</v>
      </c>
      <c r="E983" t="str">
        <f t="shared" si="122"/>
        <v>September</v>
      </c>
      <c r="F983" s="128">
        <f t="shared" si="123"/>
        <v>2022</v>
      </c>
      <c r="G983" s="194" t="str">
        <f t="shared" si="124"/>
        <v>2022-09</v>
      </c>
      <c r="H983" s="193">
        <f t="shared" si="125"/>
        <v>44814</v>
      </c>
      <c r="I983">
        <f t="shared" si="126"/>
        <v>37</v>
      </c>
    </row>
    <row r="984" spans="1:9" x14ac:dyDescent="0.3">
      <c r="A984">
        <f t="shared" si="120"/>
        <v>20220907</v>
      </c>
      <c r="B984" s="193">
        <v>44811</v>
      </c>
      <c r="C984" s="196" t="str">
        <f t="shared" si="127"/>
        <v>07 September 2022</v>
      </c>
      <c r="D984">
        <f t="shared" si="121"/>
        <v>9</v>
      </c>
      <c r="E984" t="str">
        <f t="shared" si="122"/>
        <v>September</v>
      </c>
      <c r="F984" s="128">
        <f t="shared" si="123"/>
        <v>2022</v>
      </c>
      <c r="G984" s="194" t="str">
        <f t="shared" si="124"/>
        <v>2022-09</v>
      </c>
      <c r="H984" s="193">
        <f t="shared" si="125"/>
        <v>44814</v>
      </c>
      <c r="I984">
        <f t="shared" si="126"/>
        <v>37</v>
      </c>
    </row>
    <row r="985" spans="1:9" x14ac:dyDescent="0.3">
      <c r="A985">
        <f t="shared" si="120"/>
        <v>20220908</v>
      </c>
      <c r="B985" s="193">
        <v>44812</v>
      </c>
      <c r="C985" s="196" t="str">
        <f t="shared" si="127"/>
        <v>08 September 2022</v>
      </c>
      <c r="D985">
        <f t="shared" si="121"/>
        <v>9</v>
      </c>
      <c r="E985" t="str">
        <f t="shared" si="122"/>
        <v>September</v>
      </c>
      <c r="F985" s="128">
        <f t="shared" si="123"/>
        <v>2022</v>
      </c>
      <c r="G985" s="194" t="str">
        <f t="shared" si="124"/>
        <v>2022-09</v>
      </c>
      <c r="H985" s="193">
        <f t="shared" si="125"/>
        <v>44814</v>
      </c>
      <c r="I985">
        <f t="shared" si="126"/>
        <v>37</v>
      </c>
    </row>
    <row r="986" spans="1:9" x14ac:dyDescent="0.3">
      <c r="A986">
        <f t="shared" si="120"/>
        <v>20220909</v>
      </c>
      <c r="B986" s="193">
        <v>44813</v>
      </c>
      <c r="C986" s="196" t="str">
        <f t="shared" si="127"/>
        <v>09 September 2022</v>
      </c>
      <c r="D986">
        <f t="shared" si="121"/>
        <v>9</v>
      </c>
      <c r="E986" t="str">
        <f t="shared" si="122"/>
        <v>September</v>
      </c>
      <c r="F986" s="128">
        <f t="shared" si="123"/>
        <v>2022</v>
      </c>
      <c r="G986" s="194" t="str">
        <f t="shared" si="124"/>
        <v>2022-09</v>
      </c>
      <c r="H986" s="193">
        <f t="shared" si="125"/>
        <v>44814</v>
      </c>
      <c r="I986">
        <f t="shared" si="126"/>
        <v>37</v>
      </c>
    </row>
    <row r="987" spans="1:9" x14ac:dyDescent="0.3">
      <c r="A987">
        <f t="shared" si="120"/>
        <v>20220910</v>
      </c>
      <c r="B987" s="193">
        <v>44814</v>
      </c>
      <c r="C987" s="196" t="str">
        <f t="shared" si="127"/>
        <v>10 September 2022</v>
      </c>
      <c r="D987">
        <f t="shared" si="121"/>
        <v>9</v>
      </c>
      <c r="E987" t="str">
        <f t="shared" si="122"/>
        <v>September</v>
      </c>
      <c r="F987" s="128">
        <f t="shared" si="123"/>
        <v>2022</v>
      </c>
      <c r="G987" s="194" t="str">
        <f t="shared" si="124"/>
        <v>2022-09</v>
      </c>
      <c r="H987" s="193">
        <f t="shared" si="125"/>
        <v>44814</v>
      </c>
      <c r="I987">
        <f t="shared" si="126"/>
        <v>37</v>
      </c>
    </row>
    <row r="988" spans="1:9" x14ac:dyDescent="0.3">
      <c r="A988">
        <f t="shared" si="120"/>
        <v>20220911</v>
      </c>
      <c r="B988" s="193">
        <v>44815</v>
      </c>
      <c r="C988" s="196" t="str">
        <f t="shared" si="127"/>
        <v>11 September 2022</v>
      </c>
      <c r="D988">
        <f t="shared" si="121"/>
        <v>9</v>
      </c>
      <c r="E988" t="str">
        <f t="shared" si="122"/>
        <v>September</v>
      </c>
      <c r="F988" s="128">
        <f t="shared" si="123"/>
        <v>2022</v>
      </c>
      <c r="G988" s="194" t="str">
        <f t="shared" si="124"/>
        <v>2022-09</v>
      </c>
      <c r="H988" s="193">
        <f t="shared" si="125"/>
        <v>44821</v>
      </c>
      <c r="I988">
        <f t="shared" si="126"/>
        <v>37</v>
      </c>
    </row>
    <row r="989" spans="1:9" x14ac:dyDescent="0.3">
      <c r="A989">
        <f t="shared" si="120"/>
        <v>20220912</v>
      </c>
      <c r="B989" s="193">
        <v>44816</v>
      </c>
      <c r="C989" s="196" t="str">
        <f t="shared" si="127"/>
        <v>12 September 2022</v>
      </c>
      <c r="D989">
        <f t="shared" si="121"/>
        <v>9</v>
      </c>
      <c r="E989" t="str">
        <f t="shared" si="122"/>
        <v>September</v>
      </c>
      <c r="F989" s="128">
        <f t="shared" si="123"/>
        <v>2022</v>
      </c>
      <c r="G989" s="194" t="str">
        <f t="shared" si="124"/>
        <v>2022-09</v>
      </c>
      <c r="H989" s="193">
        <f t="shared" si="125"/>
        <v>44821</v>
      </c>
      <c r="I989">
        <f t="shared" si="126"/>
        <v>38</v>
      </c>
    </row>
    <row r="990" spans="1:9" x14ac:dyDescent="0.3">
      <c r="A990">
        <f t="shared" si="120"/>
        <v>20220913</v>
      </c>
      <c r="B990" s="193">
        <v>44817</v>
      </c>
      <c r="C990" s="196" t="str">
        <f t="shared" si="127"/>
        <v>13 September 2022</v>
      </c>
      <c r="D990">
        <f t="shared" si="121"/>
        <v>9</v>
      </c>
      <c r="E990" t="str">
        <f t="shared" si="122"/>
        <v>September</v>
      </c>
      <c r="F990" s="128">
        <f t="shared" si="123"/>
        <v>2022</v>
      </c>
      <c r="G990" s="194" t="str">
        <f t="shared" si="124"/>
        <v>2022-09</v>
      </c>
      <c r="H990" s="193">
        <f t="shared" si="125"/>
        <v>44821</v>
      </c>
      <c r="I990">
        <f t="shared" si="126"/>
        <v>38</v>
      </c>
    </row>
    <row r="991" spans="1:9" x14ac:dyDescent="0.3">
      <c r="A991">
        <f t="shared" si="120"/>
        <v>20220914</v>
      </c>
      <c r="B991" s="193">
        <v>44818</v>
      </c>
      <c r="C991" s="196" t="str">
        <f t="shared" si="127"/>
        <v>14 September 2022</v>
      </c>
      <c r="D991">
        <f t="shared" si="121"/>
        <v>9</v>
      </c>
      <c r="E991" t="str">
        <f t="shared" si="122"/>
        <v>September</v>
      </c>
      <c r="F991" s="128">
        <f t="shared" si="123"/>
        <v>2022</v>
      </c>
      <c r="G991" s="194" t="str">
        <f t="shared" si="124"/>
        <v>2022-09</v>
      </c>
      <c r="H991" s="193">
        <f t="shared" si="125"/>
        <v>44821</v>
      </c>
      <c r="I991">
        <f t="shared" si="126"/>
        <v>38</v>
      </c>
    </row>
    <row r="992" spans="1:9" x14ac:dyDescent="0.3">
      <c r="A992">
        <f t="shared" si="120"/>
        <v>20220915</v>
      </c>
      <c r="B992" s="193">
        <v>44819</v>
      </c>
      <c r="C992" s="196" t="str">
        <f t="shared" si="127"/>
        <v>15 September 2022</v>
      </c>
      <c r="D992">
        <f t="shared" si="121"/>
        <v>9</v>
      </c>
      <c r="E992" t="str">
        <f t="shared" si="122"/>
        <v>September</v>
      </c>
      <c r="F992" s="128">
        <f t="shared" si="123"/>
        <v>2022</v>
      </c>
      <c r="G992" s="194" t="str">
        <f t="shared" si="124"/>
        <v>2022-09</v>
      </c>
      <c r="H992" s="193">
        <f t="shared" si="125"/>
        <v>44821</v>
      </c>
      <c r="I992">
        <f t="shared" si="126"/>
        <v>38</v>
      </c>
    </row>
    <row r="993" spans="1:9" x14ac:dyDescent="0.3">
      <c r="A993">
        <f t="shared" si="120"/>
        <v>20220916</v>
      </c>
      <c r="B993" s="193">
        <v>44820</v>
      </c>
      <c r="C993" s="196" t="str">
        <f t="shared" si="127"/>
        <v>16 September 2022</v>
      </c>
      <c r="D993">
        <f t="shared" si="121"/>
        <v>9</v>
      </c>
      <c r="E993" t="str">
        <f t="shared" si="122"/>
        <v>September</v>
      </c>
      <c r="F993" s="128">
        <f t="shared" si="123"/>
        <v>2022</v>
      </c>
      <c r="G993" s="194" t="str">
        <f t="shared" si="124"/>
        <v>2022-09</v>
      </c>
      <c r="H993" s="193">
        <f t="shared" si="125"/>
        <v>44821</v>
      </c>
      <c r="I993">
        <f t="shared" si="126"/>
        <v>38</v>
      </c>
    </row>
    <row r="994" spans="1:9" x14ac:dyDescent="0.3">
      <c r="A994">
        <f t="shared" si="120"/>
        <v>20220917</v>
      </c>
      <c r="B994" s="193">
        <v>44821</v>
      </c>
      <c r="C994" s="196" t="str">
        <f t="shared" si="127"/>
        <v>17 September 2022</v>
      </c>
      <c r="D994">
        <f t="shared" si="121"/>
        <v>9</v>
      </c>
      <c r="E994" t="str">
        <f t="shared" si="122"/>
        <v>September</v>
      </c>
      <c r="F994" s="128">
        <f t="shared" si="123"/>
        <v>2022</v>
      </c>
      <c r="G994" s="194" t="str">
        <f t="shared" si="124"/>
        <v>2022-09</v>
      </c>
      <c r="H994" s="193">
        <f t="shared" si="125"/>
        <v>44821</v>
      </c>
      <c r="I994">
        <f t="shared" si="126"/>
        <v>38</v>
      </c>
    </row>
    <row r="995" spans="1:9" x14ac:dyDescent="0.3">
      <c r="A995">
        <f t="shared" si="120"/>
        <v>20220918</v>
      </c>
      <c r="B995" s="193">
        <v>44822</v>
      </c>
      <c r="C995" s="196" t="str">
        <f t="shared" si="127"/>
        <v>18 September 2022</v>
      </c>
      <c r="D995">
        <f t="shared" si="121"/>
        <v>9</v>
      </c>
      <c r="E995" t="str">
        <f t="shared" si="122"/>
        <v>September</v>
      </c>
      <c r="F995" s="128">
        <f t="shared" si="123"/>
        <v>2022</v>
      </c>
      <c r="G995" s="194" t="str">
        <f t="shared" si="124"/>
        <v>2022-09</v>
      </c>
      <c r="H995" s="193">
        <f t="shared" si="125"/>
        <v>44828</v>
      </c>
      <c r="I995">
        <f t="shared" si="126"/>
        <v>38</v>
      </c>
    </row>
    <row r="996" spans="1:9" x14ac:dyDescent="0.3">
      <c r="A996">
        <f t="shared" si="120"/>
        <v>20220919</v>
      </c>
      <c r="B996" s="193">
        <v>44823</v>
      </c>
      <c r="C996" s="196" t="str">
        <f t="shared" si="127"/>
        <v>19 September 2022</v>
      </c>
      <c r="D996">
        <f t="shared" si="121"/>
        <v>9</v>
      </c>
      <c r="E996" t="str">
        <f t="shared" si="122"/>
        <v>September</v>
      </c>
      <c r="F996" s="128">
        <f t="shared" si="123"/>
        <v>2022</v>
      </c>
      <c r="G996" s="194" t="str">
        <f t="shared" si="124"/>
        <v>2022-09</v>
      </c>
      <c r="H996" s="193">
        <f t="shared" si="125"/>
        <v>44828</v>
      </c>
      <c r="I996">
        <f t="shared" si="126"/>
        <v>39</v>
      </c>
    </row>
    <row r="997" spans="1:9" x14ac:dyDescent="0.3">
      <c r="A997">
        <f t="shared" si="120"/>
        <v>20220920</v>
      </c>
      <c r="B997" s="193">
        <v>44824</v>
      </c>
      <c r="C997" s="196" t="str">
        <f t="shared" si="127"/>
        <v>20 September 2022</v>
      </c>
      <c r="D997">
        <f t="shared" si="121"/>
        <v>9</v>
      </c>
      <c r="E997" t="str">
        <f t="shared" si="122"/>
        <v>September</v>
      </c>
      <c r="F997" s="128">
        <f t="shared" si="123"/>
        <v>2022</v>
      </c>
      <c r="G997" s="194" t="str">
        <f t="shared" si="124"/>
        <v>2022-09</v>
      </c>
      <c r="H997" s="193">
        <f t="shared" si="125"/>
        <v>44828</v>
      </c>
      <c r="I997">
        <f t="shared" si="126"/>
        <v>39</v>
      </c>
    </row>
    <row r="998" spans="1:9" x14ac:dyDescent="0.3">
      <c r="A998">
        <f t="shared" si="120"/>
        <v>20220921</v>
      </c>
      <c r="B998" s="193">
        <v>44825</v>
      </c>
      <c r="C998" s="196" t="str">
        <f t="shared" si="127"/>
        <v>21 September 2022</v>
      </c>
      <c r="D998">
        <f t="shared" si="121"/>
        <v>9</v>
      </c>
      <c r="E998" t="str">
        <f t="shared" si="122"/>
        <v>September</v>
      </c>
      <c r="F998" s="128">
        <f t="shared" si="123"/>
        <v>2022</v>
      </c>
      <c r="G998" s="194" t="str">
        <f t="shared" si="124"/>
        <v>2022-09</v>
      </c>
      <c r="H998" s="193">
        <f t="shared" si="125"/>
        <v>44828</v>
      </c>
      <c r="I998">
        <f t="shared" si="126"/>
        <v>39</v>
      </c>
    </row>
    <row r="999" spans="1:9" x14ac:dyDescent="0.3">
      <c r="A999">
        <f t="shared" si="120"/>
        <v>20220922</v>
      </c>
      <c r="B999" s="193">
        <v>44826</v>
      </c>
      <c r="C999" s="196" t="str">
        <f t="shared" si="127"/>
        <v>22 September 2022</v>
      </c>
      <c r="D999">
        <f t="shared" si="121"/>
        <v>9</v>
      </c>
      <c r="E999" t="str">
        <f t="shared" si="122"/>
        <v>September</v>
      </c>
      <c r="F999" s="128">
        <f t="shared" si="123"/>
        <v>2022</v>
      </c>
      <c r="G999" s="194" t="str">
        <f t="shared" si="124"/>
        <v>2022-09</v>
      </c>
      <c r="H999" s="193">
        <f t="shared" si="125"/>
        <v>44828</v>
      </c>
      <c r="I999">
        <f t="shared" si="126"/>
        <v>39</v>
      </c>
    </row>
    <row r="1000" spans="1:9" x14ac:dyDescent="0.3">
      <c r="A1000">
        <f t="shared" si="120"/>
        <v>20220923</v>
      </c>
      <c r="B1000" s="193">
        <v>44827</v>
      </c>
      <c r="C1000" s="196" t="str">
        <f t="shared" si="127"/>
        <v>23 September 2022</v>
      </c>
      <c r="D1000">
        <f t="shared" si="121"/>
        <v>9</v>
      </c>
      <c r="E1000" t="str">
        <f t="shared" si="122"/>
        <v>September</v>
      </c>
      <c r="F1000" s="128">
        <f t="shared" si="123"/>
        <v>2022</v>
      </c>
      <c r="G1000" s="194" t="str">
        <f t="shared" si="124"/>
        <v>2022-09</v>
      </c>
      <c r="H1000" s="193">
        <f t="shared" si="125"/>
        <v>44828</v>
      </c>
      <c r="I1000">
        <f t="shared" si="126"/>
        <v>39</v>
      </c>
    </row>
    <row r="1001" spans="1:9" x14ac:dyDescent="0.3">
      <c r="A1001">
        <f t="shared" si="120"/>
        <v>20220924</v>
      </c>
      <c r="B1001" s="193">
        <v>44828</v>
      </c>
      <c r="C1001" s="196" t="str">
        <f t="shared" si="127"/>
        <v>24 September 2022</v>
      </c>
      <c r="D1001">
        <f t="shared" si="121"/>
        <v>9</v>
      </c>
      <c r="E1001" t="str">
        <f t="shared" si="122"/>
        <v>September</v>
      </c>
      <c r="F1001" s="128">
        <f t="shared" si="123"/>
        <v>2022</v>
      </c>
      <c r="G1001" s="194" t="str">
        <f t="shared" si="124"/>
        <v>2022-09</v>
      </c>
      <c r="H1001" s="193">
        <f t="shared" si="125"/>
        <v>44828</v>
      </c>
      <c r="I1001">
        <f t="shared" si="126"/>
        <v>39</v>
      </c>
    </row>
    <row r="1002" spans="1:9" x14ac:dyDescent="0.3">
      <c r="A1002">
        <f t="shared" si="120"/>
        <v>20220925</v>
      </c>
      <c r="B1002" s="193">
        <v>44829</v>
      </c>
      <c r="C1002" s="196" t="str">
        <f t="shared" si="127"/>
        <v>25 September 2022</v>
      </c>
      <c r="D1002">
        <f t="shared" si="121"/>
        <v>9</v>
      </c>
      <c r="E1002" t="str">
        <f t="shared" si="122"/>
        <v>September</v>
      </c>
      <c r="F1002" s="128">
        <f t="shared" si="123"/>
        <v>2022</v>
      </c>
      <c r="G1002" s="194" t="str">
        <f t="shared" si="124"/>
        <v>2022-09</v>
      </c>
      <c r="H1002" s="193">
        <f t="shared" si="125"/>
        <v>44835</v>
      </c>
      <c r="I1002">
        <f t="shared" si="126"/>
        <v>39</v>
      </c>
    </row>
    <row r="1003" spans="1:9" x14ac:dyDescent="0.3">
      <c r="A1003">
        <f t="shared" si="120"/>
        <v>20220926</v>
      </c>
      <c r="B1003" s="193">
        <v>44830</v>
      </c>
      <c r="C1003" s="196" t="str">
        <f t="shared" si="127"/>
        <v>26 September 2022</v>
      </c>
      <c r="D1003">
        <f t="shared" si="121"/>
        <v>9</v>
      </c>
      <c r="E1003" t="str">
        <f t="shared" si="122"/>
        <v>September</v>
      </c>
      <c r="F1003" s="128">
        <f t="shared" si="123"/>
        <v>2022</v>
      </c>
      <c r="G1003" s="194" t="str">
        <f t="shared" si="124"/>
        <v>2022-09</v>
      </c>
      <c r="H1003" s="193">
        <f t="shared" si="125"/>
        <v>44835</v>
      </c>
      <c r="I1003">
        <f t="shared" si="126"/>
        <v>40</v>
      </c>
    </row>
    <row r="1004" spans="1:9" x14ac:dyDescent="0.3">
      <c r="A1004">
        <f t="shared" si="120"/>
        <v>20220927</v>
      </c>
      <c r="B1004" s="193">
        <v>44831</v>
      </c>
      <c r="C1004" s="196" t="str">
        <f t="shared" si="127"/>
        <v>27 September 2022</v>
      </c>
      <c r="D1004">
        <f t="shared" si="121"/>
        <v>9</v>
      </c>
      <c r="E1004" t="str">
        <f t="shared" si="122"/>
        <v>September</v>
      </c>
      <c r="F1004" s="128">
        <f t="shared" si="123"/>
        <v>2022</v>
      </c>
      <c r="G1004" s="194" t="str">
        <f t="shared" si="124"/>
        <v>2022-09</v>
      </c>
      <c r="H1004" s="193">
        <f t="shared" si="125"/>
        <v>44835</v>
      </c>
      <c r="I1004">
        <f t="shared" si="126"/>
        <v>40</v>
      </c>
    </row>
    <row r="1005" spans="1:9" x14ac:dyDescent="0.3">
      <c r="A1005">
        <f t="shared" si="120"/>
        <v>20220928</v>
      </c>
      <c r="B1005" s="193">
        <v>44832</v>
      </c>
      <c r="C1005" s="196" t="str">
        <f t="shared" si="127"/>
        <v>28 September 2022</v>
      </c>
      <c r="D1005">
        <f t="shared" si="121"/>
        <v>9</v>
      </c>
      <c r="E1005" t="str">
        <f t="shared" si="122"/>
        <v>September</v>
      </c>
      <c r="F1005" s="128">
        <f t="shared" si="123"/>
        <v>2022</v>
      </c>
      <c r="G1005" s="194" t="str">
        <f t="shared" si="124"/>
        <v>2022-09</v>
      </c>
      <c r="H1005" s="193">
        <f t="shared" si="125"/>
        <v>44835</v>
      </c>
      <c r="I1005">
        <f t="shared" si="126"/>
        <v>40</v>
      </c>
    </row>
    <row r="1006" spans="1:9" x14ac:dyDescent="0.3">
      <c r="A1006">
        <f t="shared" si="120"/>
        <v>20220929</v>
      </c>
      <c r="B1006" s="193">
        <v>44833</v>
      </c>
      <c r="C1006" s="196" t="str">
        <f t="shared" si="127"/>
        <v>29 September 2022</v>
      </c>
      <c r="D1006">
        <f t="shared" si="121"/>
        <v>9</v>
      </c>
      <c r="E1006" t="str">
        <f t="shared" si="122"/>
        <v>September</v>
      </c>
      <c r="F1006" s="128">
        <f t="shared" si="123"/>
        <v>2022</v>
      </c>
      <c r="G1006" s="194" t="str">
        <f t="shared" si="124"/>
        <v>2022-09</v>
      </c>
      <c r="H1006" s="193">
        <f t="shared" si="125"/>
        <v>44835</v>
      </c>
      <c r="I1006">
        <f t="shared" si="126"/>
        <v>40</v>
      </c>
    </row>
    <row r="1007" spans="1:9" x14ac:dyDescent="0.3">
      <c r="A1007">
        <f t="shared" si="120"/>
        <v>20220930</v>
      </c>
      <c r="B1007" s="193">
        <v>44834</v>
      </c>
      <c r="C1007" s="196" t="str">
        <f t="shared" si="127"/>
        <v>30 September 2022</v>
      </c>
      <c r="D1007">
        <f t="shared" si="121"/>
        <v>9</v>
      </c>
      <c r="E1007" t="str">
        <f t="shared" si="122"/>
        <v>September</v>
      </c>
      <c r="F1007" s="128">
        <f t="shared" si="123"/>
        <v>2022</v>
      </c>
      <c r="G1007" s="194" t="str">
        <f t="shared" si="124"/>
        <v>2022-09</v>
      </c>
      <c r="H1007" s="193">
        <f t="shared" si="125"/>
        <v>44835</v>
      </c>
      <c r="I1007">
        <f t="shared" si="126"/>
        <v>40</v>
      </c>
    </row>
    <row r="1008" spans="1:9" x14ac:dyDescent="0.3">
      <c r="A1008">
        <f t="shared" si="120"/>
        <v>20221001</v>
      </c>
      <c r="B1008" s="193">
        <v>44835</v>
      </c>
      <c r="C1008" s="196" t="str">
        <f t="shared" si="127"/>
        <v>01 October 2022</v>
      </c>
      <c r="D1008">
        <f t="shared" si="121"/>
        <v>10</v>
      </c>
      <c r="E1008" t="str">
        <f t="shared" si="122"/>
        <v>October</v>
      </c>
      <c r="F1008" s="128">
        <f t="shared" si="123"/>
        <v>2022</v>
      </c>
      <c r="G1008" s="194" t="str">
        <f t="shared" si="124"/>
        <v>2022-10</v>
      </c>
      <c r="H1008" s="193">
        <f t="shared" si="125"/>
        <v>44835</v>
      </c>
      <c r="I1008">
        <f t="shared" si="126"/>
        <v>40</v>
      </c>
    </row>
    <row r="1009" spans="1:9" x14ac:dyDescent="0.3">
      <c r="A1009">
        <f t="shared" si="120"/>
        <v>20221002</v>
      </c>
      <c r="B1009" s="193">
        <v>44836</v>
      </c>
      <c r="C1009" s="196" t="str">
        <f t="shared" si="127"/>
        <v>02 October 2022</v>
      </c>
      <c r="D1009">
        <f t="shared" si="121"/>
        <v>10</v>
      </c>
      <c r="E1009" t="str">
        <f t="shared" si="122"/>
        <v>October</v>
      </c>
      <c r="F1009" s="128">
        <f t="shared" si="123"/>
        <v>2022</v>
      </c>
      <c r="G1009" s="194" t="str">
        <f t="shared" si="124"/>
        <v>2022-10</v>
      </c>
      <c r="H1009" s="193">
        <f t="shared" si="125"/>
        <v>44842</v>
      </c>
      <c r="I1009">
        <f t="shared" si="126"/>
        <v>40</v>
      </c>
    </row>
    <row r="1010" spans="1:9" x14ac:dyDescent="0.3">
      <c r="A1010">
        <f t="shared" si="120"/>
        <v>20221003</v>
      </c>
      <c r="B1010" s="193">
        <v>44837</v>
      </c>
      <c r="C1010" s="196" t="str">
        <f t="shared" si="127"/>
        <v>03 October 2022</v>
      </c>
      <c r="D1010">
        <f t="shared" si="121"/>
        <v>10</v>
      </c>
      <c r="E1010" t="str">
        <f t="shared" si="122"/>
        <v>October</v>
      </c>
      <c r="F1010" s="128">
        <f t="shared" si="123"/>
        <v>2022</v>
      </c>
      <c r="G1010" s="194" t="str">
        <f t="shared" si="124"/>
        <v>2022-10</v>
      </c>
      <c r="H1010" s="193">
        <f t="shared" si="125"/>
        <v>44842</v>
      </c>
      <c r="I1010">
        <f t="shared" si="126"/>
        <v>41</v>
      </c>
    </row>
    <row r="1011" spans="1:9" x14ac:dyDescent="0.3">
      <c r="A1011">
        <f t="shared" si="120"/>
        <v>20221004</v>
      </c>
      <c r="B1011" s="193">
        <v>44838</v>
      </c>
      <c r="C1011" s="196" t="str">
        <f t="shared" si="127"/>
        <v>04 October 2022</v>
      </c>
      <c r="D1011">
        <f t="shared" si="121"/>
        <v>10</v>
      </c>
      <c r="E1011" t="str">
        <f t="shared" si="122"/>
        <v>October</v>
      </c>
      <c r="F1011" s="128">
        <f t="shared" si="123"/>
        <v>2022</v>
      </c>
      <c r="G1011" s="194" t="str">
        <f t="shared" si="124"/>
        <v>2022-10</v>
      </c>
      <c r="H1011" s="193">
        <f t="shared" si="125"/>
        <v>44842</v>
      </c>
      <c r="I1011">
        <f t="shared" si="126"/>
        <v>41</v>
      </c>
    </row>
    <row r="1012" spans="1:9" x14ac:dyDescent="0.3">
      <c r="A1012">
        <f t="shared" si="120"/>
        <v>20221005</v>
      </c>
      <c r="B1012" s="193">
        <v>44839</v>
      </c>
      <c r="C1012" s="196" t="str">
        <f t="shared" si="127"/>
        <v>05 October 2022</v>
      </c>
      <c r="D1012">
        <f t="shared" si="121"/>
        <v>10</v>
      </c>
      <c r="E1012" t="str">
        <f t="shared" si="122"/>
        <v>October</v>
      </c>
      <c r="F1012" s="128">
        <f t="shared" si="123"/>
        <v>2022</v>
      </c>
      <c r="G1012" s="194" t="str">
        <f t="shared" si="124"/>
        <v>2022-10</v>
      </c>
      <c r="H1012" s="193">
        <f t="shared" si="125"/>
        <v>44842</v>
      </c>
      <c r="I1012">
        <f t="shared" si="126"/>
        <v>41</v>
      </c>
    </row>
    <row r="1013" spans="1:9" x14ac:dyDescent="0.3">
      <c r="A1013">
        <f t="shared" si="120"/>
        <v>20221006</v>
      </c>
      <c r="B1013" s="193">
        <v>44840</v>
      </c>
      <c r="C1013" s="196" t="str">
        <f t="shared" si="127"/>
        <v>06 October 2022</v>
      </c>
      <c r="D1013">
        <f t="shared" si="121"/>
        <v>10</v>
      </c>
      <c r="E1013" t="str">
        <f t="shared" si="122"/>
        <v>October</v>
      </c>
      <c r="F1013" s="128">
        <f t="shared" si="123"/>
        <v>2022</v>
      </c>
      <c r="G1013" s="194" t="str">
        <f t="shared" si="124"/>
        <v>2022-10</v>
      </c>
      <c r="H1013" s="193">
        <f t="shared" si="125"/>
        <v>44842</v>
      </c>
      <c r="I1013">
        <f t="shared" si="126"/>
        <v>41</v>
      </c>
    </row>
    <row r="1014" spans="1:9" x14ac:dyDescent="0.3">
      <c r="A1014">
        <f t="shared" si="120"/>
        <v>20221007</v>
      </c>
      <c r="B1014" s="193">
        <v>44841</v>
      </c>
      <c r="C1014" s="196" t="str">
        <f t="shared" si="127"/>
        <v>07 October 2022</v>
      </c>
      <c r="D1014">
        <f t="shared" si="121"/>
        <v>10</v>
      </c>
      <c r="E1014" t="str">
        <f t="shared" si="122"/>
        <v>October</v>
      </c>
      <c r="F1014" s="128">
        <f t="shared" si="123"/>
        <v>2022</v>
      </c>
      <c r="G1014" s="194" t="str">
        <f t="shared" si="124"/>
        <v>2022-10</v>
      </c>
      <c r="H1014" s="193">
        <f t="shared" si="125"/>
        <v>44842</v>
      </c>
      <c r="I1014">
        <f t="shared" si="126"/>
        <v>41</v>
      </c>
    </row>
    <row r="1015" spans="1:9" x14ac:dyDescent="0.3">
      <c r="A1015">
        <f t="shared" si="120"/>
        <v>20221008</v>
      </c>
      <c r="B1015" s="193">
        <v>44842</v>
      </c>
      <c r="C1015" s="196" t="str">
        <f t="shared" si="127"/>
        <v>08 October 2022</v>
      </c>
      <c r="D1015">
        <f t="shared" si="121"/>
        <v>10</v>
      </c>
      <c r="E1015" t="str">
        <f t="shared" si="122"/>
        <v>October</v>
      </c>
      <c r="F1015" s="128">
        <f t="shared" si="123"/>
        <v>2022</v>
      </c>
      <c r="G1015" s="194" t="str">
        <f t="shared" si="124"/>
        <v>2022-10</v>
      </c>
      <c r="H1015" s="193">
        <f t="shared" si="125"/>
        <v>44842</v>
      </c>
      <c r="I1015">
        <f t="shared" si="126"/>
        <v>41</v>
      </c>
    </row>
    <row r="1016" spans="1:9" x14ac:dyDescent="0.3">
      <c r="A1016">
        <f t="shared" si="120"/>
        <v>20221009</v>
      </c>
      <c r="B1016" s="193">
        <v>44843</v>
      </c>
      <c r="C1016" s="196" t="str">
        <f t="shared" si="127"/>
        <v>09 October 2022</v>
      </c>
      <c r="D1016">
        <f t="shared" si="121"/>
        <v>10</v>
      </c>
      <c r="E1016" t="str">
        <f t="shared" si="122"/>
        <v>October</v>
      </c>
      <c r="F1016" s="128">
        <f t="shared" si="123"/>
        <v>2022</v>
      </c>
      <c r="G1016" s="194" t="str">
        <f t="shared" si="124"/>
        <v>2022-10</v>
      </c>
      <c r="H1016" s="193">
        <f t="shared" si="125"/>
        <v>44849</v>
      </c>
      <c r="I1016">
        <f t="shared" si="126"/>
        <v>41</v>
      </c>
    </row>
    <row r="1017" spans="1:9" x14ac:dyDescent="0.3">
      <c r="A1017">
        <f t="shared" si="120"/>
        <v>20221010</v>
      </c>
      <c r="B1017" s="193">
        <v>44844</v>
      </c>
      <c r="C1017" s="196" t="str">
        <f t="shared" si="127"/>
        <v>10 October 2022</v>
      </c>
      <c r="D1017">
        <f t="shared" si="121"/>
        <v>10</v>
      </c>
      <c r="E1017" t="str">
        <f t="shared" si="122"/>
        <v>October</v>
      </c>
      <c r="F1017" s="128">
        <f t="shared" si="123"/>
        <v>2022</v>
      </c>
      <c r="G1017" s="194" t="str">
        <f t="shared" si="124"/>
        <v>2022-10</v>
      </c>
      <c r="H1017" s="193">
        <f t="shared" si="125"/>
        <v>44849</v>
      </c>
      <c r="I1017">
        <f t="shared" si="126"/>
        <v>42</v>
      </c>
    </row>
    <row r="1018" spans="1:9" x14ac:dyDescent="0.3">
      <c r="A1018">
        <f t="shared" si="120"/>
        <v>20221011</v>
      </c>
      <c r="B1018" s="193">
        <v>44845</v>
      </c>
      <c r="C1018" s="196" t="str">
        <f t="shared" si="127"/>
        <v>11 October 2022</v>
      </c>
      <c r="D1018">
        <f t="shared" si="121"/>
        <v>10</v>
      </c>
      <c r="E1018" t="str">
        <f t="shared" si="122"/>
        <v>October</v>
      </c>
      <c r="F1018" s="128">
        <f t="shared" si="123"/>
        <v>2022</v>
      </c>
      <c r="G1018" s="194" t="str">
        <f t="shared" si="124"/>
        <v>2022-10</v>
      </c>
      <c r="H1018" s="193">
        <f t="shared" si="125"/>
        <v>44849</v>
      </c>
      <c r="I1018">
        <f t="shared" si="126"/>
        <v>42</v>
      </c>
    </row>
    <row r="1019" spans="1:9" x14ac:dyDescent="0.3">
      <c r="A1019">
        <f t="shared" si="120"/>
        <v>20221012</v>
      </c>
      <c r="B1019" s="193">
        <v>44846</v>
      </c>
      <c r="C1019" s="196" t="str">
        <f t="shared" si="127"/>
        <v>12 October 2022</v>
      </c>
      <c r="D1019">
        <f t="shared" si="121"/>
        <v>10</v>
      </c>
      <c r="E1019" t="str">
        <f t="shared" si="122"/>
        <v>October</v>
      </c>
      <c r="F1019" s="128">
        <f t="shared" si="123"/>
        <v>2022</v>
      </c>
      <c r="G1019" s="194" t="str">
        <f t="shared" si="124"/>
        <v>2022-10</v>
      </c>
      <c r="H1019" s="193">
        <f t="shared" si="125"/>
        <v>44849</v>
      </c>
      <c r="I1019">
        <f t="shared" si="126"/>
        <v>42</v>
      </c>
    </row>
    <row r="1020" spans="1:9" x14ac:dyDescent="0.3">
      <c r="A1020">
        <f t="shared" si="120"/>
        <v>20221013</v>
      </c>
      <c r="B1020" s="193">
        <v>44847</v>
      </c>
      <c r="C1020" s="196" t="str">
        <f t="shared" si="127"/>
        <v>13 October 2022</v>
      </c>
      <c r="D1020">
        <f t="shared" si="121"/>
        <v>10</v>
      </c>
      <c r="E1020" t="str">
        <f t="shared" si="122"/>
        <v>October</v>
      </c>
      <c r="F1020" s="128">
        <f t="shared" si="123"/>
        <v>2022</v>
      </c>
      <c r="G1020" s="194" t="str">
        <f t="shared" si="124"/>
        <v>2022-10</v>
      </c>
      <c r="H1020" s="193">
        <f t="shared" si="125"/>
        <v>44849</v>
      </c>
      <c r="I1020">
        <f t="shared" si="126"/>
        <v>42</v>
      </c>
    </row>
    <row r="1021" spans="1:9" x14ac:dyDescent="0.3">
      <c r="A1021">
        <f t="shared" si="120"/>
        <v>20221014</v>
      </c>
      <c r="B1021" s="193">
        <v>44848</v>
      </c>
      <c r="C1021" s="196" t="str">
        <f t="shared" si="127"/>
        <v>14 October 2022</v>
      </c>
      <c r="D1021">
        <f t="shared" si="121"/>
        <v>10</v>
      </c>
      <c r="E1021" t="str">
        <f t="shared" si="122"/>
        <v>October</v>
      </c>
      <c r="F1021" s="128">
        <f t="shared" si="123"/>
        <v>2022</v>
      </c>
      <c r="G1021" s="194" t="str">
        <f t="shared" si="124"/>
        <v>2022-10</v>
      </c>
      <c r="H1021" s="193">
        <f t="shared" si="125"/>
        <v>44849</v>
      </c>
      <c r="I1021">
        <f t="shared" si="126"/>
        <v>42</v>
      </c>
    </row>
    <row r="1022" spans="1:9" x14ac:dyDescent="0.3">
      <c r="A1022">
        <f t="shared" si="120"/>
        <v>20221015</v>
      </c>
      <c r="B1022" s="193">
        <v>44849</v>
      </c>
      <c r="C1022" s="196" t="str">
        <f t="shared" si="127"/>
        <v>15 October 2022</v>
      </c>
      <c r="D1022">
        <f t="shared" si="121"/>
        <v>10</v>
      </c>
      <c r="E1022" t="str">
        <f t="shared" si="122"/>
        <v>October</v>
      </c>
      <c r="F1022" s="128">
        <f t="shared" si="123"/>
        <v>2022</v>
      </c>
      <c r="G1022" s="194" t="str">
        <f t="shared" si="124"/>
        <v>2022-10</v>
      </c>
      <c r="H1022" s="193">
        <f t="shared" si="125"/>
        <v>44849</v>
      </c>
      <c r="I1022">
        <f t="shared" si="126"/>
        <v>42</v>
      </c>
    </row>
    <row r="1023" spans="1:9" x14ac:dyDescent="0.3">
      <c r="A1023">
        <f t="shared" si="120"/>
        <v>20221016</v>
      </c>
      <c r="B1023" s="193">
        <v>44850</v>
      </c>
      <c r="C1023" s="196" t="str">
        <f t="shared" si="127"/>
        <v>16 October 2022</v>
      </c>
      <c r="D1023">
        <f t="shared" si="121"/>
        <v>10</v>
      </c>
      <c r="E1023" t="str">
        <f t="shared" si="122"/>
        <v>October</v>
      </c>
      <c r="F1023" s="128">
        <f t="shared" si="123"/>
        <v>2022</v>
      </c>
      <c r="G1023" s="194" t="str">
        <f t="shared" si="124"/>
        <v>2022-10</v>
      </c>
      <c r="H1023" s="193">
        <f t="shared" si="125"/>
        <v>44856</v>
      </c>
      <c r="I1023">
        <f t="shared" si="126"/>
        <v>42</v>
      </c>
    </row>
    <row r="1024" spans="1:9" x14ac:dyDescent="0.3">
      <c r="A1024">
        <f t="shared" si="120"/>
        <v>20221017</v>
      </c>
      <c r="B1024" s="193">
        <v>44851</v>
      </c>
      <c r="C1024" s="196" t="str">
        <f t="shared" si="127"/>
        <v>17 October 2022</v>
      </c>
      <c r="D1024">
        <f t="shared" si="121"/>
        <v>10</v>
      </c>
      <c r="E1024" t="str">
        <f t="shared" si="122"/>
        <v>October</v>
      </c>
      <c r="F1024" s="128">
        <f t="shared" si="123"/>
        <v>2022</v>
      </c>
      <c r="G1024" s="194" t="str">
        <f t="shared" si="124"/>
        <v>2022-10</v>
      </c>
      <c r="H1024" s="193">
        <f t="shared" si="125"/>
        <v>44856</v>
      </c>
      <c r="I1024">
        <f t="shared" si="126"/>
        <v>43</v>
      </c>
    </row>
    <row r="1025" spans="1:9" x14ac:dyDescent="0.3">
      <c r="A1025">
        <f t="shared" si="120"/>
        <v>20221018</v>
      </c>
      <c r="B1025" s="193">
        <v>44852</v>
      </c>
      <c r="C1025" s="196" t="str">
        <f t="shared" si="127"/>
        <v>18 October 2022</v>
      </c>
      <c r="D1025">
        <f t="shared" si="121"/>
        <v>10</v>
      </c>
      <c r="E1025" t="str">
        <f t="shared" si="122"/>
        <v>October</v>
      </c>
      <c r="F1025" s="128">
        <f t="shared" si="123"/>
        <v>2022</v>
      </c>
      <c r="G1025" s="194" t="str">
        <f t="shared" si="124"/>
        <v>2022-10</v>
      </c>
      <c r="H1025" s="193">
        <f t="shared" si="125"/>
        <v>44856</v>
      </c>
      <c r="I1025">
        <f t="shared" si="126"/>
        <v>43</v>
      </c>
    </row>
    <row r="1026" spans="1:9" x14ac:dyDescent="0.3">
      <c r="A1026">
        <f t="shared" si="120"/>
        <v>20221019</v>
      </c>
      <c r="B1026" s="193">
        <v>44853</v>
      </c>
      <c r="C1026" s="196" t="str">
        <f t="shared" si="127"/>
        <v>19 October 2022</v>
      </c>
      <c r="D1026">
        <f t="shared" si="121"/>
        <v>10</v>
      </c>
      <c r="E1026" t="str">
        <f t="shared" si="122"/>
        <v>October</v>
      </c>
      <c r="F1026" s="128">
        <f t="shared" si="123"/>
        <v>2022</v>
      </c>
      <c r="G1026" s="194" t="str">
        <f t="shared" si="124"/>
        <v>2022-10</v>
      </c>
      <c r="H1026" s="193">
        <f t="shared" si="125"/>
        <v>44856</v>
      </c>
      <c r="I1026">
        <f t="shared" si="126"/>
        <v>43</v>
      </c>
    </row>
    <row r="1027" spans="1:9" x14ac:dyDescent="0.3">
      <c r="A1027">
        <f t="shared" ref="A1027:A1090" si="128">YEAR(B1027)*10000+MONTH(B1027)*100+DAY(B1027)</f>
        <v>20221020</v>
      </c>
      <c r="B1027" s="193">
        <v>44854</v>
      </c>
      <c r="C1027" s="196" t="str">
        <f t="shared" si="127"/>
        <v>20 October 2022</v>
      </c>
      <c r="D1027">
        <f t="shared" ref="D1027:D1090" si="129">MONTH(B1027)</f>
        <v>10</v>
      </c>
      <c r="E1027" t="str">
        <f t="shared" ref="E1027:E1090" si="130">TEXT(B1027,"MMMM")</f>
        <v>October</v>
      </c>
      <c r="F1027" s="128">
        <f t="shared" ref="F1027:F1090" si="131">YEAR(B1027)</f>
        <v>2022</v>
      </c>
      <c r="G1027" s="194" t="str">
        <f t="shared" ref="G1027:G1090" si="132">TEXT(B1027,"YYYY-MM")</f>
        <v>2022-10</v>
      </c>
      <c r="H1027" s="193">
        <f t="shared" ref="H1027:H1090" si="133">B1027-WEEKDAY(B1027)+7</f>
        <v>44856</v>
      </c>
      <c r="I1027">
        <f t="shared" ref="I1027:I1090" si="134">WEEKNUM(B1027,2)</f>
        <v>43</v>
      </c>
    </row>
    <row r="1028" spans="1:9" x14ac:dyDescent="0.3">
      <c r="A1028">
        <f t="shared" si="128"/>
        <v>20221021</v>
      </c>
      <c r="B1028" s="193">
        <v>44855</v>
      </c>
      <c r="C1028" s="196" t="str">
        <f t="shared" ref="C1028:C1091" si="135">TEXT(B1028,"dd MMMM YYYY")</f>
        <v>21 October 2022</v>
      </c>
      <c r="D1028">
        <f t="shared" si="129"/>
        <v>10</v>
      </c>
      <c r="E1028" t="str">
        <f t="shared" si="130"/>
        <v>October</v>
      </c>
      <c r="F1028" s="128">
        <f t="shared" si="131"/>
        <v>2022</v>
      </c>
      <c r="G1028" s="194" t="str">
        <f t="shared" si="132"/>
        <v>2022-10</v>
      </c>
      <c r="H1028" s="193">
        <f t="shared" si="133"/>
        <v>44856</v>
      </c>
      <c r="I1028">
        <f t="shared" si="134"/>
        <v>43</v>
      </c>
    </row>
    <row r="1029" spans="1:9" x14ac:dyDescent="0.3">
      <c r="A1029">
        <f t="shared" si="128"/>
        <v>20221022</v>
      </c>
      <c r="B1029" s="193">
        <v>44856</v>
      </c>
      <c r="C1029" s="196" t="str">
        <f t="shared" si="135"/>
        <v>22 October 2022</v>
      </c>
      <c r="D1029">
        <f t="shared" si="129"/>
        <v>10</v>
      </c>
      <c r="E1029" t="str">
        <f t="shared" si="130"/>
        <v>October</v>
      </c>
      <c r="F1029" s="128">
        <f t="shared" si="131"/>
        <v>2022</v>
      </c>
      <c r="G1029" s="194" t="str">
        <f t="shared" si="132"/>
        <v>2022-10</v>
      </c>
      <c r="H1029" s="193">
        <f t="shared" si="133"/>
        <v>44856</v>
      </c>
      <c r="I1029">
        <f t="shared" si="134"/>
        <v>43</v>
      </c>
    </row>
    <row r="1030" spans="1:9" x14ac:dyDescent="0.3">
      <c r="A1030">
        <f t="shared" si="128"/>
        <v>20221023</v>
      </c>
      <c r="B1030" s="193">
        <v>44857</v>
      </c>
      <c r="C1030" s="196" t="str">
        <f t="shared" si="135"/>
        <v>23 October 2022</v>
      </c>
      <c r="D1030">
        <f t="shared" si="129"/>
        <v>10</v>
      </c>
      <c r="E1030" t="str">
        <f t="shared" si="130"/>
        <v>October</v>
      </c>
      <c r="F1030" s="128">
        <f t="shared" si="131"/>
        <v>2022</v>
      </c>
      <c r="G1030" s="194" t="str">
        <f t="shared" si="132"/>
        <v>2022-10</v>
      </c>
      <c r="H1030" s="193">
        <f t="shared" si="133"/>
        <v>44863</v>
      </c>
      <c r="I1030">
        <f t="shared" si="134"/>
        <v>43</v>
      </c>
    </row>
    <row r="1031" spans="1:9" x14ac:dyDescent="0.3">
      <c r="A1031">
        <f t="shared" si="128"/>
        <v>20221024</v>
      </c>
      <c r="B1031" s="193">
        <v>44858</v>
      </c>
      <c r="C1031" s="196" t="str">
        <f t="shared" si="135"/>
        <v>24 October 2022</v>
      </c>
      <c r="D1031">
        <f t="shared" si="129"/>
        <v>10</v>
      </c>
      <c r="E1031" t="str">
        <f t="shared" si="130"/>
        <v>October</v>
      </c>
      <c r="F1031" s="128">
        <f t="shared" si="131"/>
        <v>2022</v>
      </c>
      <c r="G1031" s="194" t="str">
        <f t="shared" si="132"/>
        <v>2022-10</v>
      </c>
      <c r="H1031" s="193">
        <f t="shared" si="133"/>
        <v>44863</v>
      </c>
      <c r="I1031">
        <f t="shared" si="134"/>
        <v>44</v>
      </c>
    </row>
    <row r="1032" spans="1:9" x14ac:dyDescent="0.3">
      <c r="A1032">
        <f t="shared" si="128"/>
        <v>20221025</v>
      </c>
      <c r="B1032" s="193">
        <v>44859</v>
      </c>
      <c r="C1032" s="196" t="str">
        <f t="shared" si="135"/>
        <v>25 October 2022</v>
      </c>
      <c r="D1032">
        <f t="shared" si="129"/>
        <v>10</v>
      </c>
      <c r="E1032" t="str">
        <f t="shared" si="130"/>
        <v>October</v>
      </c>
      <c r="F1032" s="128">
        <f t="shared" si="131"/>
        <v>2022</v>
      </c>
      <c r="G1032" s="194" t="str">
        <f t="shared" si="132"/>
        <v>2022-10</v>
      </c>
      <c r="H1032" s="193">
        <f t="shared" si="133"/>
        <v>44863</v>
      </c>
      <c r="I1032">
        <f t="shared" si="134"/>
        <v>44</v>
      </c>
    </row>
    <row r="1033" spans="1:9" x14ac:dyDescent="0.3">
      <c r="A1033">
        <f t="shared" si="128"/>
        <v>20221026</v>
      </c>
      <c r="B1033" s="193">
        <v>44860</v>
      </c>
      <c r="C1033" s="196" t="str">
        <f t="shared" si="135"/>
        <v>26 October 2022</v>
      </c>
      <c r="D1033">
        <f t="shared" si="129"/>
        <v>10</v>
      </c>
      <c r="E1033" t="str">
        <f t="shared" si="130"/>
        <v>October</v>
      </c>
      <c r="F1033" s="128">
        <f t="shared" si="131"/>
        <v>2022</v>
      </c>
      <c r="G1033" s="194" t="str">
        <f t="shared" si="132"/>
        <v>2022-10</v>
      </c>
      <c r="H1033" s="193">
        <f t="shared" si="133"/>
        <v>44863</v>
      </c>
      <c r="I1033">
        <f t="shared" si="134"/>
        <v>44</v>
      </c>
    </row>
    <row r="1034" spans="1:9" x14ac:dyDescent="0.3">
      <c r="A1034">
        <f t="shared" si="128"/>
        <v>20221027</v>
      </c>
      <c r="B1034" s="193">
        <v>44861</v>
      </c>
      <c r="C1034" s="196" t="str">
        <f t="shared" si="135"/>
        <v>27 October 2022</v>
      </c>
      <c r="D1034">
        <f t="shared" si="129"/>
        <v>10</v>
      </c>
      <c r="E1034" t="str">
        <f t="shared" si="130"/>
        <v>October</v>
      </c>
      <c r="F1034" s="128">
        <f t="shared" si="131"/>
        <v>2022</v>
      </c>
      <c r="G1034" s="194" t="str">
        <f t="shared" si="132"/>
        <v>2022-10</v>
      </c>
      <c r="H1034" s="193">
        <f t="shared" si="133"/>
        <v>44863</v>
      </c>
      <c r="I1034">
        <f t="shared" si="134"/>
        <v>44</v>
      </c>
    </row>
    <row r="1035" spans="1:9" x14ac:dyDescent="0.3">
      <c r="A1035">
        <f t="shared" si="128"/>
        <v>20221028</v>
      </c>
      <c r="B1035" s="193">
        <v>44862</v>
      </c>
      <c r="C1035" s="196" t="str">
        <f t="shared" si="135"/>
        <v>28 October 2022</v>
      </c>
      <c r="D1035">
        <f t="shared" si="129"/>
        <v>10</v>
      </c>
      <c r="E1035" t="str">
        <f t="shared" si="130"/>
        <v>October</v>
      </c>
      <c r="F1035" s="128">
        <f t="shared" si="131"/>
        <v>2022</v>
      </c>
      <c r="G1035" s="194" t="str">
        <f t="shared" si="132"/>
        <v>2022-10</v>
      </c>
      <c r="H1035" s="193">
        <f t="shared" si="133"/>
        <v>44863</v>
      </c>
      <c r="I1035">
        <f t="shared" si="134"/>
        <v>44</v>
      </c>
    </row>
    <row r="1036" spans="1:9" x14ac:dyDescent="0.3">
      <c r="A1036">
        <f t="shared" si="128"/>
        <v>20221029</v>
      </c>
      <c r="B1036" s="193">
        <v>44863</v>
      </c>
      <c r="C1036" s="196" t="str">
        <f t="shared" si="135"/>
        <v>29 October 2022</v>
      </c>
      <c r="D1036">
        <f t="shared" si="129"/>
        <v>10</v>
      </c>
      <c r="E1036" t="str">
        <f t="shared" si="130"/>
        <v>October</v>
      </c>
      <c r="F1036" s="128">
        <f t="shared" si="131"/>
        <v>2022</v>
      </c>
      <c r="G1036" s="194" t="str">
        <f t="shared" si="132"/>
        <v>2022-10</v>
      </c>
      <c r="H1036" s="193">
        <f t="shared" si="133"/>
        <v>44863</v>
      </c>
      <c r="I1036">
        <f t="shared" si="134"/>
        <v>44</v>
      </c>
    </row>
    <row r="1037" spans="1:9" x14ac:dyDescent="0.3">
      <c r="A1037">
        <f t="shared" si="128"/>
        <v>20221030</v>
      </c>
      <c r="B1037" s="193">
        <v>44864</v>
      </c>
      <c r="C1037" s="196" t="str">
        <f t="shared" si="135"/>
        <v>30 October 2022</v>
      </c>
      <c r="D1037">
        <f t="shared" si="129"/>
        <v>10</v>
      </c>
      <c r="E1037" t="str">
        <f t="shared" si="130"/>
        <v>October</v>
      </c>
      <c r="F1037" s="128">
        <f t="shared" si="131"/>
        <v>2022</v>
      </c>
      <c r="G1037" s="194" t="str">
        <f t="shared" si="132"/>
        <v>2022-10</v>
      </c>
      <c r="H1037" s="193">
        <f t="shared" si="133"/>
        <v>44870</v>
      </c>
      <c r="I1037">
        <f t="shared" si="134"/>
        <v>44</v>
      </c>
    </row>
    <row r="1038" spans="1:9" x14ac:dyDescent="0.3">
      <c r="A1038">
        <f t="shared" si="128"/>
        <v>20221031</v>
      </c>
      <c r="B1038" s="193">
        <v>44865</v>
      </c>
      <c r="C1038" s="196" t="str">
        <f t="shared" si="135"/>
        <v>31 October 2022</v>
      </c>
      <c r="D1038">
        <f t="shared" si="129"/>
        <v>10</v>
      </c>
      <c r="E1038" t="str">
        <f t="shared" si="130"/>
        <v>October</v>
      </c>
      <c r="F1038" s="128">
        <f t="shared" si="131"/>
        <v>2022</v>
      </c>
      <c r="G1038" s="194" t="str">
        <f t="shared" si="132"/>
        <v>2022-10</v>
      </c>
      <c r="H1038" s="193">
        <f t="shared" si="133"/>
        <v>44870</v>
      </c>
      <c r="I1038">
        <f t="shared" si="134"/>
        <v>45</v>
      </c>
    </row>
    <row r="1039" spans="1:9" x14ac:dyDescent="0.3">
      <c r="A1039">
        <f t="shared" si="128"/>
        <v>20221101</v>
      </c>
      <c r="B1039" s="193">
        <v>44866</v>
      </c>
      <c r="C1039" s="196" t="str">
        <f t="shared" si="135"/>
        <v>01 November 2022</v>
      </c>
      <c r="D1039">
        <f t="shared" si="129"/>
        <v>11</v>
      </c>
      <c r="E1039" t="str">
        <f t="shared" si="130"/>
        <v>November</v>
      </c>
      <c r="F1039" s="128">
        <f t="shared" si="131"/>
        <v>2022</v>
      </c>
      <c r="G1039" s="194" t="str">
        <f t="shared" si="132"/>
        <v>2022-11</v>
      </c>
      <c r="H1039" s="193">
        <f t="shared" si="133"/>
        <v>44870</v>
      </c>
      <c r="I1039">
        <f t="shared" si="134"/>
        <v>45</v>
      </c>
    </row>
    <row r="1040" spans="1:9" x14ac:dyDescent="0.3">
      <c r="A1040">
        <f t="shared" si="128"/>
        <v>20221102</v>
      </c>
      <c r="B1040" s="193">
        <v>44867</v>
      </c>
      <c r="C1040" s="196" t="str">
        <f t="shared" si="135"/>
        <v>02 November 2022</v>
      </c>
      <c r="D1040">
        <f t="shared" si="129"/>
        <v>11</v>
      </c>
      <c r="E1040" t="str">
        <f t="shared" si="130"/>
        <v>November</v>
      </c>
      <c r="F1040" s="128">
        <f t="shared" si="131"/>
        <v>2022</v>
      </c>
      <c r="G1040" s="194" t="str">
        <f t="shared" si="132"/>
        <v>2022-11</v>
      </c>
      <c r="H1040" s="193">
        <f t="shared" si="133"/>
        <v>44870</v>
      </c>
      <c r="I1040">
        <f t="shared" si="134"/>
        <v>45</v>
      </c>
    </row>
    <row r="1041" spans="1:9" x14ac:dyDescent="0.3">
      <c r="A1041">
        <f t="shared" si="128"/>
        <v>20221103</v>
      </c>
      <c r="B1041" s="193">
        <v>44868</v>
      </c>
      <c r="C1041" s="196" t="str">
        <f t="shared" si="135"/>
        <v>03 November 2022</v>
      </c>
      <c r="D1041">
        <f t="shared" si="129"/>
        <v>11</v>
      </c>
      <c r="E1041" t="str">
        <f t="shared" si="130"/>
        <v>November</v>
      </c>
      <c r="F1041" s="128">
        <f t="shared" si="131"/>
        <v>2022</v>
      </c>
      <c r="G1041" s="194" t="str">
        <f t="shared" si="132"/>
        <v>2022-11</v>
      </c>
      <c r="H1041" s="193">
        <f t="shared" si="133"/>
        <v>44870</v>
      </c>
      <c r="I1041">
        <f t="shared" si="134"/>
        <v>45</v>
      </c>
    </row>
    <row r="1042" spans="1:9" x14ac:dyDescent="0.3">
      <c r="A1042">
        <f t="shared" si="128"/>
        <v>20221104</v>
      </c>
      <c r="B1042" s="193">
        <v>44869</v>
      </c>
      <c r="C1042" s="196" t="str">
        <f t="shared" si="135"/>
        <v>04 November 2022</v>
      </c>
      <c r="D1042">
        <f t="shared" si="129"/>
        <v>11</v>
      </c>
      <c r="E1042" t="str">
        <f t="shared" si="130"/>
        <v>November</v>
      </c>
      <c r="F1042" s="128">
        <f t="shared" si="131"/>
        <v>2022</v>
      </c>
      <c r="G1042" s="194" t="str">
        <f t="shared" si="132"/>
        <v>2022-11</v>
      </c>
      <c r="H1042" s="193">
        <f t="shared" si="133"/>
        <v>44870</v>
      </c>
      <c r="I1042">
        <f t="shared" si="134"/>
        <v>45</v>
      </c>
    </row>
    <row r="1043" spans="1:9" x14ac:dyDescent="0.3">
      <c r="A1043">
        <f t="shared" si="128"/>
        <v>20221105</v>
      </c>
      <c r="B1043" s="193">
        <v>44870</v>
      </c>
      <c r="C1043" s="196" t="str">
        <f t="shared" si="135"/>
        <v>05 November 2022</v>
      </c>
      <c r="D1043">
        <f t="shared" si="129"/>
        <v>11</v>
      </c>
      <c r="E1043" t="str">
        <f t="shared" si="130"/>
        <v>November</v>
      </c>
      <c r="F1043" s="128">
        <f t="shared" si="131"/>
        <v>2022</v>
      </c>
      <c r="G1043" s="194" t="str">
        <f t="shared" si="132"/>
        <v>2022-11</v>
      </c>
      <c r="H1043" s="193">
        <f t="shared" si="133"/>
        <v>44870</v>
      </c>
      <c r="I1043">
        <f t="shared" si="134"/>
        <v>45</v>
      </c>
    </row>
    <row r="1044" spans="1:9" x14ac:dyDescent="0.3">
      <c r="A1044">
        <f t="shared" si="128"/>
        <v>20221106</v>
      </c>
      <c r="B1044" s="193">
        <v>44871</v>
      </c>
      <c r="C1044" s="196" t="str">
        <f t="shared" si="135"/>
        <v>06 November 2022</v>
      </c>
      <c r="D1044">
        <f t="shared" si="129"/>
        <v>11</v>
      </c>
      <c r="E1044" t="str">
        <f t="shared" si="130"/>
        <v>November</v>
      </c>
      <c r="F1044" s="128">
        <f t="shared" si="131"/>
        <v>2022</v>
      </c>
      <c r="G1044" s="194" t="str">
        <f t="shared" si="132"/>
        <v>2022-11</v>
      </c>
      <c r="H1044" s="193">
        <f t="shared" si="133"/>
        <v>44877</v>
      </c>
      <c r="I1044">
        <f t="shared" si="134"/>
        <v>45</v>
      </c>
    </row>
    <row r="1045" spans="1:9" x14ac:dyDescent="0.3">
      <c r="A1045">
        <f t="shared" si="128"/>
        <v>20221107</v>
      </c>
      <c r="B1045" s="193">
        <v>44872</v>
      </c>
      <c r="C1045" s="196" t="str">
        <f t="shared" si="135"/>
        <v>07 November 2022</v>
      </c>
      <c r="D1045">
        <f t="shared" si="129"/>
        <v>11</v>
      </c>
      <c r="E1045" t="str">
        <f t="shared" si="130"/>
        <v>November</v>
      </c>
      <c r="F1045" s="128">
        <f t="shared" si="131"/>
        <v>2022</v>
      </c>
      <c r="G1045" s="194" t="str">
        <f t="shared" si="132"/>
        <v>2022-11</v>
      </c>
      <c r="H1045" s="193">
        <f t="shared" si="133"/>
        <v>44877</v>
      </c>
      <c r="I1045">
        <f t="shared" si="134"/>
        <v>46</v>
      </c>
    </row>
    <row r="1046" spans="1:9" x14ac:dyDescent="0.3">
      <c r="A1046">
        <f t="shared" si="128"/>
        <v>20221108</v>
      </c>
      <c r="B1046" s="193">
        <v>44873</v>
      </c>
      <c r="C1046" s="196" t="str">
        <f t="shared" si="135"/>
        <v>08 November 2022</v>
      </c>
      <c r="D1046">
        <f t="shared" si="129"/>
        <v>11</v>
      </c>
      <c r="E1046" t="str">
        <f t="shared" si="130"/>
        <v>November</v>
      </c>
      <c r="F1046" s="128">
        <f t="shared" si="131"/>
        <v>2022</v>
      </c>
      <c r="G1046" s="194" t="str">
        <f t="shared" si="132"/>
        <v>2022-11</v>
      </c>
      <c r="H1046" s="193">
        <f t="shared" si="133"/>
        <v>44877</v>
      </c>
      <c r="I1046">
        <f t="shared" si="134"/>
        <v>46</v>
      </c>
    </row>
    <row r="1047" spans="1:9" x14ac:dyDescent="0.3">
      <c r="A1047">
        <f t="shared" si="128"/>
        <v>20221109</v>
      </c>
      <c r="B1047" s="193">
        <v>44874</v>
      </c>
      <c r="C1047" s="196" t="str">
        <f t="shared" si="135"/>
        <v>09 November 2022</v>
      </c>
      <c r="D1047">
        <f t="shared" si="129"/>
        <v>11</v>
      </c>
      <c r="E1047" t="str">
        <f t="shared" si="130"/>
        <v>November</v>
      </c>
      <c r="F1047" s="128">
        <f t="shared" si="131"/>
        <v>2022</v>
      </c>
      <c r="G1047" s="194" t="str">
        <f t="shared" si="132"/>
        <v>2022-11</v>
      </c>
      <c r="H1047" s="193">
        <f t="shared" si="133"/>
        <v>44877</v>
      </c>
      <c r="I1047">
        <f t="shared" si="134"/>
        <v>46</v>
      </c>
    </row>
    <row r="1048" spans="1:9" x14ac:dyDescent="0.3">
      <c r="A1048">
        <f t="shared" si="128"/>
        <v>20221110</v>
      </c>
      <c r="B1048" s="193">
        <v>44875</v>
      </c>
      <c r="C1048" s="196" t="str">
        <f t="shared" si="135"/>
        <v>10 November 2022</v>
      </c>
      <c r="D1048">
        <f t="shared" si="129"/>
        <v>11</v>
      </c>
      <c r="E1048" t="str">
        <f t="shared" si="130"/>
        <v>November</v>
      </c>
      <c r="F1048" s="128">
        <f t="shared" si="131"/>
        <v>2022</v>
      </c>
      <c r="G1048" s="194" t="str">
        <f t="shared" si="132"/>
        <v>2022-11</v>
      </c>
      <c r="H1048" s="193">
        <f t="shared" si="133"/>
        <v>44877</v>
      </c>
      <c r="I1048">
        <f t="shared" si="134"/>
        <v>46</v>
      </c>
    </row>
    <row r="1049" spans="1:9" x14ac:dyDescent="0.3">
      <c r="A1049">
        <f t="shared" si="128"/>
        <v>20221111</v>
      </c>
      <c r="B1049" s="193">
        <v>44876</v>
      </c>
      <c r="C1049" s="196" t="str">
        <f t="shared" si="135"/>
        <v>11 November 2022</v>
      </c>
      <c r="D1049">
        <f t="shared" si="129"/>
        <v>11</v>
      </c>
      <c r="E1049" t="str">
        <f t="shared" si="130"/>
        <v>November</v>
      </c>
      <c r="F1049" s="128">
        <f t="shared" si="131"/>
        <v>2022</v>
      </c>
      <c r="G1049" s="194" t="str">
        <f t="shared" si="132"/>
        <v>2022-11</v>
      </c>
      <c r="H1049" s="193">
        <f t="shared" si="133"/>
        <v>44877</v>
      </c>
      <c r="I1049">
        <f t="shared" si="134"/>
        <v>46</v>
      </c>
    </row>
    <row r="1050" spans="1:9" x14ac:dyDescent="0.3">
      <c r="A1050">
        <f t="shared" si="128"/>
        <v>20221112</v>
      </c>
      <c r="B1050" s="193">
        <v>44877</v>
      </c>
      <c r="C1050" s="196" t="str">
        <f t="shared" si="135"/>
        <v>12 November 2022</v>
      </c>
      <c r="D1050">
        <f t="shared" si="129"/>
        <v>11</v>
      </c>
      <c r="E1050" t="str">
        <f t="shared" si="130"/>
        <v>November</v>
      </c>
      <c r="F1050" s="128">
        <f t="shared" si="131"/>
        <v>2022</v>
      </c>
      <c r="G1050" s="194" t="str">
        <f t="shared" si="132"/>
        <v>2022-11</v>
      </c>
      <c r="H1050" s="193">
        <f t="shared" si="133"/>
        <v>44877</v>
      </c>
      <c r="I1050">
        <f t="shared" si="134"/>
        <v>46</v>
      </c>
    </row>
    <row r="1051" spans="1:9" x14ac:dyDescent="0.3">
      <c r="A1051">
        <f t="shared" si="128"/>
        <v>20221113</v>
      </c>
      <c r="B1051" s="193">
        <v>44878</v>
      </c>
      <c r="C1051" s="196" t="str">
        <f t="shared" si="135"/>
        <v>13 November 2022</v>
      </c>
      <c r="D1051">
        <f t="shared" si="129"/>
        <v>11</v>
      </c>
      <c r="E1051" t="str">
        <f t="shared" si="130"/>
        <v>November</v>
      </c>
      <c r="F1051" s="128">
        <f t="shared" si="131"/>
        <v>2022</v>
      </c>
      <c r="G1051" s="194" t="str">
        <f t="shared" si="132"/>
        <v>2022-11</v>
      </c>
      <c r="H1051" s="193">
        <f t="shared" si="133"/>
        <v>44884</v>
      </c>
      <c r="I1051">
        <f t="shared" si="134"/>
        <v>46</v>
      </c>
    </row>
    <row r="1052" spans="1:9" x14ac:dyDescent="0.3">
      <c r="A1052">
        <f t="shared" si="128"/>
        <v>20221114</v>
      </c>
      <c r="B1052" s="193">
        <v>44879</v>
      </c>
      <c r="C1052" s="196" t="str">
        <f t="shared" si="135"/>
        <v>14 November 2022</v>
      </c>
      <c r="D1052">
        <f t="shared" si="129"/>
        <v>11</v>
      </c>
      <c r="E1052" t="str">
        <f t="shared" si="130"/>
        <v>November</v>
      </c>
      <c r="F1052" s="128">
        <f t="shared" si="131"/>
        <v>2022</v>
      </c>
      <c r="G1052" s="194" t="str">
        <f t="shared" si="132"/>
        <v>2022-11</v>
      </c>
      <c r="H1052" s="193">
        <f t="shared" si="133"/>
        <v>44884</v>
      </c>
      <c r="I1052">
        <f t="shared" si="134"/>
        <v>47</v>
      </c>
    </row>
    <row r="1053" spans="1:9" x14ac:dyDescent="0.3">
      <c r="A1053">
        <f t="shared" si="128"/>
        <v>20221115</v>
      </c>
      <c r="B1053" s="193">
        <v>44880</v>
      </c>
      <c r="C1053" s="196" t="str">
        <f t="shared" si="135"/>
        <v>15 November 2022</v>
      </c>
      <c r="D1053">
        <f t="shared" si="129"/>
        <v>11</v>
      </c>
      <c r="E1053" t="str">
        <f t="shared" si="130"/>
        <v>November</v>
      </c>
      <c r="F1053" s="128">
        <f t="shared" si="131"/>
        <v>2022</v>
      </c>
      <c r="G1053" s="194" t="str">
        <f t="shared" si="132"/>
        <v>2022-11</v>
      </c>
      <c r="H1053" s="193">
        <f t="shared" si="133"/>
        <v>44884</v>
      </c>
      <c r="I1053">
        <f t="shared" si="134"/>
        <v>47</v>
      </c>
    </row>
    <row r="1054" spans="1:9" x14ac:dyDescent="0.3">
      <c r="A1054">
        <f t="shared" si="128"/>
        <v>20221116</v>
      </c>
      <c r="B1054" s="193">
        <v>44881</v>
      </c>
      <c r="C1054" s="196" t="str">
        <f t="shared" si="135"/>
        <v>16 November 2022</v>
      </c>
      <c r="D1054">
        <f t="shared" si="129"/>
        <v>11</v>
      </c>
      <c r="E1054" t="str">
        <f t="shared" si="130"/>
        <v>November</v>
      </c>
      <c r="F1054" s="128">
        <f t="shared" si="131"/>
        <v>2022</v>
      </c>
      <c r="G1054" s="194" t="str">
        <f t="shared" si="132"/>
        <v>2022-11</v>
      </c>
      <c r="H1054" s="193">
        <f t="shared" si="133"/>
        <v>44884</v>
      </c>
      <c r="I1054">
        <f t="shared" si="134"/>
        <v>47</v>
      </c>
    </row>
    <row r="1055" spans="1:9" x14ac:dyDescent="0.3">
      <c r="A1055">
        <f t="shared" si="128"/>
        <v>20221117</v>
      </c>
      <c r="B1055" s="193">
        <v>44882</v>
      </c>
      <c r="C1055" s="196" t="str">
        <f t="shared" si="135"/>
        <v>17 November 2022</v>
      </c>
      <c r="D1055">
        <f t="shared" si="129"/>
        <v>11</v>
      </c>
      <c r="E1055" t="str">
        <f t="shared" si="130"/>
        <v>November</v>
      </c>
      <c r="F1055" s="128">
        <f t="shared" si="131"/>
        <v>2022</v>
      </c>
      <c r="G1055" s="194" t="str">
        <f t="shared" si="132"/>
        <v>2022-11</v>
      </c>
      <c r="H1055" s="193">
        <f t="shared" si="133"/>
        <v>44884</v>
      </c>
      <c r="I1055">
        <f t="shared" si="134"/>
        <v>47</v>
      </c>
    </row>
    <row r="1056" spans="1:9" x14ac:dyDescent="0.3">
      <c r="A1056">
        <f t="shared" si="128"/>
        <v>20221118</v>
      </c>
      <c r="B1056" s="193">
        <v>44883</v>
      </c>
      <c r="C1056" s="196" t="str">
        <f t="shared" si="135"/>
        <v>18 November 2022</v>
      </c>
      <c r="D1056">
        <f t="shared" si="129"/>
        <v>11</v>
      </c>
      <c r="E1056" t="str">
        <f t="shared" si="130"/>
        <v>November</v>
      </c>
      <c r="F1056" s="128">
        <f t="shared" si="131"/>
        <v>2022</v>
      </c>
      <c r="G1056" s="194" t="str">
        <f t="shared" si="132"/>
        <v>2022-11</v>
      </c>
      <c r="H1056" s="193">
        <f t="shared" si="133"/>
        <v>44884</v>
      </c>
      <c r="I1056">
        <f t="shared" si="134"/>
        <v>47</v>
      </c>
    </row>
    <row r="1057" spans="1:9" x14ac:dyDescent="0.3">
      <c r="A1057">
        <f t="shared" si="128"/>
        <v>20221119</v>
      </c>
      <c r="B1057" s="193">
        <v>44884</v>
      </c>
      <c r="C1057" s="196" t="str">
        <f t="shared" si="135"/>
        <v>19 November 2022</v>
      </c>
      <c r="D1057">
        <f t="shared" si="129"/>
        <v>11</v>
      </c>
      <c r="E1057" t="str">
        <f t="shared" si="130"/>
        <v>November</v>
      </c>
      <c r="F1057" s="128">
        <f t="shared" si="131"/>
        <v>2022</v>
      </c>
      <c r="G1057" s="194" t="str">
        <f t="shared" si="132"/>
        <v>2022-11</v>
      </c>
      <c r="H1057" s="193">
        <f t="shared" si="133"/>
        <v>44884</v>
      </c>
      <c r="I1057">
        <f t="shared" si="134"/>
        <v>47</v>
      </c>
    </row>
    <row r="1058" spans="1:9" x14ac:dyDescent="0.3">
      <c r="A1058">
        <f t="shared" si="128"/>
        <v>20221120</v>
      </c>
      <c r="B1058" s="193">
        <v>44885</v>
      </c>
      <c r="C1058" s="196" t="str">
        <f t="shared" si="135"/>
        <v>20 November 2022</v>
      </c>
      <c r="D1058">
        <f t="shared" si="129"/>
        <v>11</v>
      </c>
      <c r="E1058" t="str">
        <f t="shared" si="130"/>
        <v>November</v>
      </c>
      <c r="F1058" s="128">
        <f t="shared" si="131"/>
        <v>2022</v>
      </c>
      <c r="G1058" s="194" t="str">
        <f t="shared" si="132"/>
        <v>2022-11</v>
      </c>
      <c r="H1058" s="193">
        <f t="shared" si="133"/>
        <v>44891</v>
      </c>
      <c r="I1058">
        <f t="shared" si="134"/>
        <v>47</v>
      </c>
    </row>
    <row r="1059" spans="1:9" x14ac:dyDescent="0.3">
      <c r="A1059">
        <f t="shared" si="128"/>
        <v>20221121</v>
      </c>
      <c r="B1059" s="193">
        <v>44886</v>
      </c>
      <c r="C1059" s="196" t="str">
        <f t="shared" si="135"/>
        <v>21 November 2022</v>
      </c>
      <c r="D1059">
        <f t="shared" si="129"/>
        <v>11</v>
      </c>
      <c r="E1059" t="str">
        <f t="shared" si="130"/>
        <v>November</v>
      </c>
      <c r="F1059" s="128">
        <f t="shared" si="131"/>
        <v>2022</v>
      </c>
      <c r="G1059" s="194" t="str">
        <f t="shared" si="132"/>
        <v>2022-11</v>
      </c>
      <c r="H1059" s="193">
        <f t="shared" si="133"/>
        <v>44891</v>
      </c>
      <c r="I1059">
        <f t="shared" si="134"/>
        <v>48</v>
      </c>
    </row>
    <row r="1060" spans="1:9" x14ac:dyDescent="0.3">
      <c r="A1060">
        <f t="shared" si="128"/>
        <v>20221122</v>
      </c>
      <c r="B1060" s="193">
        <v>44887</v>
      </c>
      <c r="C1060" s="196" t="str">
        <f t="shared" si="135"/>
        <v>22 November 2022</v>
      </c>
      <c r="D1060">
        <f t="shared" si="129"/>
        <v>11</v>
      </c>
      <c r="E1060" t="str">
        <f t="shared" si="130"/>
        <v>November</v>
      </c>
      <c r="F1060" s="128">
        <f t="shared" si="131"/>
        <v>2022</v>
      </c>
      <c r="G1060" s="194" t="str">
        <f t="shared" si="132"/>
        <v>2022-11</v>
      </c>
      <c r="H1060" s="193">
        <f t="shared" si="133"/>
        <v>44891</v>
      </c>
      <c r="I1060">
        <f t="shared" si="134"/>
        <v>48</v>
      </c>
    </row>
    <row r="1061" spans="1:9" x14ac:dyDescent="0.3">
      <c r="A1061">
        <f t="shared" si="128"/>
        <v>20221123</v>
      </c>
      <c r="B1061" s="193">
        <v>44888</v>
      </c>
      <c r="C1061" s="196" t="str">
        <f t="shared" si="135"/>
        <v>23 November 2022</v>
      </c>
      <c r="D1061">
        <f t="shared" si="129"/>
        <v>11</v>
      </c>
      <c r="E1061" t="str">
        <f t="shared" si="130"/>
        <v>November</v>
      </c>
      <c r="F1061" s="128">
        <f t="shared" si="131"/>
        <v>2022</v>
      </c>
      <c r="G1061" s="194" t="str">
        <f t="shared" si="132"/>
        <v>2022-11</v>
      </c>
      <c r="H1061" s="193">
        <f t="shared" si="133"/>
        <v>44891</v>
      </c>
      <c r="I1061">
        <f t="shared" si="134"/>
        <v>48</v>
      </c>
    </row>
    <row r="1062" spans="1:9" x14ac:dyDescent="0.3">
      <c r="A1062">
        <f t="shared" si="128"/>
        <v>20221124</v>
      </c>
      <c r="B1062" s="193">
        <v>44889</v>
      </c>
      <c r="C1062" s="196" t="str">
        <f t="shared" si="135"/>
        <v>24 November 2022</v>
      </c>
      <c r="D1062">
        <f t="shared" si="129"/>
        <v>11</v>
      </c>
      <c r="E1062" t="str">
        <f t="shared" si="130"/>
        <v>November</v>
      </c>
      <c r="F1062" s="128">
        <f t="shared" si="131"/>
        <v>2022</v>
      </c>
      <c r="G1062" s="194" t="str">
        <f t="shared" si="132"/>
        <v>2022-11</v>
      </c>
      <c r="H1062" s="193">
        <f t="shared" si="133"/>
        <v>44891</v>
      </c>
      <c r="I1062">
        <f t="shared" si="134"/>
        <v>48</v>
      </c>
    </row>
    <row r="1063" spans="1:9" x14ac:dyDescent="0.3">
      <c r="A1063">
        <f t="shared" si="128"/>
        <v>20221125</v>
      </c>
      <c r="B1063" s="193">
        <v>44890</v>
      </c>
      <c r="C1063" s="196" t="str">
        <f t="shared" si="135"/>
        <v>25 November 2022</v>
      </c>
      <c r="D1063">
        <f t="shared" si="129"/>
        <v>11</v>
      </c>
      <c r="E1063" t="str">
        <f t="shared" si="130"/>
        <v>November</v>
      </c>
      <c r="F1063" s="128">
        <f t="shared" si="131"/>
        <v>2022</v>
      </c>
      <c r="G1063" s="194" t="str">
        <f t="shared" si="132"/>
        <v>2022-11</v>
      </c>
      <c r="H1063" s="193">
        <f t="shared" si="133"/>
        <v>44891</v>
      </c>
      <c r="I1063">
        <f t="shared" si="134"/>
        <v>48</v>
      </c>
    </row>
    <row r="1064" spans="1:9" x14ac:dyDescent="0.3">
      <c r="A1064">
        <f t="shared" si="128"/>
        <v>20221126</v>
      </c>
      <c r="B1064" s="193">
        <v>44891</v>
      </c>
      <c r="C1064" s="196" t="str">
        <f t="shared" si="135"/>
        <v>26 November 2022</v>
      </c>
      <c r="D1064">
        <f t="shared" si="129"/>
        <v>11</v>
      </c>
      <c r="E1064" t="str">
        <f t="shared" si="130"/>
        <v>November</v>
      </c>
      <c r="F1064" s="128">
        <f t="shared" si="131"/>
        <v>2022</v>
      </c>
      <c r="G1064" s="194" t="str">
        <f t="shared" si="132"/>
        <v>2022-11</v>
      </c>
      <c r="H1064" s="193">
        <f t="shared" si="133"/>
        <v>44891</v>
      </c>
      <c r="I1064">
        <f t="shared" si="134"/>
        <v>48</v>
      </c>
    </row>
    <row r="1065" spans="1:9" x14ac:dyDescent="0.3">
      <c r="A1065">
        <f t="shared" si="128"/>
        <v>20221127</v>
      </c>
      <c r="B1065" s="193">
        <v>44892</v>
      </c>
      <c r="C1065" s="196" t="str">
        <f t="shared" si="135"/>
        <v>27 November 2022</v>
      </c>
      <c r="D1065">
        <f t="shared" si="129"/>
        <v>11</v>
      </c>
      <c r="E1065" t="str">
        <f t="shared" si="130"/>
        <v>November</v>
      </c>
      <c r="F1065" s="128">
        <f t="shared" si="131"/>
        <v>2022</v>
      </c>
      <c r="G1065" s="194" t="str">
        <f t="shared" si="132"/>
        <v>2022-11</v>
      </c>
      <c r="H1065" s="193">
        <f t="shared" si="133"/>
        <v>44898</v>
      </c>
      <c r="I1065">
        <f t="shared" si="134"/>
        <v>48</v>
      </c>
    </row>
    <row r="1066" spans="1:9" x14ac:dyDescent="0.3">
      <c r="A1066">
        <f t="shared" si="128"/>
        <v>20221128</v>
      </c>
      <c r="B1066" s="193">
        <v>44893</v>
      </c>
      <c r="C1066" s="196" t="str">
        <f t="shared" si="135"/>
        <v>28 November 2022</v>
      </c>
      <c r="D1066">
        <f t="shared" si="129"/>
        <v>11</v>
      </c>
      <c r="E1066" t="str">
        <f t="shared" si="130"/>
        <v>November</v>
      </c>
      <c r="F1066" s="128">
        <f t="shared" si="131"/>
        <v>2022</v>
      </c>
      <c r="G1066" s="194" t="str">
        <f t="shared" si="132"/>
        <v>2022-11</v>
      </c>
      <c r="H1066" s="193">
        <f t="shared" si="133"/>
        <v>44898</v>
      </c>
      <c r="I1066">
        <f t="shared" si="134"/>
        <v>49</v>
      </c>
    </row>
    <row r="1067" spans="1:9" x14ac:dyDescent="0.3">
      <c r="A1067">
        <f t="shared" si="128"/>
        <v>20221129</v>
      </c>
      <c r="B1067" s="193">
        <v>44894</v>
      </c>
      <c r="C1067" s="196" t="str">
        <f t="shared" si="135"/>
        <v>29 November 2022</v>
      </c>
      <c r="D1067">
        <f t="shared" si="129"/>
        <v>11</v>
      </c>
      <c r="E1067" t="str">
        <f t="shared" si="130"/>
        <v>November</v>
      </c>
      <c r="F1067" s="128">
        <f t="shared" si="131"/>
        <v>2022</v>
      </c>
      <c r="G1067" s="194" t="str">
        <f t="shared" si="132"/>
        <v>2022-11</v>
      </c>
      <c r="H1067" s="193">
        <f t="shared" si="133"/>
        <v>44898</v>
      </c>
      <c r="I1067">
        <f t="shared" si="134"/>
        <v>49</v>
      </c>
    </row>
    <row r="1068" spans="1:9" x14ac:dyDescent="0.3">
      <c r="A1068">
        <f t="shared" si="128"/>
        <v>20221130</v>
      </c>
      <c r="B1068" s="193">
        <v>44895</v>
      </c>
      <c r="C1068" s="196" t="str">
        <f t="shared" si="135"/>
        <v>30 November 2022</v>
      </c>
      <c r="D1068">
        <f t="shared" si="129"/>
        <v>11</v>
      </c>
      <c r="E1068" t="str">
        <f t="shared" si="130"/>
        <v>November</v>
      </c>
      <c r="F1068" s="128">
        <f t="shared" si="131"/>
        <v>2022</v>
      </c>
      <c r="G1068" s="194" t="str">
        <f t="shared" si="132"/>
        <v>2022-11</v>
      </c>
      <c r="H1068" s="193">
        <f t="shared" si="133"/>
        <v>44898</v>
      </c>
      <c r="I1068">
        <f t="shared" si="134"/>
        <v>49</v>
      </c>
    </row>
    <row r="1069" spans="1:9" x14ac:dyDescent="0.3">
      <c r="A1069">
        <f t="shared" si="128"/>
        <v>20221201</v>
      </c>
      <c r="B1069" s="193">
        <v>44896</v>
      </c>
      <c r="C1069" s="196" t="str">
        <f t="shared" si="135"/>
        <v>01 December 2022</v>
      </c>
      <c r="D1069">
        <f t="shared" si="129"/>
        <v>12</v>
      </c>
      <c r="E1069" t="str">
        <f t="shared" si="130"/>
        <v>December</v>
      </c>
      <c r="F1069" s="128">
        <f t="shared" si="131"/>
        <v>2022</v>
      </c>
      <c r="G1069" s="194" t="str">
        <f t="shared" si="132"/>
        <v>2022-12</v>
      </c>
      <c r="H1069" s="193">
        <f t="shared" si="133"/>
        <v>44898</v>
      </c>
      <c r="I1069">
        <f t="shared" si="134"/>
        <v>49</v>
      </c>
    </row>
    <row r="1070" spans="1:9" x14ac:dyDescent="0.3">
      <c r="A1070">
        <f t="shared" si="128"/>
        <v>20221202</v>
      </c>
      <c r="B1070" s="193">
        <v>44897</v>
      </c>
      <c r="C1070" s="196" t="str">
        <f t="shared" si="135"/>
        <v>02 December 2022</v>
      </c>
      <c r="D1070">
        <f t="shared" si="129"/>
        <v>12</v>
      </c>
      <c r="E1070" t="str">
        <f t="shared" si="130"/>
        <v>December</v>
      </c>
      <c r="F1070" s="128">
        <f t="shared" si="131"/>
        <v>2022</v>
      </c>
      <c r="G1070" s="194" t="str">
        <f t="shared" si="132"/>
        <v>2022-12</v>
      </c>
      <c r="H1070" s="193">
        <f t="shared" si="133"/>
        <v>44898</v>
      </c>
      <c r="I1070">
        <f t="shared" si="134"/>
        <v>49</v>
      </c>
    </row>
    <row r="1071" spans="1:9" x14ac:dyDescent="0.3">
      <c r="A1071">
        <f t="shared" si="128"/>
        <v>20221203</v>
      </c>
      <c r="B1071" s="193">
        <v>44898</v>
      </c>
      <c r="C1071" s="196" t="str">
        <f t="shared" si="135"/>
        <v>03 December 2022</v>
      </c>
      <c r="D1071">
        <f t="shared" si="129"/>
        <v>12</v>
      </c>
      <c r="E1071" t="str">
        <f t="shared" si="130"/>
        <v>December</v>
      </c>
      <c r="F1071" s="128">
        <f t="shared" si="131"/>
        <v>2022</v>
      </c>
      <c r="G1071" s="194" t="str">
        <f t="shared" si="132"/>
        <v>2022-12</v>
      </c>
      <c r="H1071" s="193">
        <f t="shared" si="133"/>
        <v>44898</v>
      </c>
      <c r="I1071">
        <f t="shared" si="134"/>
        <v>49</v>
      </c>
    </row>
    <row r="1072" spans="1:9" x14ac:dyDescent="0.3">
      <c r="A1072">
        <f t="shared" si="128"/>
        <v>20221204</v>
      </c>
      <c r="B1072" s="193">
        <v>44899</v>
      </c>
      <c r="C1072" s="196" t="str">
        <f t="shared" si="135"/>
        <v>04 December 2022</v>
      </c>
      <c r="D1072">
        <f t="shared" si="129"/>
        <v>12</v>
      </c>
      <c r="E1072" t="str">
        <f t="shared" si="130"/>
        <v>December</v>
      </c>
      <c r="F1072" s="128">
        <f t="shared" si="131"/>
        <v>2022</v>
      </c>
      <c r="G1072" s="194" t="str">
        <f t="shared" si="132"/>
        <v>2022-12</v>
      </c>
      <c r="H1072" s="193">
        <f t="shared" si="133"/>
        <v>44905</v>
      </c>
      <c r="I1072">
        <f t="shared" si="134"/>
        <v>49</v>
      </c>
    </row>
    <row r="1073" spans="1:9" x14ac:dyDescent="0.3">
      <c r="A1073">
        <f t="shared" si="128"/>
        <v>20221205</v>
      </c>
      <c r="B1073" s="193">
        <v>44900</v>
      </c>
      <c r="C1073" s="196" t="str">
        <f t="shared" si="135"/>
        <v>05 December 2022</v>
      </c>
      <c r="D1073">
        <f t="shared" si="129"/>
        <v>12</v>
      </c>
      <c r="E1073" t="str">
        <f t="shared" si="130"/>
        <v>December</v>
      </c>
      <c r="F1073" s="128">
        <f t="shared" si="131"/>
        <v>2022</v>
      </c>
      <c r="G1073" s="194" t="str">
        <f t="shared" si="132"/>
        <v>2022-12</v>
      </c>
      <c r="H1073" s="193">
        <f t="shared" si="133"/>
        <v>44905</v>
      </c>
      <c r="I1073">
        <f t="shared" si="134"/>
        <v>50</v>
      </c>
    </row>
    <row r="1074" spans="1:9" x14ac:dyDescent="0.3">
      <c r="A1074">
        <f t="shared" si="128"/>
        <v>20221206</v>
      </c>
      <c r="B1074" s="193">
        <v>44901</v>
      </c>
      <c r="C1074" s="196" t="str">
        <f t="shared" si="135"/>
        <v>06 December 2022</v>
      </c>
      <c r="D1074">
        <f t="shared" si="129"/>
        <v>12</v>
      </c>
      <c r="E1074" t="str">
        <f t="shared" si="130"/>
        <v>December</v>
      </c>
      <c r="F1074" s="128">
        <f t="shared" si="131"/>
        <v>2022</v>
      </c>
      <c r="G1074" s="194" t="str">
        <f t="shared" si="132"/>
        <v>2022-12</v>
      </c>
      <c r="H1074" s="193">
        <f t="shared" si="133"/>
        <v>44905</v>
      </c>
      <c r="I1074">
        <f t="shared" si="134"/>
        <v>50</v>
      </c>
    </row>
    <row r="1075" spans="1:9" x14ac:dyDescent="0.3">
      <c r="A1075">
        <f t="shared" si="128"/>
        <v>20221207</v>
      </c>
      <c r="B1075" s="193">
        <v>44902</v>
      </c>
      <c r="C1075" s="196" t="str">
        <f t="shared" si="135"/>
        <v>07 December 2022</v>
      </c>
      <c r="D1075">
        <f t="shared" si="129"/>
        <v>12</v>
      </c>
      <c r="E1075" t="str">
        <f t="shared" si="130"/>
        <v>December</v>
      </c>
      <c r="F1075" s="128">
        <f t="shared" si="131"/>
        <v>2022</v>
      </c>
      <c r="G1075" s="194" t="str">
        <f t="shared" si="132"/>
        <v>2022-12</v>
      </c>
      <c r="H1075" s="193">
        <f t="shared" si="133"/>
        <v>44905</v>
      </c>
      <c r="I1075">
        <f t="shared" si="134"/>
        <v>50</v>
      </c>
    </row>
    <row r="1076" spans="1:9" x14ac:dyDescent="0.3">
      <c r="A1076">
        <f t="shared" si="128"/>
        <v>20221208</v>
      </c>
      <c r="B1076" s="193">
        <v>44903</v>
      </c>
      <c r="C1076" s="196" t="str">
        <f t="shared" si="135"/>
        <v>08 December 2022</v>
      </c>
      <c r="D1076">
        <f t="shared" si="129"/>
        <v>12</v>
      </c>
      <c r="E1076" t="str">
        <f t="shared" si="130"/>
        <v>December</v>
      </c>
      <c r="F1076" s="128">
        <f t="shared" si="131"/>
        <v>2022</v>
      </c>
      <c r="G1076" s="194" t="str">
        <f t="shared" si="132"/>
        <v>2022-12</v>
      </c>
      <c r="H1076" s="193">
        <f t="shared" si="133"/>
        <v>44905</v>
      </c>
      <c r="I1076">
        <f t="shared" si="134"/>
        <v>50</v>
      </c>
    </row>
    <row r="1077" spans="1:9" x14ac:dyDescent="0.3">
      <c r="A1077">
        <f t="shared" si="128"/>
        <v>20221209</v>
      </c>
      <c r="B1077" s="193">
        <v>44904</v>
      </c>
      <c r="C1077" s="196" t="str">
        <f t="shared" si="135"/>
        <v>09 December 2022</v>
      </c>
      <c r="D1077">
        <f t="shared" si="129"/>
        <v>12</v>
      </c>
      <c r="E1077" t="str">
        <f t="shared" si="130"/>
        <v>December</v>
      </c>
      <c r="F1077" s="128">
        <f t="shared" si="131"/>
        <v>2022</v>
      </c>
      <c r="G1077" s="194" t="str">
        <f t="shared" si="132"/>
        <v>2022-12</v>
      </c>
      <c r="H1077" s="193">
        <f t="shared" si="133"/>
        <v>44905</v>
      </c>
      <c r="I1077">
        <f t="shared" si="134"/>
        <v>50</v>
      </c>
    </row>
    <row r="1078" spans="1:9" x14ac:dyDescent="0.3">
      <c r="A1078">
        <f t="shared" si="128"/>
        <v>20221210</v>
      </c>
      <c r="B1078" s="193">
        <v>44905</v>
      </c>
      <c r="C1078" s="196" t="str">
        <f t="shared" si="135"/>
        <v>10 December 2022</v>
      </c>
      <c r="D1078">
        <f t="shared" si="129"/>
        <v>12</v>
      </c>
      <c r="E1078" t="str">
        <f t="shared" si="130"/>
        <v>December</v>
      </c>
      <c r="F1078" s="128">
        <f t="shared" si="131"/>
        <v>2022</v>
      </c>
      <c r="G1078" s="194" t="str">
        <f t="shared" si="132"/>
        <v>2022-12</v>
      </c>
      <c r="H1078" s="193">
        <f t="shared" si="133"/>
        <v>44905</v>
      </c>
      <c r="I1078">
        <f t="shared" si="134"/>
        <v>50</v>
      </c>
    </row>
    <row r="1079" spans="1:9" x14ac:dyDescent="0.3">
      <c r="A1079">
        <f t="shared" si="128"/>
        <v>20221211</v>
      </c>
      <c r="B1079" s="193">
        <v>44906</v>
      </c>
      <c r="C1079" s="196" t="str">
        <f t="shared" si="135"/>
        <v>11 December 2022</v>
      </c>
      <c r="D1079">
        <f t="shared" si="129"/>
        <v>12</v>
      </c>
      <c r="E1079" t="str">
        <f t="shared" si="130"/>
        <v>December</v>
      </c>
      <c r="F1079" s="128">
        <f t="shared" si="131"/>
        <v>2022</v>
      </c>
      <c r="G1079" s="194" t="str">
        <f t="shared" si="132"/>
        <v>2022-12</v>
      </c>
      <c r="H1079" s="193">
        <f t="shared" si="133"/>
        <v>44912</v>
      </c>
      <c r="I1079">
        <f t="shared" si="134"/>
        <v>50</v>
      </c>
    </row>
    <row r="1080" spans="1:9" x14ac:dyDescent="0.3">
      <c r="A1080">
        <f t="shared" si="128"/>
        <v>20221212</v>
      </c>
      <c r="B1080" s="193">
        <v>44907</v>
      </c>
      <c r="C1080" s="196" t="str">
        <f t="shared" si="135"/>
        <v>12 December 2022</v>
      </c>
      <c r="D1080">
        <f t="shared" si="129"/>
        <v>12</v>
      </c>
      <c r="E1080" t="str">
        <f t="shared" si="130"/>
        <v>December</v>
      </c>
      <c r="F1080" s="128">
        <f t="shared" si="131"/>
        <v>2022</v>
      </c>
      <c r="G1080" s="194" t="str">
        <f t="shared" si="132"/>
        <v>2022-12</v>
      </c>
      <c r="H1080" s="193">
        <f t="shared" si="133"/>
        <v>44912</v>
      </c>
      <c r="I1080">
        <f t="shared" si="134"/>
        <v>51</v>
      </c>
    </row>
    <row r="1081" spans="1:9" x14ac:dyDescent="0.3">
      <c r="A1081">
        <f t="shared" si="128"/>
        <v>20221213</v>
      </c>
      <c r="B1081" s="193">
        <v>44908</v>
      </c>
      <c r="C1081" s="196" t="str">
        <f t="shared" si="135"/>
        <v>13 December 2022</v>
      </c>
      <c r="D1081">
        <f t="shared" si="129"/>
        <v>12</v>
      </c>
      <c r="E1081" t="str">
        <f t="shared" si="130"/>
        <v>December</v>
      </c>
      <c r="F1081" s="128">
        <f t="shared" si="131"/>
        <v>2022</v>
      </c>
      <c r="G1081" s="194" t="str">
        <f t="shared" si="132"/>
        <v>2022-12</v>
      </c>
      <c r="H1081" s="193">
        <f t="shared" si="133"/>
        <v>44912</v>
      </c>
      <c r="I1081">
        <f t="shared" si="134"/>
        <v>51</v>
      </c>
    </row>
    <row r="1082" spans="1:9" x14ac:dyDescent="0.3">
      <c r="A1082">
        <f t="shared" si="128"/>
        <v>20221214</v>
      </c>
      <c r="B1082" s="193">
        <v>44909</v>
      </c>
      <c r="C1082" s="196" t="str">
        <f t="shared" si="135"/>
        <v>14 December 2022</v>
      </c>
      <c r="D1082">
        <f t="shared" si="129"/>
        <v>12</v>
      </c>
      <c r="E1082" t="str">
        <f t="shared" si="130"/>
        <v>December</v>
      </c>
      <c r="F1082" s="128">
        <f t="shared" si="131"/>
        <v>2022</v>
      </c>
      <c r="G1082" s="194" t="str">
        <f t="shared" si="132"/>
        <v>2022-12</v>
      </c>
      <c r="H1082" s="193">
        <f t="shared" si="133"/>
        <v>44912</v>
      </c>
      <c r="I1082">
        <f t="shared" si="134"/>
        <v>51</v>
      </c>
    </row>
    <row r="1083" spans="1:9" x14ac:dyDescent="0.3">
      <c r="A1083">
        <f t="shared" si="128"/>
        <v>20221215</v>
      </c>
      <c r="B1083" s="193">
        <v>44910</v>
      </c>
      <c r="C1083" s="196" t="str">
        <f t="shared" si="135"/>
        <v>15 December 2022</v>
      </c>
      <c r="D1083">
        <f t="shared" si="129"/>
        <v>12</v>
      </c>
      <c r="E1083" t="str">
        <f t="shared" si="130"/>
        <v>December</v>
      </c>
      <c r="F1083" s="128">
        <f t="shared" si="131"/>
        <v>2022</v>
      </c>
      <c r="G1083" s="194" t="str">
        <f t="shared" si="132"/>
        <v>2022-12</v>
      </c>
      <c r="H1083" s="193">
        <f t="shared" si="133"/>
        <v>44912</v>
      </c>
      <c r="I1083">
        <f t="shared" si="134"/>
        <v>51</v>
      </c>
    </row>
    <row r="1084" spans="1:9" x14ac:dyDescent="0.3">
      <c r="A1084">
        <f t="shared" si="128"/>
        <v>20221216</v>
      </c>
      <c r="B1084" s="193">
        <v>44911</v>
      </c>
      <c r="C1084" s="196" t="str">
        <f t="shared" si="135"/>
        <v>16 December 2022</v>
      </c>
      <c r="D1084">
        <f t="shared" si="129"/>
        <v>12</v>
      </c>
      <c r="E1084" t="str">
        <f t="shared" si="130"/>
        <v>December</v>
      </c>
      <c r="F1084" s="128">
        <f t="shared" si="131"/>
        <v>2022</v>
      </c>
      <c r="G1084" s="194" t="str">
        <f t="shared" si="132"/>
        <v>2022-12</v>
      </c>
      <c r="H1084" s="193">
        <f t="shared" si="133"/>
        <v>44912</v>
      </c>
      <c r="I1084">
        <f t="shared" si="134"/>
        <v>51</v>
      </c>
    </row>
    <row r="1085" spans="1:9" x14ac:dyDescent="0.3">
      <c r="A1085">
        <f t="shared" si="128"/>
        <v>20221217</v>
      </c>
      <c r="B1085" s="193">
        <v>44912</v>
      </c>
      <c r="C1085" s="196" t="str">
        <f t="shared" si="135"/>
        <v>17 December 2022</v>
      </c>
      <c r="D1085">
        <f t="shared" si="129"/>
        <v>12</v>
      </c>
      <c r="E1085" t="str">
        <f t="shared" si="130"/>
        <v>December</v>
      </c>
      <c r="F1085" s="128">
        <f t="shared" si="131"/>
        <v>2022</v>
      </c>
      <c r="G1085" s="194" t="str">
        <f t="shared" si="132"/>
        <v>2022-12</v>
      </c>
      <c r="H1085" s="193">
        <f t="shared" si="133"/>
        <v>44912</v>
      </c>
      <c r="I1085">
        <f t="shared" si="134"/>
        <v>51</v>
      </c>
    </row>
    <row r="1086" spans="1:9" x14ac:dyDescent="0.3">
      <c r="A1086">
        <f t="shared" si="128"/>
        <v>20221218</v>
      </c>
      <c r="B1086" s="193">
        <v>44913</v>
      </c>
      <c r="C1086" s="196" t="str">
        <f t="shared" si="135"/>
        <v>18 December 2022</v>
      </c>
      <c r="D1086">
        <f t="shared" si="129"/>
        <v>12</v>
      </c>
      <c r="E1086" t="str">
        <f t="shared" si="130"/>
        <v>December</v>
      </c>
      <c r="F1086" s="128">
        <f t="shared" si="131"/>
        <v>2022</v>
      </c>
      <c r="G1086" s="194" t="str">
        <f t="shared" si="132"/>
        <v>2022-12</v>
      </c>
      <c r="H1086" s="193">
        <f t="shared" si="133"/>
        <v>44919</v>
      </c>
      <c r="I1086">
        <f t="shared" si="134"/>
        <v>51</v>
      </c>
    </row>
    <row r="1087" spans="1:9" x14ac:dyDescent="0.3">
      <c r="A1087">
        <f t="shared" si="128"/>
        <v>20221219</v>
      </c>
      <c r="B1087" s="193">
        <v>44914</v>
      </c>
      <c r="C1087" s="196" t="str">
        <f t="shared" si="135"/>
        <v>19 December 2022</v>
      </c>
      <c r="D1087">
        <f t="shared" si="129"/>
        <v>12</v>
      </c>
      <c r="E1087" t="str">
        <f t="shared" si="130"/>
        <v>December</v>
      </c>
      <c r="F1087" s="128">
        <f t="shared" si="131"/>
        <v>2022</v>
      </c>
      <c r="G1087" s="194" t="str">
        <f t="shared" si="132"/>
        <v>2022-12</v>
      </c>
      <c r="H1087" s="193">
        <f t="shared" si="133"/>
        <v>44919</v>
      </c>
      <c r="I1087">
        <f t="shared" si="134"/>
        <v>52</v>
      </c>
    </row>
    <row r="1088" spans="1:9" x14ac:dyDescent="0.3">
      <c r="A1088">
        <f t="shared" si="128"/>
        <v>20221220</v>
      </c>
      <c r="B1088" s="193">
        <v>44915</v>
      </c>
      <c r="C1088" s="196" t="str">
        <f t="shared" si="135"/>
        <v>20 December 2022</v>
      </c>
      <c r="D1088">
        <f t="shared" si="129"/>
        <v>12</v>
      </c>
      <c r="E1088" t="str">
        <f t="shared" si="130"/>
        <v>December</v>
      </c>
      <c r="F1088" s="128">
        <f t="shared" si="131"/>
        <v>2022</v>
      </c>
      <c r="G1088" s="194" t="str">
        <f t="shared" si="132"/>
        <v>2022-12</v>
      </c>
      <c r="H1088" s="193">
        <f t="shared" si="133"/>
        <v>44919</v>
      </c>
      <c r="I1088">
        <f t="shared" si="134"/>
        <v>52</v>
      </c>
    </row>
    <row r="1089" spans="1:9" x14ac:dyDescent="0.3">
      <c r="A1089">
        <f t="shared" si="128"/>
        <v>20221221</v>
      </c>
      <c r="B1089" s="193">
        <v>44916</v>
      </c>
      <c r="C1089" s="196" t="str">
        <f t="shared" si="135"/>
        <v>21 December 2022</v>
      </c>
      <c r="D1089">
        <f t="shared" si="129"/>
        <v>12</v>
      </c>
      <c r="E1089" t="str">
        <f t="shared" si="130"/>
        <v>December</v>
      </c>
      <c r="F1089" s="128">
        <f t="shared" si="131"/>
        <v>2022</v>
      </c>
      <c r="G1089" s="194" t="str">
        <f t="shared" si="132"/>
        <v>2022-12</v>
      </c>
      <c r="H1089" s="193">
        <f t="shared" si="133"/>
        <v>44919</v>
      </c>
      <c r="I1089">
        <f t="shared" si="134"/>
        <v>52</v>
      </c>
    </row>
    <row r="1090" spans="1:9" x14ac:dyDescent="0.3">
      <c r="A1090">
        <f t="shared" si="128"/>
        <v>20221222</v>
      </c>
      <c r="B1090" s="193">
        <v>44917</v>
      </c>
      <c r="C1090" s="196" t="str">
        <f t="shared" si="135"/>
        <v>22 December 2022</v>
      </c>
      <c r="D1090">
        <f t="shared" si="129"/>
        <v>12</v>
      </c>
      <c r="E1090" t="str">
        <f t="shared" si="130"/>
        <v>December</v>
      </c>
      <c r="F1090" s="128">
        <f t="shared" si="131"/>
        <v>2022</v>
      </c>
      <c r="G1090" s="194" t="str">
        <f t="shared" si="132"/>
        <v>2022-12</v>
      </c>
      <c r="H1090" s="193">
        <f t="shared" si="133"/>
        <v>44919</v>
      </c>
      <c r="I1090">
        <f t="shared" si="134"/>
        <v>52</v>
      </c>
    </row>
    <row r="1091" spans="1:9" x14ac:dyDescent="0.3">
      <c r="A1091">
        <f t="shared" ref="A1091:A1100" si="136">YEAR(B1091)*10000+MONTH(B1091)*100+DAY(B1091)</f>
        <v>20221223</v>
      </c>
      <c r="B1091" s="193">
        <v>44918</v>
      </c>
      <c r="C1091" s="196" t="str">
        <f t="shared" si="135"/>
        <v>23 December 2022</v>
      </c>
      <c r="D1091">
        <f t="shared" ref="D1091:D1100" si="137">MONTH(B1091)</f>
        <v>12</v>
      </c>
      <c r="E1091" t="str">
        <f t="shared" ref="E1091:E1100" si="138">TEXT(B1091,"MMMM")</f>
        <v>December</v>
      </c>
      <c r="F1091" s="128">
        <f t="shared" ref="F1091:F1100" si="139">YEAR(B1091)</f>
        <v>2022</v>
      </c>
      <c r="G1091" s="194" t="str">
        <f t="shared" ref="G1091:G1100" si="140">TEXT(B1091,"YYYY-MM")</f>
        <v>2022-12</v>
      </c>
      <c r="H1091" s="193">
        <f t="shared" ref="H1091:H1100" si="141">B1091-WEEKDAY(B1091)+7</f>
        <v>44919</v>
      </c>
      <c r="I1091">
        <f t="shared" ref="I1091:I1100" si="142">WEEKNUM(B1091,2)</f>
        <v>52</v>
      </c>
    </row>
    <row r="1092" spans="1:9" x14ac:dyDescent="0.3">
      <c r="A1092">
        <f t="shared" si="136"/>
        <v>20221224</v>
      </c>
      <c r="B1092" s="193">
        <v>44919</v>
      </c>
      <c r="C1092" s="196" t="str">
        <f t="shared" ref="C1092:C1099" si="143">TEXT(B1092,"dd MMMM YYYY")</f>
        <v>24 December 2022</v>
      </c>
      <c r="D1092">
        <f t="shared" si="137"/>
        <v>12</v>
      </c>
      <c r="E1092" t="str">
        <f t="shared" si="138"/>
        <v>December</v>
      </c>
      <c r="F1092" s="128">
        <f t="shared" si="139"/>
        <v>2022</v>
      </c>
      <c r="G1092" s="194" t="str">
        <f t="shared" si="140"/>
        <v>2022-12</v>
      </c>
      <c r="H1092" s="193">
        <f t="shared" si="141"/>
        <v>44919</v>
      </c>
      <c r="I1092">
        <f t="shared" si="142"/>
        <v>52</v>
      </c>
    </row>
    <row r="1093" spans="1:9" x14ac:dyDescent="0.3">
      <c r="A1093">
        <f t="shared" si="136"/>
        <v>20221225</v>
      </c>
      <c r="B1093" s="193">
        <v>44920</v>
      </c>
      <c r="C1093" s="196" t="str">
        <f t="shared" si="143"/>
        <v>25 December 2022</v>
      </c>
      <c r="D1093">
        <f t="shared" si="137"/>
        <v>12</v>
      </c>
      <c r="E1093" t="str">
        <f t="shared" si="138"/>
        <v>December</v>
      </c>
      <c r="F1093" s="128">
        <f t="shared" si="139"/>
        <v>2022</v>
      </c>
      <c r="G1093" s="194" t="str">
        <f t="shared" si="140"/>
        <v>2022-12</v>
      </c>
      <c r="H1093" s="193">
        <f t="shared" si="141"/>
        <v>44926</v>
      </c>
      <c r="I1093">
        <f t="shared" si="142"/>
        <v>52</v>
      </c>
    </row>
    <row r="1094" spans="1:9" x14ac:dyDescent="0.3">
      <c r="A1094">
        <f t="shared" si="136"/>
        <v>20221226</v>
      </c>
      <c r="B1094" s="193">
        <v>44921</v>
      </c>
      <c r="C1094" s="196" t="str">
        <f t="shared" si="143"/>
        <v>26 December 2022</v>
      </c>
      <c r="D1094">
        <f t="shared" si="137"/>
        <v>12</v>
      </c>
      <c r="E1094" t="str">
        <f t="shared" si="138"/>
        <v>December</v>
      </c>
      <c r="F1094" s="128">
        <f t="shared" si="139"/>
        <v>2022</v>
      </c>
      <c r="G1094" s="194" t="str">
        <f t="shared" si="140"/>
        <v>2022-12</v>
      </c>
      <c r="H1094" s="193">
        <f t="shared" si="141"/>
        <v>44926</v>
      </c>
      <c r="I1094">
        <f t="shared" si="142"/>
        <v>53</v>
      </c>
    </row>
    <row r="1095" spans="1:9" x14ac:dyDescent="0.3">
      <c r="A1095">
        <f t="shared" si="136"/>
        <v>20221227</v>
      </c>
      <c r="B1095" s="193">
        <v>44922</v>
      </c>
      <c r="C1095" s="196" t="str">
        <f t="shared" si="143"/>
        <v>27 December 2022</v>
      </c>
      <c r="D1095">
        <f t="shared" si="137"/>
        <v>12</v>
      </c>
      <c r="E1095" t="str">
        <f t="shared" si="138"/>
        <v>December</v>
      </c>
      <c r="F1095" s="128">
        <f t="shared" si="139"/>
        <v>2022</v>
      </c>
      <c r="G1095" s="194" t="str">
        <f t="shared" si="140"/>
        <v>2022-12</v>
      </c>
      <c r="H1095" s="193">
        <f t="shared" si="141"/>
        <v>44926</v>
      </c>
      <c r="I1095">
        <f t="shared" si="142"/>
        <v>53</v>
      </c>
    </row>
    <row r="1096" spans="1:9" x14ac:dyDescent="0.3">
      <c r="A1096">
        <f t="shared" si="136"/>
        <v>20221228</v>
      </c>
      <c r="B1096" s="193">
        <v>44923</v>
      </c>
      <c r="C1096" s="196" t="str">
        <f t="shared" si="143"/>
        <v>28 December 2022</v>
      </c>
      <c r="D1096">
        <f t="shared" si="137"/>
        <v>12</v>
      </c>
      <c r="E1096" t="str">
        <f t="shared" si="138"/>
        <v>December</v>
      </c>
      <c r="F1096" s="128">
        <f t="shared" si="139"/>
        <v>2022</v>
      </c>
      <c r="G1096" s="194" t="str">
        <f t="shared" si="140"/>
        <v>2022-12</v>
      </c>
      <c r="H1096" s="193">
        <f t="shared" si="141"/>
        <v>44926</v>
      </c>
      <c r="I1096">
        <f t="shared" si="142"/>
        <v>53</v>
      </c>
    </row>
    <row r="1097" spans="1:9" x14ac:dyDescent="0.3">
      <c r="A1097">
        <f t="shared" si="136"/>
        <v>20221229</v>
      </c>
      <c r="B1097" s="193">
        <v>44924</v>
      </c>
      <c r="C1097" s="196" t="str">
        <f t="shared" si="143"/>
        <v>29 December 2022</v>
      </c>
      <c r="D1097">
        <f t="shared" si="137"/>
        <v>12</v>
      </c>
      <c r="E1097" t="str">
        <f t="shared" si="138"/>
        <v>December</v>
      </c>
      <c r="F1097" s="128">
        <f t="shared" si="139"/>
        <v>2022</v>
      </c>
      <c r="G1097" s="194" t="str">
        <f t="shared" si="140"/>
        <v>2022-12</v>
      </c>
      <c r="H1097" s="193">
        <f t="shared" si="141"/>
        <v>44926</v>
      </c>
      <c r="I1097">
        <f t="shared" si="142"/>
        <v>53</v>
      </c>
    </row>
    <row r="1098" spans="1:9" x14ac:dyDescent="0.3">
      <c r="A1098">
        <f t="shared" si="136"/>
        <v>20221230</v>
      </c>
      <c r="B1098" s="193">
        <v>44925</v>
      </c>
      <c r="C1098" s="196" t="str">
        <f t="shared" si="143"/>
        <v>30 December 2022</v>
      </c>
      <c r="D1098">
        <f t="shared" si="137"/>
        <v>12</v>
      </c>
      <c r="E1098" t="str">
        <f t="shared" si="138"/>
        <v>December</v>
      </c>
      <c r="F1098" s="128">
        <f t="shared" si="139"/>
        <v>2022</v>
      </c>
      <c r="G1098" s="194" t="str">
        <f t="shared" si="140"/>
        <v>2022-12</v>
      </c>
      <c r="H1098" s="193">
        <f t="shared" si="141"/>
        <v>44926</v>
      </c>
      <c r="I1098">
        <f t="shared" si="142"/>
        <v>53</v>
      </c>
    </row>
    <row r="1099" spans="1:9" x14ac:dyDescent="0.3">
      <c r="A1099">
        <f t="shared" si="136"/>
        <v>20221231</v>
      </c>
      <c r="B1099" s="193">
        <v>44926</v>
      </c>
      <c r="C1099" s="196" t="str">
        <f t="shared" si="143"/>
        <v>31 December 2022</v>
      </c>
      <c r="D1099">
        <f t="shared" si="137"/>
        <v>12</v>
      </c>
      <c r="E1099" t="str">
        <f t="shared" si="138"/>
        <v>December</v>
      </c>
      <c r="F1099" s="128">
        <f t="shared" si="139"/>
        <v>2022</v>
      </c>
      <c r="G1099" s="194" t="str">
        <f t="shared" si="140"/>
        <v>2022-12</v>
      </c>
      <c r="H1099" s="193">
        <f t="shared" si="141"/>
        <v>44926</v>
      </c>
      <c r="I1099">
        <f t="shared" si="142"/>
        <v>53</v>
      </c>
    </row>
    <row r="1100" spans="1:9" x14ac:dyDescent="0.3">
      <c r="A1100">
        <f t="shared" si="136"/>
        <v>99990101</v>
      </c>
      <c r="B1100" s="195">
        <v>2958101</v>
      </c>
      <c r="C1100" s="168" t="s">
        <v>63</v>
      </c>
      <c r="D1100">
        <f t="shared" si="137"/>
        <v>1</v>
      </c>
      <c r="E1100" t="str">
        <f t="shared" si="138"/>
        <v>January</v>
      </c>
      <c r="F1100" s="128">
        <f t="shared" si="139"/>
        <v>9999</v>
      </c>
      <c r="G1100" s="194" t="str">
        <f t="shared" si="140"/>
        <v>9999-01</v>
      </c>
      <c r="H1100" s="193">
        <f t="shared" si="141"/>
        <v>2958102</v>
      </c>
      <c r="I1100">
        <f t="shared" si="142"/>
        <v>1</v>
      </c>
    </row>
  </sheetData>
  <autoFilter ref="A2:G734" xr:uid="{00000000-0009-0000-0000-00000D000000}"/>
  <hyperlinks>
    <hyperlink ref="A1" location="Index!A1" display="Index" xr:uid="{88F9CFBE-6A91-4E85-AA6F-C4088CD7C51C}"/>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rgb="FF92D050"/>
  </sheetPr>
  <dimension ref="A1:I30"/>
  <sheetViews>
    <sheetView zoomScale="96" zoomScaleNormal="96" workbookViewId="0"/>
  </sheetViews>
  <sheetFormatPr defaultColWidth="20.88671875" defaultRowHeight="14.4" x14ac:dyDescent="0.3"/>
  <cols>
    <col min="1" max="1" width="42.33203125" style="3" customWidth="1"/>
    <col min="2" max="2" width="13.44140625" style="3" bestFit="1" customWidth="1"/>
    <col min="3" max="3" width="41.6640625" style="4" bestFit="1" customWidth="1"/>
    <col min="4" max="4" width="9.88671875" style="3" bestFit="1" customWidth="1"/>
    <col min="5" max="5" width="9.88671875" style="24" bestFit="1" customWidth="1"/>
    <col min="6" max="6" width="13.6640625" style="24" customWidth="1"/>
    <col min="7" max="7" width="13.109375" style="24" customWidth="1"/>
    <col min="8" max="8" width="27.6640625" style="24" bestFit="1" customWidth="1"/>
    <col min="9" max="9" width="40.88671875" style="3" bestFit="1" customWidth="1"/>
    <col min="10" max="10" width="4.33203125" style="3" bestFit="1" customWidth="1"/>
    <col min="11" max="11" width="6.88671875" style="3" bestFit="1" customWidth="1"/>
    <col min="12" max="12" width="5.88671875" style="3" bestFit="1" customWidth="1"/>
    <col min="13" max="13" width="4.44140625" style="3" bestFit="1" customWidth="1"/>
    <col min="14" max="14" width="6.88671875" style="3" bestFit="1" customWidth="1"/>
    <col min="15" max="15" width="2.6640625" style="3" bestFit="1" customWidth="1"/>
    <col min="16" max="16" width="3" style="3" bestFit="1" customWidth="1"/>
    <col min="17" max="18" width="2.6640625" style="3" bestFit="1" customWidth="1"/>
    <col min="19" max="19" width="2" style="3" bestFit="1" customWidth="1"/>
    <col min="20" max="20" width="2.6640625" style="3" bestFit="1" customWidth="1"/>
    <col min="21" max="22" width="10.6640625" style="3" bestFit="1" customWidth="1"/>
    <col min="23" max="23" width="2" style="3" bestFit="1" customWidth="1"/>
    <col min="24" max="24" width="6.109375" style="3" bestFit="1" customWidth="1"/>
    <col min="25" max="16384" width="20.88671875" style="3"/>
  </cols>
  <sheetData>
    <row r="1" spans="1:9" x14ac:dyDescent="0.3">
      <c r="A1" s="5" t="s">
        <v>5</v>
      </c>
      <c r="E1" s="74"/>
      <c r="F1" s="74"/>
      <c r="G1" s="74"/>
      <c r="H1" s="74"/>
    </row>
    <row r="2" spans="1:9" x14ac:dyDescent="0.3">
      <c r="A2" s="6" t="s">
        <v>127</v>
      </c>
      <c r="B2" s="6" t="s">
        <v>121</v>
      </c>
      <c r="C2" s="2" t="s">
        <v>128</v>
      </c>
    </row>
    <row r="3" spans="1:9" x14ac:dyDescent="0.3">
      <c r="A3" s="6" t="s">
        <v>45</v>
      </c>
      <c r="B3" s="202" t="s">
        <v>235</v>
      </c>
      <c r="C3" s="202"/>
      <c r="D3" s="202"/>
      <c r="E3" s="202"/>
      <c r="F3" s="202"/>
      <c r="G3" s="202"/>
      <c r="H3" s="202"/>
      <c r="I3" s="202"/>
    </row>
    <row r="5" spans="1:9" ht="33.75" customHeight="1" x14ac:dyDescent="0.3">
      <c r="A5" s="25" t="s">
        <v>15</v>
      </c>
      <c r="B5" s="25" t="s">
        <v>16</v>
      </c>
      <c r="C5" s="25" t="s">
        <v>7</v>
      </c>
      <c r="D5" s="25" t="s">
        <v>47</v>
      </c>
      <c r="E5" s="25" t="s">
        <v>49</v>
      </c>
      <c r="F5" s="25" t="s">
        <v>50</v>
      </c>
      <c r="G5" s="25" t="s">
        <v>51</v>
      </c>
      <c r="H5" s="25" t="s">
        <v>566</v>
      </c>
      <c r="I5" s="25" t="s">
        <v>52</v>
      </c>
    </row>
    <row r="6" spans="1:9" x14ac:dyDescent="0.3">
      <c r="A6" s="3" t="s">
        <v>236</v>
      </c>
      <c r="B6" s="4" t="s">
        <v>20</v>
      </c>
      <c r="C6" s="4" t="s">
        <v>54</v>
      </c>
      <c r="D6" s="3" t="s">
        <v>55</v>
      </c>
      <c r="E6" s="24" t="s">
        <v>56</v>
      </c>
      <c r="F6" s="26"/>
      <c r="G6" s="26"/>
      <c r="H6" s="65">
        <v>341</v>
      </c>
    </row>
    <row r="7" spans="1:9" s="6" customFormat="1" x14ac:dyDescent="0.3">
      <c r="A7" s="93" t="s">
        <v>129</v>
      </c>
      <c r="B7" s="94" t="s">
        <v>66</v>
      </c>
      <c r="C7" s="94" t="s">
        <v>130</v>
      </c>
      <c r="D7" s="93" t="s">
        <v>131</v>
      </c>
      <c r="E7" s="95" t="s">
        <v>56</v>
      </c>
      <c r="F7" s="96"/>
      <c r="G7" s="96"/>
      <c r="H7" s="95" t="s">
        <v>402</v>
      </c>
      <c r="I7" s="93"/>
    </row>
    <row r="8" spans="1:9" s="35" customFormat="1" ht="28.8" x14ac:dyDescent="0.3">
      <c r="A8" s="35" t="s">
        <v>397</v>
      </c>
      <c r="B8" s="4" t="s">
        <v>61</v>
      </c>
      <c r="C8" s="36" t="s">
        <v>238</v>
      </c>
      <c r="E8" s="48">
        <v>1</v>
      </c>
      <c r="F8" s="37"/>
      <c r="G8" s="37"/>
      <c r="H8" s="65" t="s">
        <v>327</v>
      </c>
    </row>
    <row r="9" spans="1:9" s="35" customFormat="1" x14ac:dyDescent="0.3">
      <c r="A9" s="35" t="s">
        <v>237</v>
      </c>
      <c r="B9" s="4" t="s">
        <v>61</v>
      </c>
      <c r="C9" s="36"/>
      <c r="E9" s="69">
        <v>2</v>
      </c>
      <c r="F9" s="37"/>
      <c r="G9" s="37"/>
      <c r="H9" s="65" t="s">
        <v>327</v>
      </c>
    </row>
    <row r="10" spans="1:9" s="35" customFormat="1" x14ac:dyDescent="0.3">
      <c r="A10" s="35" t="s">
        <v>239</v>
      </c>
      <c r="B10" s="4" t="s">
        <v>61</v>
      </c>
      <c r="C10" s="36" t="s">
        <v>240</v>
      </c>
      <c r="E10" s="69">
        <v>2</v>
      </c>
      <c r="F10" s="37"/>
      <c r="G10" s="37"/>
      <c r="H10" s="65" t="s">
        <v>327</v>
      </c>
    </row>
    <row r="11" spans="1:9" s="35" customFormat="1" ht="43.2" x14ac:dyDescent="0.3">
      <c r="A11" s="35" t="s">
        <v>398</v>
      </c>
      <c r="B11" s="4" t="s">
        <v>334</v>
      </c>
      <c r="C11" s="36" t="s">
        <v>332</v>
      </c>
      <c r="E11" s="48">
        <v>1</v>
      </c>
      <c r="F11" s="37"/>
      <c r="G11" s="37"/>
      <c r="H11" s="65" t="s">
        <v>403</v>
      </c>
      <c r="I11" s="36" t="s">
        <v>333</v>
      </c>
    </row>
    <row r="12" spans="1:9" s="35" customFormat="1" ht="43.2" x14ac:dyDescent="0.3">
      <c r="A12" s="35" t="s">
        <v>133</v>
      </c>
      <c r="B12" s="4" t="s">
        <v>334</v>
      </c>
      <c r="C12" s="36" t="s">
        <v>332</v>
      </c>
      <c r="E12" s="69">
        <v>2</v>
      </c>
      <c r="F12" s="37"/>
      <c r="G12" s="37"/>
      <c r="H12" s="65" t="s">
        <v>403</v>
      </c>
      <c r="I12" s="36" t="s">
        <v>333</v>
      </c>
    </row>
    <row r="13" spans="1:9" ht="28.8" x14ac:dyDescent="0.3">
      <c r="A13" s="3" t="s">
        <v>135</v>
      </c>
      <c r="B13" s="4" t="s">
        <v>36</v>
      </c>
      <c r="C13" s="4" t="s">
        <v>136</v>
      </c>
      <c r="E13" s="69">
        <v>2</v>
      </c>
      <c r="G13" s="30"/>
      <c r="H13" s="65" t="s">
        <v>404</v>
      </c>
      <c r="I13" s="4" t="s">
        <v>335</v>
      </c>
    </row>
    <row r="14" spans="1:9" s="35" customFormat="1" ht="28.8" x14ac:dyDescent="0.3">
      <c r="A14" s="35" t="s">
        <v>241</v>
      </c>
      <c r="B14" s="4" t="s">
        <v>61</v>
      </c>
      <c r="C14" s="36" t="s">
        <v>242</v>
      </c>
      <c r="E14" s="69">
        <v>2</v>
      </c>
      <c r="F14" s="37"/>
      <c r="G14" s="37"/>
      <c r="H14" s="65" t="s">
        <v>405</v>
      </c>
    </row>
    <row r="15" spans="1:9" s="35" customFormat="1" x14ac:dyDescent="0.3">
      <c r="A15" s="35" t="s">
        <v>243</v>
      </c>
      <c r="B15" s="4" t="s">
        <v>61</v>
      </c>
      <c r="C15" s="36" t="s">
        <v>244</v>
      </c>
      <c r="E15" s="69">
        <v>2</v>
      </c>
      <c r="F15" s="37"/>
      <c r="G15" s="37"/>
      <c r="H15" s="65" t="s">
        <v>406</v>
      </c>
    </row>
    <row r="16" spans="1:9" s="35" customFormat="1" x14ac:dyDescent="0.3">
      <c r="A16" s="35" t="s">
        <v>331</v>
      </c>
      <c r="B16" s="4" t="s">
        <v>61</v>
      </c>
      <c r="C16" s="36" t="s">
        <v>245</v>
      </c>
      <c r="E16" s="69">
        <v>2</v>
      </c>
      <c r="F16" s="37"/>
      <c r="G16" s="37"/>
      <c r="H16" s="65" t="s">
        <v>288</v>
      </c>
    </row>
    <row r="17" spans="1:9" s="35" customFormat="1" ht="43.2" x14ac:dyDescent="0.3">
      <c r="A17" s="35" t="s">
        <v>247</v>
      </c>
      <c r="B17" s="4" t="s">
        <v>61</v>
      </c>
      <c r="C17" s="2" t="s">
        <v>246</v>
      </c>
      <c r="E17" s="30" t="s">
        <v>132</v>
      </c>
      <c r="F17" s="37"/>
      <c r="G17" s="37"/>
      <c r="H17" s="65" t="s">
        <v>407</v>
      </c>
    </row>
    <row r="18" spans="1:9" s="35" customFormat="1" ht="43.2" x14ac:dyDescent="0.3">
      <c r="A18" s="35" t="s">
        <v>248</v>
      </c>
      <c r="B18" s="4" t="s">
        <v>249</v>
      </c>
      <c r="C18" s="36" t="s">
        <v>250</v>
      </c>
      <c r="E18" s="30" t="s">
        <v>132</v>
      </c>
      <c r="F18" s="37"/>
      <c r="G18" s="37"/>
      <c r="H18" s="65" t="s">
        <v>225</v>
      </c>
    </row>
    <row r="19" spans="1:9" s="35" customFormat="1" x14ac:dyDescent="0.3">
      <c r="A19" s="35" t="s">
        <v>251</v>
      </c>
      <c r="B19" s="4" t="s">
        <v>61</v>
      </c>
      <c r="C19" s="36" t="s">
        <v>252</v>
      </c>
      <c r="E19" s="30" t="s">
        <v>132</v>
      </c>
      <c r="F19" s="37"/>
      <c r="G19" s="37"/>
      <c r="H19" s="65" t="s">
        <v>288</v>
      </c>
    </row>
    <row r="20" spans="1:9" s="35" customFormat="1" x14ac:dyDescent="0.3">
      <c r="A20" t="s">
        <v>336</v>
      </c>
      <c r="B20" t="s">
        <v>300</v>
      </c>
      <c r="C20" s="2" t="s">
        <v>301</v>
      </c>
      <c r="E20" s="30" t="s">
        <v>132</v>
      </c>
      <c r="F20" s="37"/>
      <c r="G20" s="37"/>
      <c r="H20" s="65">
        <v>-1</v>
      </c>
    </row>
    <row r="21" spans="1:9" s="35" customFormat="1" x14ac:dyDescent="0.3">
      <c r="A21" t="s">
        <v>337</v>
      </c>
      <c r="B21" t="s">
        <v>300</v>
      </c>
      <c r="C21" s="2" t="s">
        <v>303</v>
      </c>
      <c r="E21" s="30" t="s">
        <v>132</v>
      </c>
      <c r="F21" s="37"/>
      <c r="G21" s="37"/>
      <c r="H21" s="65">
        <v>30</v>
      </c>
    </row>
    <row r="22" spans="1:9" s="35" customFormat="1" x14ac:dyDescent="0.3">
      <c r="A22" t="s">
        <v>338</v>
      </c>
      <c r="B22" t="s">
        <v>300</v>
      </c>
      <c r="C22" s="2" t="s">
        <v>305</v>
      </c>
      <c r="E22" s="30" t="s">
        <v>132</v>
      </c>
      <c r="F22" s="37"/>
      <c r="G22" s="37"/>
      <c r="H22" s="65">
        <v>-1</v>
      </c>
    </row>
    <row r="23" spans="1:9" s="35" customFormat="1" x14ac:dyDescent="0.3">
      <c r="A23" t="s">
        <v>341</v>
      </c>
      <c r="B23" t="s">
        <v>300</v>
      </c>
      <c r="C23" s="2" t="s">
        <v>307</v>
      </c>
      <c r="E23" s="30" t="s">
        <v>132</v>
      </c>
      <c r="F23" s="37"/>
      <c r="G23" s="37"/>
      <c r="H23" s="65">
        <v>-1</v>
      </c>
    </row>
    <row r="24" spans="1:9" s="35" customFormat="1" x14ac:dyDescent="0.3">
      <c r="A24" t="s">
        <v>342</v>
      </c>
      <c r="B24" t="s">
        <v>300</v>
      </c>
      <c r="C24" s="2" t="s">
        <v>309</v>
      </c>
      <c r="E24" s="30" t="s">
        <v>132</v>
      </c>
      <c r="F24" s="37"/>
      <c r="G24" s="37"/>
      <c r="H24" s="65">
        <v>5</v>
      </c>
    </row>
    <row r="25" spans="1:9" s="35" customFormat="1" ht="28.8" x14ac:dyDescent="0.3">
      <c r="A25" s="35" t="s">
        <v>343</v>
      </c>
      <c r="B25" s="4" t="s">
        <v>66</v>
      </c>
      <c r="C25" s="36" t="s">
        <v>317</v>
      </c>
      <c r="E25" s="30" t="s">
        <v>132</v>
      </c>
      <c r="F25" s="37"/>
      <c r="G25" s="37"/>
      <c r="H25" s="65" t="s">
        <v>408</v>
      </c>
    </row>
    <row r="26" spans="1:9" s="31" customFormat="1" x14ac:dyDescent="0.3">
      <c r="A26" s="31" t="s">
        <v>139</v>
      </c>
      <c r="B26" s="31" t="s">
        <v>57</v>
      </c>
      <c r="C26" s="32" t="s">
        <v>140</v>
      </c>
      <c r="E26" s="33" t="s">
        <v>56</v>
      </c>
      <c r="F26" s="34">
        <v>1</v>
      </c>
      <c r="G26" s="34">
        <v>1</v>
      </c>
      <c r="H26" s="72">
        <v>43101</v>
      </c>
      <c r="I26" s="31" t="s">
        <v>141</v>
      </c>
    </row>
    <row r="27" spans="1:9" s="31" customFormat="1" x14ac:dyDescent="0.3">
      <c r="A27" s="31" t="s">
        <v>142</v>
      </c>
      <c r="B27" s="31" t="s">
        <v>57</v>
      </c>
      <c r="C27" s="32" t="s">
        <v>143</v>
      </c>
      <c r="E27" s="33" t="s">
        <v>56</v>
      </c>
      <c r="F27" s="34">
        <v>401768</v>
      </c>
      <c r="G27" s="34">
        <v>401768</v>
      </c>
      <c r="H27" s="72">
        <v>401404</v>
      </c>
      <c r="I27" s="31" t="s">
        <v>141</v>
      </c>
    </row>
    <row r="28" spans="1:9" s="31" customFormat="1" x14ac:dyDescent="0.3">
      <c r="A28" s="31" t="s">
        <v>144</v>
      </c>
      <c r="B28" s="31" t="s">
        <v>145</v>
      </c>
      <c r="C28" s="32" t="s">
        <v>146</v>
      </c>
      <c r="E28" s="33" t="s">
        <v>56</v>
      </c>
      <c r="F28" s="33">
        <v>1</v>
      </c>
      <c r="G28" s="33">
        <v>1</v>
      </c>
      <c r="H28" s="65">
        <v>1</v>
      </c>
      <c r="I28" s="31" t="s">
        <v>141</v>
      </c>
    </row>
    <row r="29" spans="1:9" s="31" customFormat="1" ht="28.8" x14ac:dyDescent="0.3">
      <c r="A29" s="31" t="s">
        <v>148</v>
      </c>
      <c r="B29" s="31" t="s">
        <v>66</v>
      </c>
      <c r="C29" s="32" t="s">
        <v>149</v>
      </c>
      <c r="E29" s="33" t="s">
        <v>56</v>
      </c>
      <c r="F29" s="33" t="s">
        <v>150</v>
      </c>
      <c r="G29" s="33" t="s">
        <v>150</v>
      </c>
      <c r="H29" s="65" t="s">
        <v>150</v>
      </c>
      <c r="I29" s="31" t="s">
        <v>141</v>
      </c>
    </row>
    <row r="30" spans="1:9" s="31" customFormat="1" x14ac:dyDescent="0.3">
      <c r="A30" s="31" t="s">
        <v>19</v>
      </c>
      <c r="B30" s="31" t="s">
        <v>20</v>
      </c>
      <c r="C30" s="32" t="s">
        <v>147</v>
      </c>
      <c r="D30" s="31" t="s">
        <v>98</v>
      </c>
      <c r="E30" s="33" t="s">
        <v>56</v>
      </c>
      <c r="F30" s="33">
        <v>0</v>
      </c>
      <c r="G30" s="33">
        <v>0</v>
      </c>
      <c r="H30" s="33">
        <v>1</v>
      </c>
      <c r="I30" s="98" t="s">
        <v>573</v>
      </c>
    </row>
  </sheetData>
  <mergeCells count="1">
    <mergeCell ref="B3:I3"/>
  </mergeCells>
  <hyperlinks>
    <hyperlink ref="A1" location="Index!A1" display="Index" xr:uid="{00000000-0004-0000-0E00-000000000000}"/>
    <hyperlink ref="I30" location="'Process Metadata'!A25" display="Import_Batch_Process_Task" xr:uid="{00000000-0004-0000-0E00-000001000000}"/>
  </hyperlinks>
  <pageMargins left="0.7" right="0.7" top="0.75" bottom="0.75" header="0.3" footer="0.3"/>
  <pageSetup paperSize="9" orientation="portrait" horizontalDpi="4294967293" verticalDpi="4294967293"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13D9E0-CE16-4E21-8B5B-9B2603FC71FA}">
  <sheetPr>
    <tabColor rgb="FF92D050"/>
  </sheetPr>
  <dimension ref="A1:I16"/>
  <sheetViews>
    <sheetView zoomScale="96" zoomScaleNormal="96" workbookViewId="0">
      <selection activeCell="A11" sqref="A11"/>
    </sheetView>
  </sheetViews>
  <sheetFormatPr defaultColWidth="20.88671875" defaultRowHeight="14.4" x14ac:dyDescent="0.3"/>
  <cols>
    <col min="1" max="1" width="42.33203125" style="147" customWidth="1"/>
    <col min="2" max="2" width="13.44140625" style="147" bestFit="1" customWidth="1"/>
    <col min="3" max="3" width="41.6640625" style="148" bestFit="1" customWidth="1"/>
    <col min="4" max="4" width="5.21875" style="147" bestFit="1" customWidth="1"/>
    <col min="5" max="5" width="9.88671875" style="147" bestFit="1" customWidth="1"/>
    <col min="6" max="6" width="21.44140625" style="147" bestFit="1" customWidth="1"/>
    <col min="7" max="7" width="28.33203125" style="147" bestFit="1" customWidth="1"/>
    <col min="8" max="8" width="51.88671875" style="147" bestFit="1" customWidth="1"/>
    <col min="9" max="9" width="40.88671875" style="147" bestFit="1" customWidth="1"/>
    <col min="10" max="10" width="4.33203125" style="147" bestFit="1" customWidth="1"/>
    <col min="11" max="11" width="6.88671875" style="147" bestFit="1" customWidth="1"/>
    <col min="12" max="12" width="5.88671875" style="147" bestFit="1" customWidth="1"/>
    <col min="13" max="13" width="4.44140625" style="147" bestFit="1" customWidth="1"/>
    <col min="14" max="14" width="6.88671875" style="147" bestFit="1" customWidth="1"/>
    <col min="15" max="15" width="2.6640625" style="147" bestFit="1" customWidth="1"/>
    <col min="16" max="16" width="3" style="147" bestFit="1" customWidth="1"/>
    <col min="17" max="18" width="2.6640625" style="147" bestFit="1" customWidth="1"/>
    <col min="19" max="19" width="2" style="147" bestFit="1" customWidth="1"/>
    <col min="20" max="20" width="2.6640625" style="147" bestFit="1" customWidth="1"/>
    <col min="21" max="22" width="10.6640625" style="147" bestFit="1" customWidth="1"/>
    <col min="23" max="23" width="2" style="147" bestFit="1" customWidth="1"/>
    <col min="24" max="24" width="6.109375" style="147" bestFit="1" customWidth="1"/>
    <col min="25" max="16384" width="20.88671875" style="147"/>
  </cols>
  <sheetData>
    <row r="1" spans="1:9" x14ac:dyDescent="0.3">
      <c r="A1" s="98" t="s">
        <v>5</v>
      </c>
    </row>
    <row r="2" spans="1:9" x14ac:dyDescent="0.3">
      <c r="A2" s="95" t="s">
        <v>127</v>
      </c>
      <c r="B2" s="95" t="s">
        <v>809</v>
      </c>
      <c r="C2" s="47" t="s">
        <v>128</v>
      </c>
    </row>
    <row r="3" spans="1:9" x14ac:dyDescent="0.3">
      <c r="A3" s="95" t="s">
        <v>45</v>
      </c>
      <c r="B3" s="202" t="s">
        <v>876</v>
      </c>
      <c r="C3" s="202"/>
      <c r="D3" s="202"/>
      <c r="E3" s="202"/>
      <c r="F3" s="202"/>
      <c r="G3" s="202"/>
      <c r="H3" s="202"/>
      <c r="I3" s="202"/>
    </row>
    <row r="5" spans="1:9" ht="33.75" customHeight="1" x14ac:dyDescent="0.3">
      <c r="A5" s="25" t="s">
        <v>15</v>
      </c>
      <c r="B5" s="25" t="s">
        <v>16</v>
      </c>
      <c r="C5" s="25" t="s">
        <v>7</v>
      </c>
      <c r="D5" s="25" t="s">
        <v>47</v>
      </c>
      <c r="E5" s="25" t="s">
        <v>49</v>
      </c>
      <c r="F5" s="25" t="s">
        <v>50</v>
      </c>
      <c r="G5" s="25" t="s">
        <v>51</v>
      </c>
      <c r="H5" s="25" t="s">
        <v>566</v>
      </c>
      <c r="I5" s="25" t="s">
        <v>52</v>
      </c>
    </row>
    <row r="6" spans="1:9" x14ac:dyDescent="0.3">
      <c r="A6" s="147" t="s">
        <v>823</v>
      </c>
      <c r="B6" s="148" t="s">
        <v>20</v>
      </c>
      <c r="C6" s="148" t="s">
        <v>54</v>
      </c>
      <c r="D6" s="147" t="s">
        <v>55</v>
      </c>
      <c r="E6" s="147" t="s">
        <v>56</v>
      </c>
      <c r="F6" s="26"/>
      <c r="G6" s="26"/>
      <c r="H6" s="147">
        <v>341</v>
      </c>
    </row>
    <row r="7" spans="1:9" s="95" customFormat="1" x14ac:dyDescent="0.3">
      <c r="A7" s="163" t="s">
        <v>739</v>
      </c>
      <c r="B7" s="164" t="s">
        <v>61</v>
      </c>
      <c r="C7" s="164" t="s">
        <v>418</v>
      </c>
      <c r="D7" s="163" t="s">
        <v>131</v>
      </c>
      <c r="E7" s="95" t="s">
        <v>56</v>
      </c>
      <c r="F7" s="96"/>
      <c r="G7" s="96"/>
      <c r="H7" s="95" t="s">
        <v>742</v>
      </c>
      <c r="I7" s="163"/>
    </row>
    <row r="8" spans="1:9" s="165" customFormat="1" x14ac:dyDescent="0.3">
      <c r="A8" s="174" t="s">
        <v>745</v>
      </c>
      <c r="B8" s="175" t="s">
        <v>36</v>
      </c>
      <c r="C8" s="166" t="s">
        <v>846</v>
      </c>
      <c r="E8" s="176">
        <v>2</v>
      </c>
      <c r="F8" s="37" t="s">
        <v>841</v>
      </c>
      <c r="G8" s="75" t="s">
        <v>765</v>
      </c>
      <c r="H8" s="75" t="s">
        <v>746</v>
      </c>
    </row>
    <row r="9" spans="1:9" s="165" customFormat="1" x14ac:dyDescent="0.3">
      <c r="A9" s="75" t="s">
        <v>748</v>
      </c>
      <c r="B9" s="47" t="s">
        <v>767</v>
      </c>
      <c r="C9" s="166" t="s">
        <v>847</v>
      </c>
      <c r="E9" s="176">
        <v>2</v>
      </c>
      <c r="F9" s="37" t="s">
        <v>842</v>
      </c>
      <c r="G9" s="75" t="s">
        <v>768</v>
      </c>
      <c r="H9" s="75" t="s">
        <v>757</v>
      </c>
    </row>
    <row r="10" spans="1:9" x14ac:dyDescent="0.3">
      <c r="A10" s="147" t="s">
        <v>905</v>
      </c>
      <c r="B10" s="148" t="s">
        <v>57</v>
      </c>
      <c r="C10" s="147" t="s">
        <v>906</v>
      </c>
      <c r="D10" s="150"/>
      <c r="E10" s="177">
        <v>1</v>
      </c>
      <c r="F10" s="167">
        <v>1</v>
      </c>
      <c r="G10" s="167">
        <v>1</v>
      </c>
      <c r="H10" s="147">
        <v>20190125</v>
      </c>
    </row>
    <row r="11" spans="1:9" s="165" customFormat="1" x14ac:dyDescent="0.3">
      <c r="A11" s="165" t="s">
        <v>921</v>
      </c>
      <c r="B11" s="148" t="s">
        <v>36</v>
      </c>
      <c r="C11" s="166" t="s">
        <v>845</v>
      </c>
      <c r="E11" s="48">
        <v>1</v>
      </c>
      <c r="F11" s="37" t="s">
        <v>843</v>
      </c>
      <c r="G11" s="75" t="s">
        <v>844</v>
      </c>
      <c r="H11" s="147" t="s">
        <v>840</v>
      </c>
    </row>
    <row r="12" spans="1:9" s="33" customFormat="1" x14ac:dyDescent="0.3">
      <c r="A12" s="33" t="s">
        <v>139</v>
      </c>
      <c r="B12" s="33" t="s">
        <v>57</v>
      </c>
      <c r="C12" s="170" t="s">
        <v>140</v>
      </c>
      <c r="E12" s="33" t="s">
        <v>56</v>
      </c>
      <c r="F12" s="34">
        <v>1</v>
      </c>
      <c r="G12" s="34">
        <v>1</v>
      </c>
      <c r="H12" s="171">
        <v>43101</v>
      </c>
      <c r="I12" s="33" t="s">
        <v>141</v>
      </c>
    </row>
    <row r="13" spans="1:9" s="33" customFormat="1" x14ac:dyDescent="0.3">
      <c r="A13" s="33" t="s">
        <v>142</v>
      </c>
      <c r="B13" s="33" t="s">
        <v>57</v>
      </c>
      <c r="C13" s="170" t="s">
        <v>143</v>
      </c>
      <c r="E13" s="33" t="s">
        <v>56</v>
      </c>
      <c r="F13" s="34">
        <v>401768</v>
      </c>
      <c r="G13" s="34">
        <v>401768</v>
      </c>
      <c r="H13" s="171">
        <v>401404</v>
      </c>
      <c r="I13" s="33" t="s">
        <v>141</v>
      </c>
    </row>
    <row r="14" spans="1:9" s="33" customFormat="1" x14ac:dyDescent="0.3">
      <c r="A14" s="33" t="s">
        <v>144</v>
      </c>
      <c r="B14" s="33" t="s">
        <v>145</v>
      </c>
      <c r="C14" s="170" t="s">
        <v>146</v>
      </c>
      <c r="E14" s="33" t="s">
        <v>56</v>
      </c>
      <c r="F14" s="33">
        <v>1</v>
      </c>
      <c r="G14" s="33">
        <v>1</v>
      </c>
      <c r="H14" s="172">
        <v>1</v>
      </c>
      <c r="I14" s="33" t="s">
        <v>141</v>
      </c>
    </row>
    <row r="15" spans="1:9" s="33" customFormat="1" ht="28.8" x14ac:dyDescent="0.3">
      <c r="A15" s="33" t="s">
        <v>148</v>
      </c>
      <c r="B15" s="33" t="s">
        <v>66</v>
      </c>
      <c r="C15" s="170" t="s">
        <v>149</v>
      </c>
      <c r="E15" s="33" t="s">
        <v>56</v>
      </c>
      <c r="F15" s="33" t="s">
        <v>150</v>
      </c>
      <c r="G15" s="33" t="s">
        <v>150</v>
      </c>
      <c r="H15" s="172" t="s">
        <v>150</v>
      </c>
      <c r="I15" s="33" t="s">
        <v>141</v>
      </c>
    </row>
    <row r="16" spans="1:9" s="33" customFormat="1" x14ac:dyDescent="0.3">
      <c r="A16" s="33" t="s">
        <v>19</v>
      </c>
      <c r="B16" s="33" t="s">
        <v>20</v>
      </c>
      <c r="C16" s="170" t="s">
        <v>147</v>
      </c>
      <c r="D16" s="33" t="s">
        <v>98</v>
      </c>
      <c r="E16" s="33" t="s">
        <v>56</v>
      </c>
      <c r="F16" s="33">
        <v>0</v>
      </c>
      <c r="G16" s="33">
        <v>0</v>
      </c>
      <c r="H16" s="173">
        <v>1</v>
      </c>
      <c r="I16" s="98" t="s">
        <v>573</v>
      </c>
    </row>
  </sheetData>
  <mergeCells count="1">
    <mergeCell ref="B3:I3"/>
  </mergeCells>
  <hyperlinks>
    <hyperlink ref="A1" location="Index!A1" display="Index" xr:uid="{5F3ED0D8-129F-4F7E-818E-138D57EC6D9C}"/>
    <hyperlink ref="I16" location="'Process Metadata'!A25" display="Import_Batch_Process_Task" xr:uid="{3EE8DEE1-BE74-4F82-A5C0-AE3821EEE319}"/>
  </hyperlink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A9C37-6655-466D-8535-F6FDBC4CB5A2}">
  <sheetPr>
    <tabColor rgb="FF92D050"/>
  </sheetPr>
  <dimension ref="A1:I13"/>
  <sheetViews>
    <sheetView zoomScale="96" zoomScaleNormal="96" workbookViewId="0">
      <selection activeCell="C17" sqref="C17"/>
    </sheetView>
  </sheetViews>
  <sheetFormatPr defaultColWidth="20.88671875" defaultRowHeight="14.4" x14ac:dyDescent="0.3"/>
  <cols>
    <col min="1" max="1" width="42.33203125" style="178" customWidth="1"/>
    <col min="2" max="2" width="13.44140625" style="178" bestFit="1" customWidth="1"/>
    <col min="3" max="3" width="41.6640625" style="179" bestFit="1" customWidth="1"/>
    <col min="4" max="5" width="9.88671875" style="178" bestFit="1" customWidth="1"/>
    <col min="6" max="6" width="17.44140625" style="178" bestFit="1" customWidth="1"/>
    <col min="7" max="7" width="22.6640625" style="178" bestFit="1" customWidth="1"/>
    <col min="8" max="8" width="27.6640625" style="178" bestFit="1" customWidth="1"/>
    <col min="9" max="9" width="40.88671875" style="178" bestFit="1" customWidth="1"/>
    <col min="10" max="10" width="4.33203125" style="178" bestFit="1" customWidth="1"/>
    <col min="11" max="11" width="6.88671875" style="178" bestFit="1" customWidth="1"/>
    <col min="12" max="12" width="5.88671875" style="178" bestFit="1" customWidth="1"/>
    <col min="13" max="13" width="4.44140625" style="178" bestFit="1" customWidth="1"/>
    <col min="14" max="14" width="6.88671875" style="178" bestFit="1" customWidth="1"/>
    <col min="15" max="15" width="2.6640625" style="178" bestFit="1" customWidth="1"/>
    <col min="16" max="16" width="3" style="178" bestFit="1" customWidth="1"/>
    <col min="17" max="18" width="2.6640625" style="178" bestFit="1" customWidth="1"/>
    <col min="19" max="19" width="2" style="178" bestFit="1" customWidth="1"/>
    <col min="20" max="20" width="2.6640625" style="178" bestFit="1" customWidth="1"/>
    <col min="21" max="22" width="10.6640625" style="178" bestFit="1" customWidth="1"/>
    <col min="23" max="23" width="2" style="178" bestFit="1" customWidth="1"/>
    <col min="24" max="24" width="6.109375" style="178" bestFit="1" customWidth="1"/>
    <col min="25" max="16384" width="20.88671875" style="178"/>
  </cols>
  <sheetData>
    <row r="1" spans="1:9" x14ac:dyDescent="0.3">
      <c r="A1" s="98" t="s">
        <v>5</v>
      </c>
    </row>
    <row r="2" spans="1:9" x14ac:dyDescent="0.3">
      <c r="A2" s="95" t="s">
        <v>127</v>
      </c>
      <c r="B2" s="95" t="s">
        <v>750</v>
      </c>
      <c r="C2" s="47" t="s">
        <v>128</v>
      </c>
    </row>
    <row r="3" spans="1:9" x14ac:dyDescent="0.3">
      <c r="A3" s="95" t="s">
        <v>45</v>
      </c>
      <c r="B3" s="202" t="s">
        <v>908</v>
      </c>
      <c r="C3" s="202"/>
      <c r="D3" s="202"/>
      <c r="E3" s="202"/>
      <c r="F3" s="202"/>
      <c r="G3" s="202"/>
      <c r="H3" s="202"/>
      <c r="I3" s="202"/>
    </row>
    <row r="5" spans="1:9" ht="33.75" customHeight="1" x14ac:dyDescent="0.3">
      <c r="A5" s="25" t="s">
        <v>15</v>
      </c>
      <c r="B5" s="25" t="s">
        <v>16</v>
      </c>
      <c r="C5" s="25" t="s">
        <v>7</v>
      </c>
      <c r="D5" s="25" t="s">
        <v>47</v>
      </c>
      <c r="E5" s="25" t="s">
        <v>49</v>
      </c>
      <c r="F5" s="25" t="s">
        <v>50</v>
      </c>
      <c r="G5" s="25" t="s">
        <v>51</v>
      </c>
      <c r="H5" s="25" t="s">
        <v>566</v>
      </c>
      <c r="I5" s="25" t="s">
        <v>52</v>
      </c>
    </row>
    <row r="6" spans="1:9" x14ac:dyDescent="0.3">
      <c r="A6" s="178" t="s">
        <v>837</v>
      </c>
      <c r="B6" s="179" t="s">
        <v>20</v>
      </c>
      <c r="C6" s="179" t="s">
        <v>54</v>
      </c>
      <c r="D6" s="178" t="s">
        <v>55</v>
      </c>
      <c r="E6" s="178" t="s">
        <v>56</v>
      </c>
      <c r="F6" s="26"/>
      <c r="G6" s="26"/>
      <c r="H6" s="178">
        <v>341</v>
      </c>
    </row>
    <row r="7" spans="1:9" s="165" customFormat="1" x14ac:dyDescent="0.3">
      <c r="A7" s="165" t="s">
        <v>820</v>
      </c>
      <c r="B7" s="179" t="s">
        <v>36</v>
      </c>
      <c r="C7" s="166" t="s">
        <v>845</v>
      </c>
      <c r="D7" s="163" t="s">
        <v>131</v>
      </c>
      <c r="E7" s="30" t="s">
        <v>56</v>
      </c>
      <c r="F7" s="37" t="s">
        <v>843</v>
      </c>
      <c r="G7" s="75" t="s">
        <v>844</v>
      </c>
      <c r="H7" s="178" t="s">
        <v>840</v>
      </c>
    </row>
    <row r="8" spans="1:9" s="165" customFormat="1" x14ac:dyDescent="0.3">
      <c r="B8" s="179"/>
      <c r="C8" s="166"/>
      <c r="E8" s="30"/>
      <c r="F8" s="37"/>
      <c r="G8" s="37"/>
      <c r="H8" s="178"/>
    </row>
    <row r="9" spans="1:9" s="33" customFormat="1" x14ac:dyDescent="0.3">
      <c r="A9" s="208" t="s">
        <v>929</v>
      </c>
      <c r="C9" s="170"/>
      <c r="F9" s="34"/>
      <c r="G9" s="34"/>
      <c r="H9" s="72"/>
    </row>
    <row r="10" spans="1:9" s="33" customFormat="1" x14ac:dyDescent="0.3">
      <c r="C10" s="170"/>
      <c r="F10" s="34"/>
      <c r="G10" s="34"/>
      <c r="H10" s="72"/>
    </row>
    <row r="11" spans="1:9" s="33" customFormat="1" x14ac:dyDescent="0.3">
      <c r="C11" s="170"/>
      <c r="H11" s="178"/>
    </row>
    <row r="12" spans="1:9" s="33" customFormat="1" x14ac:dyDescent="0.3">
      <c r="C12" s="170"/>
      <c r="H12" s="178"/>
    </row>
    <row r="13" spans="1:9" s="33" customFormat="1" x14ac:dyDescent="0.3">
      <c r="C13" s="170"/>
      <c r="I13" s="98"/>
    </row>
  </sheetData>
  <mergeCells count="1">
    <mergeCell ref="B3:I3"/>
  </mergeCells>
  <hyperlinks>
    <hyperlink ref="A1" location="Index!A1" display="Index" xr:uid="{CD3449D9-FB3E-4CDC-9A8F-AA4EC5796156}"/>
  </hyperlinks>
  <pageMargins left="0.7" right="0.7" top="0.75" bottom="0.75" header="0.3" footer="0.3"/>
  <pageSetup paperSize="9" orientation="portrait" horizontalDpi="4294967293" verticalDpi="4294967293"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CABA42-6574-4E32-B692-4087D171469E}">
  <sheetPr>
    <tabColor rgb="FF92D050"/>
  </sheetPr>
  <dimension ref="A1:I30"/>
  <sheetViews>
    <sheetView workbookViewId="0">
      <selection activeCell="C23" sqref="C23"/>
    </sheetView>
  </sheetViews>
  <sheetFormatPr defaultColWidth="20.88671875" defaultRowHeight="14.4" x14ac:dyDescent="0.3"/>
  <cols>
    <col min="1" max="1" width="42.33203125" style="178" customWidth="1"/>
    <col min="2" max="2" width="13.44140625" style="178" bestFit="1" customWidth="1"/>
    <col min="3" max="3" width="41.6640625" style="179" bestFit="1" customWidth="1"/>
    <col min="4" max="5" width="9.88671875" style="178" bestFit="1" customWidth="1"/>
    <col min="6" max="6" width="13.6640625" style="178" customWidth="1"/>
    <col min="7" max="7" width="13.109375" style="178" customWidth="1"/>
    <col min="8" max="8" width="27.6640625" style="178" bestFit="1" customWidth="1"/>
    <col min="9" max="9" width="40.88671875" style="178" bestFit="1" customWidth="1"/>
    <col min="10" max="10" width="4.33203125" style="178" bestFit="1" customWidth="1"/>
    <col min="11" max="11" width="6.88671875" style="178" bestFit="1" customWidth="1"/>
    <col min="12" max="12" width="5.88671875" style="178" bestFit="1" customWidth="1"/>
    <col min="13" max="13" width="4.44140625" style="178" bestFit="1" customWidth="1"/>
    <col min="14" max="14" width="6.88671875" style="178" bestFit="1" customWidth="1"/>
    <col min="15" max="15" width="2.6640625" style="178" bestFit="1" customWidth="1"/>
    <col min="16" max="16" width="3" style="178" bestFit="1" customWidth="1"/>
    <col min="17" max="18" width="2.6640625" style="178" bestFit="1" customWidth="1"/>
    <col min="19" max="19" width="2" style="178" bestFit="1" customWidth="1"/>
    <col min="20" max="20" width="2.6640625" style="178" bestFit="1" customWidth="1"/>
    <col min="21" max="22" width="10.6640625" style="178" bestFit="1" customWidth="1"/>
    <col min="23" max="23" width="2" style="178" bestFit="1" customWidth="1"/>
    <col min="24" max="24" width="6.109375" style="178" bestFit="1" customWidth="1"/>
    <col min="25" max="16384" width="20.88671875" style="178"/>
  </cols>
  <sheetData>
    <row r="1" spans="1:9" x14ac:dyDescent="0.3">
      <c r="A1" s="98" t="s">
        <v>5</v>
      </c>
    </row>
    <row r="2" spans="1:9" x14ac:dyDescent="0.3">
      <c r="A2" s="95" t="s">
        <v>127</v>
      </c>
      <c r="B2" s="95" t="s">
        <v>869</v>
      </c>
      <c r="C2" s="47" t="s">
        <v>128</v>
      </c>
    </row>
    <row r="3" spans="1:9" x14ac:dyDescent="0.3">
      <c r="A3" s="95" t="s">
        <v>45</v>
      </c>
      <c r="B3" s="202" t="s">
        <v>870</v>
      </c>
      <c r="C3" s="202"/>
      <c r="D3" s="202"/>
      <c r="E3" s="202"/>
      <c r="F3" s="202"/>
      <c r="G3" s="202"/>
      <c r="H3" s="202"/>
      <c r="I3" s="202"/>
    </row>
    <row r="5" spans="1:9" ht="33.75" customHeight="1" x14ac:dyDescent="0.3">
      <c r="A5" s="25" t="s">
        <v>15</v>
      </c>
      <c r="B5" s="25" t="s">
        <v>16</v>
      </c>
      <c r="C5" s="25" t="s">
        <v>7</v>
      </c>
      <c r="D5" s="25" t="s">
        <v>47</v>
      </c>
      <c r="E5" s="25" t="s">
        <v>49</v>
      </c>
      <c r="F5" s="25" t="s">
        <v>50</v>
      </c>
      <c r="G5" s="25" t="s">
        <v>51</v>
      </c>
      <c r="H5" s="25" t="s">
        <v>566</v>
      </c>
      <c r="I5" s="25" t="s">
        <v>52</v>
      </c>
    </row>
    <row r="6" spans="1:9" x14ac:dyDescent="0.3">
      <c r="A6" s="184" t="s">
        <v>889</v>
      </c>
      <c r="B6" s="185" t="s">
        <v>20</v>
      </c>
      <c r="C6" s="186" t="s">
        <v>868</v>
      </c>
      <c r="D6" s="178" t="s">
        <v>55</v>
      </c>
      <c r="E6" s="178" t="s">
        <v>56</v>
      </c>
      <c r="F6" s="26"/>
      <c r="G6" s="26"/>
      <c r="H6" s="186">
        <v>1</v>
      </c>
    </row>
    <row r="7" spans="1:9" s="95" customFormat="1" x14ac:dyDescent="0.3">
      <c r="A7" s="187" t="s">
        <v>705</v>
      </c>
      <c r="B7" s="188" t="s">
        <v>61</v>
      </c>
      <c r="C7" s="189" t="s">
        <v>863</v>
      </c>
      <c r="D7" s="163" t="s">
        <v>131</v>
      </c>
      <c r="E7" s="95" t="s">
        <v>56</v>
      </c>
      <c r="F7" s="96"/>
      <c r="G7" s="96"/>
      <c r="H7" s="189" t="s">
        <v>862</v>
      </c>
      <c r="I7" s="163"/>
    </row>
    <row r="8" spans="1:9" s="165" customFormat="1" x14ac:dyDescent="0.3">
      <c r="A8" s="190" t="s">
        <v>904</v>
      </c>
      <c r="B8" s="191" t="s">
        <v>36</v>
      </c>
      <c r="C8" s="153" t="s">
        <v>861</v>
      </c>
      <c r="E8" s="69">
        <v>2</v>
      </c>
      <c r="F8" s="37"/>
      <c r="G8" s="37"/>
      <c r="H8" s="153" t="s">
        <v>860</v>
      </c>
    </row>
    <row r="9" spans="1:9" s="165" customFormat="1" x14ac:dyDescent="0.3">
      <c r="A9" s="190" t="s">
        <v>711</v>
      </c>
      <c r="B9" s="191" t="s">
        <v>36</v>
      </c>
      <c r="C9" s="153" t="s">
        <v>859</v>
      </c>
      <c r="E9" s="69">
        <v>2</v>
      </c>
      <c r="F9" s="37"/>
      <c r="G9" s="37"/>
      <c r="H9" s="153" t="s">
        <v>858</v>
      </c>
    </row>
    <row r="10" spans="1:9" s="165" customFormat="1" x14ac:dyDescent="0.3">
      <c r="A10" s="190" t="s">
        <v>890</v>
      </c>
      <c r="B10" s="192" t="s">
        <v>659</v>
      </c>
      <c r="C10" s="153" t="s">
        <v>857</v>
      </c>
      <c r="E10" s="69">
        <v>2</v>
      </c>
      <c r="F10" s="37"/>
      <c r="G10" s="37"/>
      <c r="H10" s="153" t="s">
        <v>856</v>
      </c>
    </row>
    <row r="11" spans="1:9" s="165" customFormat="1" x14ac:dyDescent="0.3">
      <c r="A11" s="33" t="s">
        <v>139</v>
      </c>
      <c r="B11" s="33" t="s">
        <v>57</v>
      </c>
      <c r="C11" s="170" t="s">
        <v>140</v>
      </c>
      <c r="D11" s="33"/>
      <c r="E11" s="33" t="s">
        <v>56</v>
      </c>
      <c r="F11" s="34">
        <v>1</v>
      </c>
      <c r="G11" s="34">
        <v>1</v>
      </c>
      <c r="H11" s="72">
        <v>43101</v>
      </c>
      <c r="I11" s="33" t="s">
        <v>141</v>
      </c>
    </row>
    <row r="12" spans="1:9" s="165" customFormat="1" x14ac:dyDescent="0.3">
      <c r="A12" s="33" t="s">
        <v>142</v>
      </c>
      <c r="B12" s="33" t="s">
        <v>57</v>
      </c>
      <c r="C12" s="170" t="s">
        <v>143</v>
      </c>
      <c r="D12" s="33"/>
      <c r="E12" s="33" t="s">
        <v>56</v>
      </c>
      <c r="F12" s="34">
        <v>401768</v>
      </c>
      <c r="G12" s="34">
        <v>401768</v>
      </c>
      <c r="H12" s="72">
        <v>401404</v>
      </c>
      <c r="I12" s="33" t="s">
        <v>141</v>
      </c>
    </row>
    <row r="13" spans="1:9" x14ac:dyDescent="0.3">
      <c r="A13" s="33" t="s">
        <v>144</v>
      </c>
      <c r="B13" s="33" t="s">
        <v>145</v>
      </c>
      <c r="C13" s="170" t="s">
        <v>146</v>
      </c>
      <c r="D13" s="33"/>
      <c r="E13" s="33" t="s">
        <v>56</v>
      </c>
      <c r="F13" s="33">
        <v>1</v>
      </c>
      <c r="G13" s="33">
        <v>1</v>
      </c>
      <c r="H13" s="178">
        <v>1</v>
      </c>
      <c r="I13" s="33" t="s">
        <v>141</v>
      </c>
    </row>
    <row r="14" spans="1:9" s="165" customFormat="1" ht="28.8" x14ac:dyDescent="0.3">
      <c r="A14" s="33" t="s">
        <v>148</v>
      </c>
      <c r="B14" s="33" t="s">
        <v>66</v>
      </c>
      <c r="C14" s="170" t="s">
        <v>149</v>
      </c>
      <c r="D14" s="33"/>
      <c r="E14" s="33" t="s">
        <v>56</v>
      </c>
      <c r="F14" s="33" t="s">
        <v>150</v>
      </c>
      <c r="G14" s="33" t="s">
        <v>150</v>
      </c>
      <c r="H14" s="178" t="s">
        <v>150</v>
      </c>
      <c r="I14" s="33" t="s">
        <v>141</v>
      </c>
    </row>
    <row r="15" spans="1:9" s="165" customFormat="1" x14ac:dyDescent="0.3">
      <c r="A15" s="33" t="s">
        <v>19</v>
      </c>
      <c r="B15" s="33" t="s">
        <v>20</v>
      </c>
      <c r="C15" s="170" t="s">
        <v>147</v>
      </c>
      <c r="D15" s="33" t="s">
        <v>98</v>
      </c>
      <c r="E15" s="33" t="s">
        <v>56</v>
      </c>
      <c r="F15" s="33">
        <v>0</v>
      </c>
      <c r="G15" s="33">
        <v>0</v>
      </c>
      <c r="H15" s="33">
        <v>1</v>
      </c>
      <c r="I15" s="98" t="s">
        <v>573</v>
      </c>
    </row>
    <row r="16" spans="1:9" s="165" customFormat="1" x14ac:dyDescent="0.3">
      <c r="B16" s="179"/>
      <c r="C16" s="166"/>
      <c r="E16" s="30"/>
      <c r="F16" s="37"/>
      <c r="G16" s="37"/>
      <c r="H16" s="178"/>
    </row>
    <row r="17" spans="1:9" s="165" customFormat="1" x14ac:dyDescent="0.3">
      <c r="B17" s="179"/>
      <c r="C17" s="47"/>
      <c r="E17" s="30"/>
      <c r="F17" s="37"/>
      <c r="G17" s="37"/>
      <c r="H17" s="178"/>
    </row>
    <row r="18" spans="1:9" s="165" customFormat="1" x14ac:dyDescent="0.3">
      <c r="B18" s="179"/>
      <c r="C18" s="166"/>
      <c r="E18" s="30"/>
      <c r="F18" s="37"/>
      <c r="G18" s="37"/>
      <c r="H18" s="178"/>
    </row>
    <row r="19" spans="1:9" s="165" customFormat="1" x14ac:dyDescent="0.3">
      <c r="B19" s="179"/>
      <c r="C19" s="75"/>
      <c r="E19" s="30"/>
      <c r="F19" s="37"/>
      <c r="G19" s="37"/>
      <c r="H19" s="178"/>
    </row>
    <row r="20" spans="1:9" s="165" customFormat="1" x14ac:dyDescent="0.3">
      <c r="A20" s="75"/>
      <c r="B20" s="75"/>
      <c r="C20" s="75"/>
      <c r="E20" s="30"/>
      <c r="F20" s="37"/>
      <c r="G20" s="37"/>
      <c r="H20" s="178"/>
    </row>
    <row r="21" spans="1:9" s="165" customFormat="1" x14ac:dyDescent="0.3">
      <c r="A21" s="75"/>
      <c r="B21" s="75"/>
      <c r="C21" s="75"/>
      <c r="E21" s="30"/>
      <c r="F21" s="37"/>
      <c r="G21" s="37"/>
      <c r="H21" s="178"/>
    </row>
    <row r="22" spans="1:9" s="165" customFormat="1" x14ac:dyDescent="0.3">
      <c r="A22" s="75"/>
      <c r="B22" s="75"/>
      <c r="C22" s="75"/>
      <c r="E22" s="30"/>
      <c r="F22" s="37"/>
      <c r="G22" s="37"/>
      <c r="H22" s="178"/>
    </row>
    <row r="23" spans="1:9" s="165" customFormat="1" x14ac:dyDescent="0.3">
      <c r="A23" s="75"/>
      <c r="B23" s="75"/>
      <c r="C23" s="75"/>
      <c r="E23" s="30"/>
      <c r="F23" s="37"/>
      <c r="G23" s="37"/>
      <c r="H23" s="178"/>
    </row>
    <row r="24" spans="1:9" s="165" customFormat="1" x14ac:dyDescent="0.3">
      <c r="A24" s="75"/>
      <c r="B24" s="75"/>
      <c r="C24" s="75"/>
      <c r="E24" s="30"/>
      <c r="F24" s="37"/>
      <c r="G24" s="37"/>
      <c r="H24" s="178"/>
    </row>
    <row r="25" spans="1:9" s="165" customFormat="1" x14ac:dyDescent="0.3">
      <c r="B25" s="179"/>
      <c r="C25" s="166"/>
      <c r="E25" s="30"/>
      <c r="F25" s="37"/>
      <c r="G25" s="37"/>
      <c r="H25" s="178"/>
    </row>
    <row r="26" spans="1:9" s="33" customFormat="1" x14ac:dyDescent="0.3">
      <c r="C26" s="170"/>
      <c r="F26" s="34"/>
      <c r="G26" s="34"/>
      <c r="H26" s="72"/>
    </row>
    <row r="27" spans="1:9" s="33" customFormat="1" x14ac:dyDescent="0.3">
      <c r="C27" s="170"/>
      <c r="F27" s="34"/>
      <c r="G27" s="34"/>
      <c r="H27" s="72"/>
    </row>
    <row r="28" spans="1:9" s="33" customFormat="1" x14ac:dyDescent="0.3">
      <c r="C28" s="170"/>
      <c r="H28" s="178"/>
    </row>
    <row r="29" spans="1:9" s="33" customFormat="1" x14ac:dyDescent="0.3">
      <c r="C29" s="170"/>
      <c r="H29" s="178"/>
    </row>
    <row r="30" spans="1:9" s="33" customFormat="1" x14ac:dyDescent="0.3">
      <c r="C30" s="170"/>
      <c r="I30" s="98"/>
    </row>
  </sheetData>
  <mergeCells count="1">
    <mergeCell ref="B3:I3"/>
  </mergeCells>
  <hyperlinks>
    <hyperlink ref="A1" location="Index!A1" display="Index" xr:uid="{FC7B4E1F-A3C7-46A3-BCEA-F56719304659}"/>
    <hyperlink ref="I15" location="'Process Metadata'!A25" display="Import_Batch_Process_Task" xr:uid="{BFD8D431-1100-4F48-B938-201D80BCC777}"/>
  </hyperlink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D236D2-A268-401C-888A-CDF7F0795C89}">
  <sheetPr>
    <tabColor rgb="FF92D050"/>
  </sheetPr>
  <dimension ref="A1:I27"/>
  <sheetViews>
    <sheetView topLeftCell="A4" zoomScaleNormal="100" workbookViewId="0">
      <selection activeCell="I12" sqref="I12"/>
    </sheetView>
  </sheetViews>
  <sheetFormatPr defaultColWidth="20.88671875" defaultRowHeight="14.4" x14ac:dyDescent="0.3"/>
  <cols>
    <col min="1" max="1" width="42.33203125" style="136" customWidth="1"/>
    <col min="2" max="2" width="13.44140625" style="136" bestFit="1" customWidth="1"/>
    <col min="3" max="3" width="41.6640625" style="141" bestFit="1" customWidth="1"/>
    <col min="4" max="5" width="9.88671875" style="136" bestFit="1" customWidth="1"/>
    <col min="6" max="6" width="25.88671875" style="136" bestFit="1" customWidth="1"/>
    <col min="7" max="7" width="31.33203125" style="136" bestFit="1" customWidth="1"/>
    <col min="8" max="8" width="27.6640625" style="136" bestFit="1" customWidth="1"/>
    <col min="9" max="9" width="40.88671875" style="136" bestFit="1" customWidth="1"/>
    <col min="10" max="10" width="4.33203125" style="136" bestFit="1" customWidth="1"/>
    <col min="11" max="11" width="6.88671875" style="136" bestFit="1" customWidth="1"/>
    <col min="12" max="12" width="5.88671875" style="136" bestFit="1" customWidth="1"/>
    <col min="13" max="13" width="4.44140625" style="136" bestFit="1" customWidth="1"/>
    <col min="14" max="14" width="6.88671875" style="136" bestFit="1" customWidth="1"/>
    <col min="15" max="15" width="2.6640625" style="136" bestFit="1" customWidth="1"/>
    <col min="16" max="16" width="3" style="136" bestFit="1" customWidth="1"/>
    <col min="17" max="18" width="2.6640625" style="136" bestFit="1" customWidth="1"/>
    <col min="19" max="19" width="2" style="136" bestFit="1" customWidth="1"/>
    <col min="20" max="20" width="2.6640625" style="136" bestFit="1" customWidth="1"/>
    <col min="21" max="22" width="10.6640625" style="136" bestFit="1" customWidth="1"/>
    <col min="23" max="23" width="2" style="136" bestFit="1" customWidth="1"/>
    <col min="24" max="24" width="6.109375" style="136" bestFit="1" customWidth="1"/>
    <col min="25" max="16384" width="20.88671875" style="136"/>
  </cols>
  <sheetData>
    <row r="1" spans="1:9" x14ac:dyDescent="0.3">
      <c r="A1" s="137" t="s">
        <v>5</v>
      </c>
    </row>
    <row r="2" spans="1:9" x14ac:dyDescent="0.3">
      <c r="A2" s="138" t="s">
        <v>127</v>
      </c>
      <c r="B2" s="138" t="s">
        <v>807</v>
      </c>
      <c r="C2" s="139" t="s">
        <v>128</v>
      </c>
    </row>
    <row r="3" spans="1:9" x14ac:dyDescent="0.3">
      <c r="A3" s="138" t="s">
        <v>45</v>
      </c>
      <c r="B3" s="203" t="s">
        <v>891</v>
      </c>
      <c r="C3" s="203"/>
      <c r="D3" s="203"/>
      <c r="E3" s="203"/>
      <c r="F3" s="203"/>
      <c r="G3" s="203"/>
      <c r="H3" s="203"/>
      <c r="I3" s="203"/>
    </row>
    <row r="5" spans="1:9" ht="33.75" customHeight="1" x14ac:dyDescent="0.3">
      <c r="A5" s="25" t="s">
        <v>15</v>
      </c>
      <c r="B5" s="25" t="s">
        <v>16</v>
      </c>
      <c r="C5" s="25" t="s">
        <v>7</v>
      </c>
      <c r="D5" s="25" t="s">
        <v>47</v>
      </c>
      <c r="E5" s="25" t="s">
        <v>49</v>
      </c>
      <c r="F5" s="25" t="s">
        <v>50</v>
      </c>
      <c r="G5" s="25" t="s">
        <v>51</v>
      </c>
      <c r="H5" s="25" t="s">
        <v>566</v>
      </c>
      <c r="I5" s="25" t="s">
        <v>52</v>
      </c>
    </row>
    <row r="6" spans="1:9" x14ac:dyDescent="0.3">
      <c r="A6" s="145" t="s">
        <v>895</v>
      </c>
      <c r="B6" s="146" t="s">
        <v>20</v>
      </c>
      <c r="C6" s="146" t="s">
        <v>54</v>
      </c>
      <c r="D6" s="145" t="s">
        <v>55</v>
      </c>
      <c r="E6" s="145" t="s">
        <v>56</v>
      </c>
      <c r="F6" s="26"/>
      <c r="G6" s="26"/>
      <c r="H6" s="145">
        <v>341</v>
      </c>
      <c r="I6" s="145"/>
    </row>
    <row r="7" spans="1:9" s="138" customFormat="1" x14ac:dyDescent="0.3">
      <c r="A7" s="163" t="s">
        <v>626</v>
      </c>
      <c r="B7" s="164" t="s">
        <v>66</v>
      </c>
      <c r="C7" s="164" t="s">
        <v>418</v>
      </c>
      <c r="D7" s="163" t="s">
        <v>131</v>
      </c>
      <c r="E7" s="95" t="s">
        <v>56</v>
      </c>
      <c r="F7" s="96"/>
      <c r="G7" s="96"/>
      <c r="H7" s="95" t="s">
        <v>851</v>
      </c>
      <c r="I7" s="163"/>
    </row>
    <row r="8" spans="1:9" s="140" customFormat="1" x14ac:dyDescent="0.3">
      <c r="A8" s="165" t="s">
        <v>628</v>
      </c>
      <c r="B8" s="146" t="s">
        <v>659</v>
      </c>
      <c r="C8" s="166" t="s">
        <v>849</v>
      </c>
      <c r="D8" s="165"/>
      <c r="E8" s="69">
        <v>2</v>
      </c>
      <c r="F8" s="37" t="s">
        <v>852</v>
      </c>
      <c r="G8" s="75" t="s">
        <v>925</v>
      </c>
      <c r="H8" s="75" t="s">
        <v>640</v>
      </c>
      <c r="I8" s="165"/>
    </row>
    <row r="9" spans="1:9" s="140" customFormat="1" x14ac:dyDescent="0.3">
      <c r="A9" s="165" t="s">
        <v>922</v>
      </c>
      <c r="B9" s="198" t="s">
        <v>659</v>
      </c>
      <c r="C9" s="166" t="s">
        <v>927</v>
      </c>
      <c r="D9" s="165"/>
      <c r="E9" s="48">
        <v>1</v>
      </c>
      <c r="F9" s="37" t="s">
        <v>923</v>
      </c>
      <c r="G9" s="75" t="s">
        <v>924</v>
      </c>
      <c r="H9" s="75" t="s">
        <v>926</v>
      </c>
      <c r="I9" s="165" t="s">
        <v>928</v>
      </c>
    </row>
    <row r="10" spans="1:9" s="140" customFormat="1" x14ac:dyDescent="0.3">
      <c r="A10" s="165" t="s">
        <v>848</v>
      </c>
      <c r="B10" s="146" t="s">
        <v>36</v>
      </c>
      <c r="C10" s="166" t="s">
        <v>850</v>
      </c>
      <c r="D10" s="165"/>
      <c r="E10" s="69">
        <v>2</v>
      </c>
      <c r="F10" s="37" t="s">
        <v>853</v>
      </c>
      <c r="G10" s="75" t="s">
        <v>663</v>
      </c>
      <c r="H10" s="75" t="s">
        <v>641</v>
      </c>
      <c r="I10" s="165"/>
    </row>
    <row r="11" spans="1:9" s="140" customFormat="1" x14ac:dyDescent="0.3">
      <c r="A11" s="153" t="s">
        <v>630</v>
      </c>
      <c r="B11" s="75" t="s">
        <v>659</v>
      </c>
      <c r="C11" s="153" t="s">
        <v>879</v>
      </c>
      <c r="D11" s="165"/>
      <c r="E11" s="69">
        <v>2</v>
      </c>
      <c r="F11" s="37" t="s">
        <v>884</v>
      </c>
      <c r="G11" s="37" t="s">
        <v>664</v>
      </c>
      <c r="H11" s="75" t="s">
        <v>642</v>
      </c>
      <c r="I11" s="165"/>
    </row>
    <row r="12" spans="1:9" s="134" customFormat="1" x14ac:dyDescent="0.3">
      <c r="A12" s="153" t="s">
        <v>631</v>
      </c>
      <c r="B12" s="75" t="s">
        <v>659</v>
      </c>
      <c r="C12" s="153" t="s">
        <v>880</v>
      </c>
      <c r="D12" s="33"/>
      <c r="E12" s="69">
        <v>2</v>
      </c>
      <c r="F12" s="37" t="s">
        <v>669</v>
      </c>
      <c r="G12" s="37" t="s">
        <v>665</v>
      </c>
      <c r="H12" s="72"/>
      <c r="I12" s="33"/>
    </row>
    <row r="13" spans="1:9" s="134" customFormat="1" x14ac:dyDescent="0.3">
      <c r="A13" s="153" t="s">
        <v>632</v>
      </c>
      <c r="B13" s="75" t="s">
        <v>36</v>
      </c>
      <c r="C13" s="153" t="s">
        <v>881</v>
      </c>
      <c r="D13" s="33"/>
      <c r="E13" s="69">
        <v>2</v>
      </c>
      <c r="F13" s="167" t="s">
        <v>885</v>
      </c>
      <c r="G13" s="167" t="s">
        <v>666</v>
      </c>
      <c r="H13" s="72" t="s">
        <v>643</v>
      </c>
      <c r="I13" s="33"/>
    </row>
    <row r="14" spans="1:9" s="134" customFormat="1" x14ac:dyDescent="0.3">
      <c r="A14" s="153" t="s">
        <v>633</v>
      </c>
      <c r="B14" s="75" t="s">
        <v>660</v>
      </c>
      <c r="C14" s="153" t="s">
        <v>882</v>
      </c>
      <c r="D14" s="33"/>
      <c r="E14" s="69">
        <v>2</v>
      </c>
      <c r="F14" s="168" t="s">
        <v>667</v>
      </c>
      <c r="G14" s="168" t="s">
        <v>667</v>
      </c>
      <c r="H14" s="145">
        <v>1200</v>
      </c>
      <c r="I14" s="33"/>
    </row>
    <row r="15" spans="1:9" s="134" customFormat="1" ht="28.8" x14ac:dyDescent="0.3">
      <c r="A15" s="153" t="s">
        <v>877</v>
      </c>
      <c r="B15" s="75" t="s">
        <v>686</v>
      </c>
      <c r="C15" s="153" t="s">
        <v>883</v>
      </c>
      <c r="D15" s="33"/>
      <c r="E15" s="69">
        <v>2</v>
      </c>
      <c r="F15" s="168" t="s">
        <v>886</v>
      </c>
      <c r="G15" s="168" t="s">
        <v>887</v>
      </c>
      <c r="H15" s="146" t="s">
        <v>888</v>
      </c>
      <c r="I15" s="33"/>
    </row>
    <row r="16" spans="1:9" s="134" customFormat="1" ht="28.8" x14ac:dyDescent="0.3">
      <c r="A16" s="153" t="s">
        <v>909</v>
      </c>
      <c r="B16" s="75" t="s">
        <v>66</v>
      </c>
      <c r="C16" s="153" t="s">
        <v>897</v>
      </c>
      <c r="D16" s="33"/>
      <c r="E16" s="69">
        <v>2</v>
      </c>
      <c r="F16" s="168" t="s">
        <v>898</v>
      </c>
      <c r="G16" s="168" t="s">
        <v>899</v>
      </c>
      <c r="H16" s="75" t="s">
        <v>679</v>
      </c>
      <c r="I16" s="33"/>
    </row>
    <row r="17" spans="1:9" s="134" customFormat="1" x14ac:dyDescent="0.3">
      <c r="A17" s="153" t="s">
        <v>900</v>
      </c>
      <c r="B17" s="75" t="s">
        <v>66</v>
      </c>
      <c r="C17" s="153" t="s">
        <v>910</v>
      </c>
      <c r="D17" s="33"/>
      <c r="E17" s="69">
        <v>2</v>
      </c>
      <c r="F17" s="168" t="s">
        <v>902</v>
      </c>
      <c r="G17" s="168" t="s">
        <v>903</v>
      </c>
      <c r="H17" t="s">
        <v>637</v>
      </c>
      <c r="I17" s="33"/>
    </row>
    <row r="18" spans="1:9" s="134" customFormat="1" ht="28.8" x14ac:dyDescent="0.3">
      <c r="A18" s="153" t="s">
        <v>878</v>
      </c>
      <c r="B18" s="75" t="s">
        <v>36</v>
      </c>
      <c r="C18" s="153" t="s">
        <v>901</v>
      </c>
      <c r="D18" s="33"/>
      <c r="E18" s="69">
        <v>2</v>
      </c>
      <c r="F18" s="168" t="s">
        <v>886</v>
      </c>
      <c r="G18" s="168" t="s">
        <v>887</v>
      </c>
      <c r="H18" s="168" t="s">
        <v>691</v>
      </c>
      <c r="I18" s="98"/>
    </row>
    <row r="19" spans="1:9" s="134" customFormat="1" ht="28.8" x14ac:dyDescent="0.3">
      <c r="A19" s="169" t="s">
        <v>907</v>
      </c>
      <c r="B19" s="75" t="s">
        <v>66</v>
      </c>
      <c r="C19" s="169" t="s">
        <v>893</v>
      </c>
      <c r="D19" s="33"/>
      <c r="E19" s="69">
        <v>2</v>
      </c>
      <c r="F19" s="168" t="s">
        <v>661</v>
      </c>
      <c r="G19" s="168" t="s">
        <v>661</v>
      </c>
      <c r="H19" s="168" t="s">
        <v>694</v>
      </c>
      <c r="I19" s="98"/>
    </row>
    <row r="20" spans="1:9" x14ac:dyDescent="0.3">
      <c r="A20" s="33" t="s">
        <v>139</v>
      </c>
      <c r="B20" s="33" t="s">
        <v>57</v>
      </c>
      <c r="C20" s="170" t="s">
        <v>140</v>
      </c>
      <c r="D20" s="33"/>
      <c r="E20" s="33" t="s">
        <v>56</v>
      </c>
      <c r="F20" s="34">
        <v>1</v>
      </c>
      <c r="G20" s="34">
        <v>1</v>
      </c>
      <c r="H20" s="171">
        <v>43101</v>
      </c>
      <c r="I20" s="33" t="s">
        <v>141</v>
      </c>
    </row>
    <row r="21" spans="1:9" x14ac:dyDescent="0.3">
      <c r="A21" s="33" t="s">
        <v>142</v>
      </c>
      <c r="B21" s="33" t="s">
        <v>57</v>
      </c>
      <c r="C21" s="170" t="s">
        <v>143</v>
      </c>
      <c r="D21" s="33"/>
      <c r="E21" s="33" t="s">
        <v>56</v>
      </c>
      <c r="F21" s="34">
        <v>401768</v>
      </c>
      <c r="G21" s="34">
        <v>401768</v>
      </c>
      <c r="H21" s="171">
        <v>401404</v>
      </c>
      <c r="I21" s="33" t="s">
        <v>141</v>
      </c>
    </row>
    <row r="22" spans="1:9" x14ac:dyDescent="0.3">
      <c r="A22" s="33" t="s">
        <v>144</v>
      </c>
      <c r="B22" s="33" t="s">
        <v>145</v>
      </c>
      <c r="C22" s="170" t="s">
        <v>146</v>
      </c>
      <c r="D22" s="33"/>
      <c r="E22" s="33" t="s">
        <v>56</v>
      </c>
      <c r="F22" s="33">
        <v>1</v>
      </c>
      <c r="G22" s="33">
        <v>1</v>
      </c>
      <c r="H22" s="172">
        <v>1</v>
      </c>
      <c r="I22" s="33" t="s">
        <v>141</v>
      </c>
    </row>
    <row r="23" spans="1:9" ht="28.8" x14ac:dyDescent="0.3">
      <c r="A23" s="33" t="s">
        <v>148</v>
      </c>
      <c r="B23" s="33" t="s">
        <v>66</v>
      </c>
      <c r="C23" s="170" t="s">
        <v>149</v>
      </c>
      <c r="D23" s="33"/>
      <c r="E23" s="33" t="s">
        <v>56</v>
      </c>
      <c r="F23" s="33" t="s">
        <v>150</v>
      </c>
      <c r="G23" s="33" t="s">
        <v>150</v>
      </c>
      <c r="H23" s="172" t="s">
        <v>150</v>
      </c>
      <c r="I23" s="33" t="s">
        <v>141</v>
      </c>
    </row>
    <row r="24" spans="1:9" x14ac:dyDescent="0.3">
      <c r="A24" s="33" t="s">
        <v>19</v>
      </c>
      <c r="B24" s="33" t="s">
        <v>20</v>
      </c>
      <c r="C24" s="170" t="s">
        <v>147</v>
      </c>
      <c r="D24" s="33" t="s">
        <v>98</v>
      </c>
      <c r="E24" s="33" t="s">
        <v>56</v>
      </c>
      <c r="F24" s="33">
        <v>0</v>
      </c>
      <c r="G24" s="33">
        <v>0</v>
      </c>
      <c r="H24" s="173">
        <v>1</v>
      </c>
      <c r="I24" s="98" t="s">
        <v>573</v>
      </c>
    </row>
    <row r="25" spans="1:9" x14ac:dyDescent="0.3">
      <c r="A25" s="134"/>
      <c r="B25" s="134"/>
      <c r="C25" s="135"/>
      <c r="D25" s="134"/>
      <c r="E25" s="134"/>
      <c r="F25" s="134"/>
      <c r="G25" s="134"/>
      <c r="H25" s="144"/>
      <c r="I25" s="134"/>
    </row>
    <row r="26" spans="1:9" x14ac:dyDescent="0.3">
      <c r="A26" s="134"/>
      <c r="B26" s="134"/>
      <c r="C26" s="135"/>
      <c r="D26" s="134"/>
      <c r="E26" s="134"/>
      <c r="F26" s="134"/>
      <c r="G26" s="134"/>
      <c r="I26" s="134"/>
    </row>
    <row r="27" spans="1:9" x14ac:dyDescent="0.3">
      <c r="A27" s="134"/>
      <c r="B27" s="134"/>
      <c r="C27" s="135"/>
      <c r="D27" s="134"/>
      <c r="E27" s="134"/>
      <c r="F27" s="134"/>
      <c r="G27" s="134"/>
      <c r="H27" s="134"/>
      <c r="I27" s="137"/>
    </row>
  </sheetData>
  <mergeCells count="1">
    <mergeCell ref="B3:I3"/>
  </mergeCells>
  <phoneticPr fontId="19" type="noConversion"/>
  <hyperlinks>
    <hyperlink ref="A1" location="Index!A1" display="Index" xr:uid="{BDFE1917-7BEB-4B2B-ADC4-70EB3929B98C}"/>
    <hyperlink ref="I24" location="'Process Metadata'!A25" display="Import_Batch_Process_Task" xr:uid="{E2A21F73-57A4-432D-9FFB-58EFDE717546}"/>
  </hyperlinks>
  <pageMargins left="0.7" right="0.7" top="0.75" bottom="0.75" header="0.3" footer="0.3"/>
  <pageSetup paperSize="9" orientation="portrait" horizontalDpi="4294967293" verticalDpi="4294967293"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tabColor rgb="FF92D050"/>
  </sheetPr>
  <dimension ref="A1:I18"/>
  <sheetViews>
    <sheetView zoomScaleNormal="100" workbookViewId="0">
      <selection activeCell="C23" sqref="C23"/>
    </sheetView>
  </sheetViews>
  <sheetFormatPr defaultColWidth="20.88671875" defaultRowHeight="14.4" x14ac:dyDescent="0.3"/>
  <cols>
    <col min="1" max="1" width="31.88671875" style="3" customWidth="1"/>
    <col min="2" max="2" width="20.88671875" style="3" bestFit="1" customWidth="1"/>
    <col min="3" max="3" width="42" style="3" customWidth="1"/>
    <col min="4" max="4" width="14.6640625" style="3" customWidth="1"/>
    <col min="5" max="5" width="9.109375" style="65" bestFit="1" customWidth="1"/>
    <col min="6" max="6" width="10.5546875" style="65" customWidth="1"/>
    <col min="7" max="7" width="11.6640625" style="65" customWidth="1"/>
    <col min="8" max="8" width="22.109375" style="65" customWidth="1"/>
    <col min="9" max="9" width="44.6640625" style="3" customWidth="1"/>
    <col min="10" max="16384" width="20.88671875" style="3"/>
  </cols>
  <sheetData>
    <row r="1" spans="1:9" x14ac:dyDescent="0.3">
      <c r="A1" s="5" t="s">
        <v>5</v>
      </c>
      <c r="E1" s="74"/>
      <c r="F1" s="74"/>
      <c r="G1" s="74"/>
      <c r="H1" s="74"/>
    </row>
    <row r="2" spans="1:9" x14ac:dyDescent="0.3">
      <c r="A2" s="6" t="s">
        <v>127</v>
      </c>
      <c r="B2" s="6" t="s">
        <v>399</v>
      </c>
      <c r="C2" t="s">
        <v>128</v>
      </c>
    </row>
    <row r="3" spans="1:9" x14ac:dyDescent="0.3">
      <c r="A3" s="6" t="s">
        <v>45</v>
      </c>
      <c r="B3" s="202" t="s">
        <v>409</v>
      </c>
      <c r="C3" s="202"/>
      <c r="D3" s="202"/>
      <c r="E3" s="202"/>
      <c r="F3" s="202"/>
      <c r="G3" s="202"/>
      <c r="H3" s="202"/>
      <c r="I3" s="202"/>
    </row>
    <row r="5" spans="1:9" ht="28.8" x14ac:dyDescent="0.3">
      <c r="A5" s="25" t="s">
        <v>15</v>
      </c>
      <c r="B5" s="25" t="s">
        <v>16</v>
      </c>
      <c r="C5" s="25" t="s">
        <v>7</v>
      </c>
      <c r="D5" s="25" t="s">
        <v>47</v>
      </c>
      <c r="E5" s="25" t="s">
        <v>49</v>
      </c>
      <c r="F5" s="25" t="s">
        <v>50</v>
      </c>
      <c r="G5" s="25" t="s">
        <v>51</v>
      </c>
      <c r="H5" s="25" t="s">
        <v>566</v>
      </c>
      <c r="I5" s="25" t="s">
        <v>52</v>
      </c>
    </row>
    <row r="6" spans="1:9" x14ac:dyDescent="0.3">
      <c r="A6" s="3" t="s">
        <v>410</v>
      </c>
      <c r="B6" s="4" t="s">
        <v>20</v>
      </c>
      <c r="C6" s="3" t="s">
        <v>54</v>
      </c>
      <c r="D6" s="3" t="s">
        <v>55</v>
      </c>
      <c r="E6" s="65" t="s">
        <v>56</v>
      </c>
      <c r="F6" s="26"/>
      <c r="G6" s="26"/>
      <c r="H6" s="74">
        <v>8</v>
      </c>
    </row>
    <row r="7" spans="1:9" x14ac:dyDescent="0.3">
      <c r="A7" s="27" t="s">
        <v>412</v>
      </c>
      <c r="B7" s="28" t="s">
        <v>36</v>
      </c>
      <c r="C7" s="28" t="s">
        <v>418</v>
      </c>
      <c r="D7" s="27" t="s">
        <v>442</v>
      </c>
      <c r="E7" s="65" t="s">
        <v>56</v>
      </c>
      <c r="F7" s="29"/>
      <c r="G7" s="29"/>
      <c r="H7" s="74" t="s">
        <v>570</v>
      </c>
      <c r="I7" s="27"/>
    </row>
    <row r="8" spans="1:9" x14ac:dyDescent="0.3">
      <c r="A8" s="27" t="s">
        <v>422</v>
      </c>
      <c r="B8" s="28" t="s">
        <v>36</v>
      </c>
      <c r="C8" s="28" t="s">
        <v>418</v>
      </c>
      <c r="D8" s="27" t="s">
        <v>443</v>
      </c>
      <c r="E8" s="70" t="s">
        <v>56</v>
      </c>
      <c r="F8" s="29"/>
      <c r="G8" s="29"/>
      <c r="H8" s="74" t="s">
        <v>543</v>
      </c>
      <c r="I8" s="27"/>
    </row>
    <row r="9" spans="1:9" x14ac:dyDescent="0.3">
      <c r="A9" s="27" t="s">
        <v>427</v>
      </c>
      <c r="B9" s="28" t="s">
        <v>36</v>
      </c>
      <c r="C9" s="28" t="s">
        <v>418</v>
      </c>
      <c r="D9" s="27" t="s">
        <v>444</v>
      </c>
      <c r="E9" s="70" t="s">
        <v>56</v>
      </c>
      <c r="F9" s="29"/>
      <c r="G9" s="29"/>
      <c r="H9" s="74" t="s">
        <v>571</v>
      </c>
      <c r="I9" s="27"/>
    </row>
    <row r="10" spans="1:9" x14ac:dyDescent="0.3">
      <c r="A10" s="27" t="s">
        <v>440</v>
      </c>
      <c r="B10" s="28" t="s">
        <v>36</v>
      </c>
      <c r="C10" s="28" t="s">
        <v>418</v>
      </c>
      <c r="D10" s="27" t="s">
        <v>445</v>
      </c>
      <c r="E10" s="70" t="s">
        <v>56</v>
      </c>
      <c r="F10" s="29"/>
      <c r="G10" s="29"/>
      <c r="H10" s="74" t="s">
        <v>545</v>
      </c>
      <c r="I10" s="27"/>
    </row>
    <row r="11" spans="1:9" x14ac:dyDescent="0.3">
      <c r="A11" s="27" t="s">
        <v>432</v>
      </c>
      <c r="B11" s="28" t="s">
        <v>36</v>
      </c>
      <c r="C11" s="28" t="s">
        <v>418</v>
      </c>
      <c r="D11" s="27" t="s">
        <v>446</v>
      </c>
      <c r="E11" s="70" t="s">
        <v>56</v>
      </c>
      <c r="F11" s="29"/>
      <c r="G11" s="29"/>
      <c r="H11" s="74" t="s">
        <v>546</v>
      </c>
      <c r="I11" s="27"/>
    </row>
    <row r="12" spans="1:9" x14ac:dyDescent="0.3">
      <c r="A12" s="27" t="s">
        <v>435</v>
      </c>
      <c r="B12" s="28" t="s">
        <v>36</v>
      </c>
      <c r="C12" s="28" t="s">
        <v>418</v>
      </c>
      <c r="D12" s="27" t="s">
        <v>447</v>
      </c>
      <c r="E12" s="70" t="s">
        <v>56</v>
      </c>
      <c r="F12" s="29"/>
      <c r="G12" s="29"/>
      <c r="H12" s="74" t="s">
        <v>547</v>
      </c>
      <c r="I12" s="27"/>
    </row>
    <row r="13" spans="1:9" x14ac:dyDescent="0.3">
      <c r="A13" s="27" t="s">
        <v>351</v>
      </c>
      <c r="B13" s="28" t="s">
        <v>61</v>
      </c>
      <c r="C13" s="28" t="s">
        <v>418</v>
      </c>
      <c r="D13" s="27" t="s">
        <v>448</v>
      </c>
      <c r="E13" s="70" t="s">
        <v>56</v>
      </c>
      <c r="F13" s="29"/>
      <c r="G13" s="29"/>
      <c r="H13" s="97">
        <v>0.14000000000000001</v>
      </c>
      <c r="I13" s="27"/>
    </row>
    <row r="14" spans="1:9" s="31" customFormat="1" x14ac:dyDescent="0.3">
      <c r="A14" s="31" t="s">
        <v>139</v>
      </c>
      <c r="B14" s="31" t="s">
        <v>57</v>
      </c>
      <c r="C14" s="32" t="s">
        <v>140</v>
      </c>
      <c r="E14" s="33" t="s">
        <v>56</v>
      </c>
      <c r="F14" s="34"/>
      <c r="G14" s="34"/>
      <c r="H14" s="72">
        <v>43435</v>
      </c>
      <c r="I14" s="31" t="s">
        <v>141</v>
      </c>
    </row>
    <row r="15" spans="1:9" s="31" customFormat="1" ht="28.8" x14ac:dyDescent="0.3">
      <c r="A15" s="31" t="s">
        <v>148</v>
      </c>
      <c r="B15" s="31" t="s">
        <v>66</v>
      </c>
      <c r="C15" s="32" t="s">
        <v>149</v>
      </c>
      <c r="E15" s="33" t="s">
        <v>56</v>
      </c>
      <c r="F15" s="33" t="s">
        <v>150</v>
      </c>
      <c r="G15" s="33" t="s">
        <v>150</v>
      </c>
      <c r="H15" s="74" t="s">
        <v>150</v>
      </c>
      <c r="I15" s="31" t="s">
        <v>141</v>
      </c>
    </row>
    <row r="16" spans="1:9" s="31" customFormat="1" x14ac:dyDescent="0.3">
      <c r="A16" s="31" t="s">
        <v>19</v>
      </c>
      <c r="B16" s="31" t="s">
        <v>20</v>
      </c>
      <c r="C16" s="32" t="s">
        <v>147</v>
      </c>
      <c r="D16" s="31" t="s">
        <v>98</v>
      </c>
      <c r="E16" s="33" t="s">
        <v>56</v>
      </c>
      <c r="F16" s="33">
        <v>0</v>
      </c>
      <c r="G16" s="33">
        <v>0</v>
      </c>
      <c r="H16" s="74">
        <v>3</v>
      </c>
      <c r="I16" s="98" t="s">
        <v>573</v>
      </c>
    </row>
    <row r="18" spans="1:1" x14ac:dyDescent="0.3">
      <c r="A18" s="1"/>
    </row>
  </sheetData>
  <mergeCells count="1">
    <mergeCell ref="B3:I3"/>
  </mergeCells>
  <hyperlinks>
    <hyperlink ref="A1" location="Index!A1" display="Index" xr:uid="{00000000-0004-0000-0F00-000000000000}"/>
    <hyperlink ref="I16" location="'Process Metadata'!A25" display="Import_Batch_Process_Task" xr:uid="{00000000-0004-0000-0F00-000001000000}"/>
  </hyperlinks>
  <pageMargins left="0.7" right="0.7" top="0.75" bottom="0.75" header="0.3" footer="0.3"/>
  <pageSetup paperSize="9" orientation="portrait" horizontalDpi="4294967293" verticalDpi="4294967293"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92D050"/>
  </sheetPr>
  <dimension ref="A1:E9"/>
  <sheetViews>
    <sheetView workbookViewId="0">
      <selection activeCell="B15" sqref="B15"/>
    </sheetView>
  </sheetViews>
  <sheetFormatPr defaultColWidth="8.88671875" defaultRowHeight="14.4" x14ac:dyDescent="0.3"/>
  <cols>
    <col min="1" max="1" width="35.5546875" style="3" bestFit="1" customWidth="1"/>
    <col min="2" max="2" width="31.6640625" style="3" bestFit="1" customWidth="1"/>
    <col min="3" max="3" width="31.44140625" style="4" customWidth="1"/>
    <col min="4" max="4" width="63.5546875" style="3" customWidth="1"/>
    <col min="5" max="5" width="52.6640625" style="3" bestFit="1" customWidth="1"/>
    <col min="6" max="16384" width="8.88671875" style="3"/>
  </cols>
  <sheetData>
    <row r="1" spans="1:5" x14ac:dyDescent="0.3">
      <c r="A1" s="5" t="s">
        <v>5</v>
      </c>
    </row>
    <row r="2" spans="1:5" s="6" customFormat="1" x14ac:dyDescent="0.3">
      <c r="A2" s="6" t="s">
        <v>268</v>
      </c>
      <c r="B2" s="6" t="s">
        <v>1</v>
      </c>
      <c r="C2" s="6" t="s">
        <v>2</v>
      </c>
      <c r="D2" s="7" t="s">
        <v>3</v>
      </c>
      <c r="E2" s="6" t="s">
        <v>4</v>
      </c>
    </row>
    <row r="3" spans="1:5" ht="28.8" x14ac:dyDescent="0.3">
      <c r="A3" s="5" t="s">
        <v>269</v>
      </c>
      <c r="B3" s="3" t="s">
        <v>456</v>
      </c>
      <c r="C3" s="4" t="s">
        <v>160</v>
      </c>
      <c r="D3" s="4" t="s">
        <v>162</v>
      </c>
      <c r="E3" s="4" t="s">
        <v>161</v>
      </c>
    </row>
    <row r="4" spans="1:5" ht="28.8" x14ac:dyDescent="0.3">
      <c r="A4" s="1" t="s">
        <v>620</v>
      </c>
      <c r="B4" s="3" t="s">
        <v>779</v>
      </c>
      <c r="C4" s="4" t="s">
        <v>785</v>
      </c>
      <c r="D4" s="3" t="s">
        <v>791</v>
      </c>
      <c r="E4" s="3" t="s">
        <v>161</v>
      </c>
    </row>
    <row r="5" spans="1:5" ht="43.2" x14ac:dyDescent="0.3">
      <c r="A5" s="1" t="s">
        <v>700</v>
      </c>
      <c r="B5" s="3" t="s">
        <v>781</v>
      </c>
      <c r="C5" s="4" t="s">
        <v>787</v>
      </c>
      <c r="D5" s="3" t="s">
        <v>792</v>
      </c>
      <c r="E5" s="3" t="s">
        <v>161</v>
      </c>
    </row>
    <row r="6" spans="1:5" ht="43.2" x14ac:dyDescent="0.3">
      <c r="A6" s="1" t="s">
        <v>701</v>
      </c>
      <c r="B6" s="3" t="s">
        <v>782</v>
      </c>
      <c r="C6" s="4" t="s">
        <v>789</v>
      </c>
      <c r="D6" s="3" t="s">
        <v>793</v>
      </c>
      <c r="E6" s="3" t="s">
        <v>161</v>
      </c>
    </row>
    <row r="7" spans="1:5" ht="28.8" x14ac:dyDescent="0.3">
      <c r="A7" s="1" t="s">
        <v>702</v>
      </c>
      <c r="B7" s="3" t="s">
        <v>780</v>
      </c>
      <c r="C7" s="4" t="s">
        <v>786</v>
      </c>
      <c r="D7" s="3" t="s">
        <v>794</v>
      </c>
      <c r="E7" s="3" t="s">
        <v>161</v>
      </c>
    </row>
    <row r="8" spans="1:5" ht="43.2" x14ac:dyDescent="0.3">
      <c r="A8" s="1" t="s">
        <v>703</v>
      </c>
      <c r="B8" s="3" t="s">
        <v>783</v>
      </c>
      <c r="C8" s="4" t="s">
        <v>788</v>
      </c>
      <c r="D8" s="3" t="s">
        <v>795</v>
      </c>
      <c r="E8" s="3" t="s">
        <v>161</v>
      </c>
    </row>
    <row r="9" spans="1:5" ht="28.8" x14ac:dyDescent="0.3">
      <c r="A9" s="1" t="s">
        <v>778</v>
      </c>
      <c r="B9" s="3" t="s">
        <v>784</v>
      </c>
      <c r="C9" s="4" t="s">
        <v>790</v>
      </c>
      <c r="D9" s="3" t="s">
        <v>796</v>
      </c>
      <c r="E9" s="3" t="s">
        <v>161</v>
      </c>
    </row>
  </sheetData>
  <hyperlinks>
    <hyperlink ref="A1" location="Index!A1" display="Index" xr:uid="{00000000-0004-0000-0300-000000000000}"/>
    <hyperlink ref="A3" location="SF_MM_Stock_Take!A1" display="SF_MM_Stock_Take" xr:uid="{00000000-0004-0000-0300-000001000000}"/>
    <hyperlink ref="A4" location="SF_PW_Customer!A1" display="SF_PW_Customer" xr:uid="{03E53109-940E-43DA-87F1-274A8331958E}"/>
    <hyperlink ref="A5" location="SF_PW_Customer_Department!A1" display="SF_PW_Customer_Department" xr:uid="{202DDCDB-F5B6-451B-A7DD-E51C91A20AD1}"/>
    <hyperlink ref="A6" location="SF_PW_Customer_Department_Group!A1" display="SF_PW_Customer_Department_Group" xr:uid="{944A5AA1-F7BF-40EA-98B4-7ADF73C52AE8}"/>
    <hyperlink ref="A7" location="SF_PW_Employees!A1" display="SF_PW_Employees" xr:uid="{65802583-25D6-49D5-9195-7C585BD9E016}"/>
    <hyperlink ref="A8" location="SF_PW_Employee_Timesheet!A1" display="SF_PW_Employee_Timesheet" xr:uid="{3EFFFAD2-94E8-452A-87EA-6E34C50669A0}"/>
    <hyperlink ref="A9" location="SF_PW_Internal_Projects!A1" display="SF_Internal_Projects" xr:uid="{35006256-C4B8-4453-A4E8-70A103E1368C}"/>
  </hyperlinks>
  <pageMargins left="0.7" right="0.7" top="0.75" bottom="0.75" header="0.3" footer="0.3"/>
  <pageSetup paperSize="9" orientation="portrait" horizontalDpi="1200" verticalDpi="12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457EE-6E3E-4E8A-8269-85B7705D1CFD}">
  <sheetPr>
    <tabColor rgb="FF92D050"/>
  </sheetPr>
  <dimension ref="A1:I10"/>
  <sheetViews>
    <sheetView workbookViewId="0"/>
  </sheetViews>
  <sheetFormatPr defaultRowHeight="14.4" x14ac:dyDescent="0.3"/>
  <cols>
    <col min="1" max="1" width="17.33203125" bestFit="1" customWidth="1"/>
    <col min="2" max="2" width="14.5546875" customWidth="1"/>
    <col min="3" max="3" width="19.88671875" bestFit="1" customWidth="1"/>
    <col min="4" max="4" width="11" bestFit="1" customWidth="1"/>
    <col min="7" max="7" width="9.5546875" bestFit="1" customWidth="1"/>
    <col min="8" max="8" width="10.6640625" bestFit="1" customWidth="1"/>
    <col min="9" max="9" width="16" bestFit="1" customWidth="1"/>
  </cols>
  <sheetData>
    <row r="1" spans="1:9" x14ac:dyDescent="0.3">
      <c r="A1" s="5" t="s">
        <v>5</v>
      </c>
    </row>
    <row r="2" spans="1:9" ht="43.2" x14ac:dyDescent="0.3">
      <c r="A2" s="10" t="s">
        <v>18</v>
      </c>
      <c r="B2" s="10" t="s">
        <v>207</v>
      </c>
      <c r="C2" s="122" t="s">
        <v>7</v>
      </c>
      <c r="D2" s="122" t="s">
        <v>10</v>
      </c>
      <c r="E2" s="10" t="s">
        <v>624</v>
      </c>
      <c r="F2" s="10" t="s">
        <v>704</v>
      </c>
      <c r="G2" s="122" t="s">
        <v>8</v>
      </c>
      <c r="H2" s="10" t="s">
        <v>9</v>
      </c>
      <c r="I2" s="122" t="s">
        <v>218</v>
      </c>
    </row>
    <row r="3" spans="1:9" ht="28.8" x14ac:dyDescent="0.3">
      <c r="A3" s="9" t="s">
        <v>705</v>
      </c>
      <c r="B3" t="s">
        <v>209</v>
      </c>
      <c r="C3" s="2" t="s">
        <v>930</v>
      </c>
      <c r="D3" t="s">
        <v>345</v>
      </c>
      <c r="E3" t="s">
        <v>155</v>
      </c>
      <c r="F3" t="s">
        <v>155</v>
      </c>
      <c r="G3" s="75" t="s">
        <v>706</v>
      </c>
      <c r="H3" s="75" t="s">
        <v>707</v>
      </c>
    </row>
    <row r="4" spans="1:9" x14ac:dyDescent="0.3">
      <c r="A4" s="9" t="s">
        <v>708</v>
      </c>
      <c r="B4" t="s">
        <v>210</v>
      </c>
      <c r="C4" s="2" t="s">
        <v>931</v>
      </c>
      <c r="E4" t="s">
        <v>155</v>
      </c>
      <c r="F4" t="s">
        <v>155</v>
      </c>
      <c r="G4" s="75" t="s">
        <v>709</v>
      </c>
      <c r="H4" s="75" t="s">
        <v>710</v>
      </c>
    </row>
    <row r="5" spans="1:9" ht="28.8" x14ac:dyDescent="0.3">
      <c r="A5" s="9" t="s">
        <v>711</v>
      </c>
      <c r="B5" t="s">
        <v>210</v>
      </c>
      <c r="C5" s="2" t="s">
        <v>932</v>
      </c>
      <c r="E5" t="s">
        <v>155</v>
      </c>
      <c r="F5" t="s">
        <v>155</v>
      </c>
      <c r="G5" s="75" t="s">
        <v>709</v>
      </c>
      <c r="H5" s="75" t="s">
        <v>712</v>
      </c>
    </row>
    <row r="6" spans="1:9" x14ac:dyDescent="0.3">
      <c r="A6" s="9"/>
      <c r="C6" s="2"/>
      <c r="G6" s="75"/>
      <c r="H6" s="75"/>
    </row>
    <row r="7" spans="1:9" x14ac:dyDescent="0.3">
      <c r="A7" s="9"/>
      <c r="C7" s="2"/>
      <c r="G7" s="75"/>
      <c r="H7" s="75"/>
    </row>
    <row r="8" spans="1:9" x14ac:dyDescent="0.3">
      <c r="A8" s="9"/>
      <c r="C8" s="2"/>
      <c r="G8" s="75"/>
      <c r="H8" s="75"/>
    </row>
    <row r="9" spans="1:9" x14ac:dyDescent="0.3">
      <c r="A9" s="9"/>
      <c r="C9" s="2"/>
      <c r="G9" s="75"/>
      <c r="H9" s="75"/>
    </row>
    <row r="10" spans="1:9" x14ac:dyDescent="0.3">
      <c r="A10" s="9"/>
      <c r="C10" s="2"/>
      <c r="G10" s="75"/>
      <c r="H10" s="75"/>
    </row>
  </sheetData>
  <hyperlinks>
    <hyperlink ref="A1" location="Index!A1" display="Index" xr:uid="{54827940-D3DB-4807-BBAC-78744B72999F}"/>
  </hyperlink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B6B9E6-C074-45FB-88DC-1F378DA8C765}">
  <sheetPr>
    <tabColor rgb="FF92D050"/>
  </sheetPr>
  <dimension ref="A1:I8"/>
  <sheetViews>
    <sheetView workbookViewId="0">
      <selection activeCell="G14" sqref="G14"/>
    </sheetView>
  </sheetViews>
  <sheetFormatPr defaultRowHeight="14.4" x14ac:dyDescent="0.3"/>
  <cols>
    <col min="1" max="1" width="17.88671875" style="75" bestFit="1" customWidth="1"/>
    <col min="2" max="2" width="15.33203125" style="75" customWidth="1"/>
    <col min="3" max="3" width="22.33203125" style="75" customWidth="1"/>
    <col min="4" max="4" width="11" style="75" bestFit="1" customWidth="1"/>
    <col min="5" max="5" width="7.6640625" style="75" bestFit="1" customWidth="1"/>
    <col min="6" max="6" width="8.88671875" style="75"/>
    <col min="7" max="8" width="10.6640625" style="75" bestFit="1" customWidth="1"/>
    <col min="9" max="9" width="16" style="75" bestFit="1" customWidth="1"/>
    <col min="10" max="16384" width="8.88671875" style="75"/>
  </cols>
  <sheetData>
    <row r="1" spans="1:9" x14ac:dyDescent="0.3">
      <c r="A1" s="98" t="s">
        <v>5</v>
      </c>
    </row>
    <row r="2" spans="1:9" ht="57.6" x14ac:dyDescent="0.3">
      <c r="A2" s="10" t="s">
        <v>18</v>
      </c>
      <c r="B2" s="10" t="s">
        <v>207</v>
      </c>
      <c r="C2" s="10" t="s">
        <v>7</v>
      </c>
      <c r="D2" s="122" t="s">
        <v>10</v>
      </c>
      <c r="E2" s="10" t="s">
        <v>624</v>
      </c>
      <c r="F2" s="10" t="s">
        <v>704</v>
      </c>
      <c r="G2" s="10" t="s">
        <v>8</v>
      </c>
      <c r="H2" s="10" t="s">
        <v>9</v>
      </c>
      <c r="I2" s="122" t="s">
        <v>218</v>
      </c>
    </row>
    <row r="3" spans="1:9" ht="28.8" x14ac:dyDescent="0.3">
      <c r="A3" s="210" t="s">
        <v>713</v>
      </c>
      <c r="B3" s="75" t="s">
        <v>20</v>
      </c>
      <c r="C3" s="47" t="s">
        <v>933</v>
      </c>
      <c r="D3" s="75" t="s">
        <v>345</v>
      </c>
      <c r="E3" s="75" t="s">
        <v>155</v>
      </c>
      <c r="F3" s="75" t="s">
        <v>155</v>
      </c>
      <c r="G3" s="75">
        <v>2019</v>
      </c>
      <c r="H3" s="75">
        <v>2019</v>
      </c>
    </row>
    <row r="4" spans="1:9" ht="43.2" x14ac:dyDescent="0.3">
      <c r="A4" s="210" t="s">
        <v>714</v>
      </c>
      <c r="B4" s="75" t="s">
        <v>20</v>
      </c>
      <c r="C4" s="47" t="s">
        <v>934</v>
      </c>
      <c r="E4" s="75" t="s">
        <v>155</v>
      </c>
      <c r="F4" s="75" t="s">
        <v>345</v>
      </c>
      <c r="G4" s="75">
        <v>36</v>
      </c>
      <c r="H4" s="75">
        <v>47</v>
      </c>
    </row>
    <row r="5" spans="1:9" x14ac:dyDescent="0.3">
      <c r="A5" s="210" t="s">
        <v>715</v>
      </c>
      <c r="B5" s="75" t="s">
        <v>57</v>
      </c>
      <c r="C5" s="47" t="s">
        <v>935</v>
      </c>
      <c r="D5" s="75" t="s">
        <v>345</v>
      </c>
      <c r="E5" s="75" t="s">
        <v>155</v>
      </c>
      <c r="F5" s="75" t="s">
        <v>345</v>
      </c>
      <c r="G5" s="118">
        <v>43714</v>
      </c>
      <c r="H5" s="118">
        <v>43791</v>
      </c>
    </row>
    <row r="6" spans="1:9" ht="28.8" x14ac:dyDescent="0.3">
      <c r="A6" s="210" t="s">
        <v>716</v>
      </c>
      <c r="B6" s="75" t="s">
        <v>717</v>
      </c>
      <c r="C6" s="47" t="s">
        <v>936</v>
      </c>
      <c r="D6" s="75" t="s">
        <v>345</v>
      </c>
      <c r="E6" s="75" t="s">
        <v>155</v>
      </c>
      <c r="F6" s="75" t="s">
        <v>345</v>
      </c>
      <c r="G6" s="75" t="s">
        <v>718</v>
      </c>
      <c r="H6" s="75" t="s">
        <v>719</v>
      </c>
    </row>
    <row r="7" spans="1:9" ht="28.8" x14ac:dyDescent="0.3">
      <c r="A7" s="210" t="s">
        <v>720</v>
      </c>
      <c r="B7" s="75" t="s">
        <v>209</v>
      </c>
      <c r="C7" s="47" t="s">
        <v>937</v>
      </c>
      <c r="D7" s="75" t="s">
        <v>345</v>
      </c>
      <c r="E7" s="75" t="s">
        <v>345</v>
      </c>
      <c r="F7" s="75" t="s">
        <v>345</v>
      </c>
      <c r="G7" s="75" t="s">
        <v>721</v>
      </c>
      <c r="H7" s="75" t="s">
        <v>722</v>
      </c>
    </row>
    <row r="8" spans="1:9" ht="43.2" x14ac:dyDescent="0.3">
      <c r="A8" s="210" t="s">
        <v>723</v>
      </c>
      <c r="B8" s="75" t="s">
        <v>724</v>
      </c>
      <c r="C8" s="47" t="s">
        <v>938</v>
      </c>
      <c r="E8" s="75" t="s">
        <v>345</v>
      </c>
      <c r="F8" s="75" t="s">
        <v>345</v>
      </c>
      <c r="G8" s="75">
        <v>0.5</v>
      </c>
      <c r="H8" s="75">
        <v>6</v>
      </c>
    </row>
  </sheetData>
  <hyperlinks>
    <hyperlink ref="A1" location="Index!A1" display="Index" xr:uid="{62B20555-F67B-4F27-B967-0C0ECDBD246E}"/>
  </hyperlink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F5B38-E122-44E0-98B8-6AC4250F1F30}">
  <sheetPr>
    <tabColor rgb="FF92D050"/>
  </sheetPr>
  <dimension ref="A1:I13"/>
  <sheetViews>
    <sheetView workbookViewId="0">
      <selection activeCell="C20" sqref="C20"/>
    </sheetView>
  </sheetViews>
  <sheetFormatPr defaultRowHeight="14.4" x14ac:dyDescent="0.3"/>
  <cols>
    <col min="1" max="1" width="22.6640625" bestFit="1" customWidth="1"/>
    <col min="2" max="2" width="28.6640625" bestFit="1" customWidth="1"/>
    <col min="3" max="3" width="37.109375" bestFit="1" customWidth="1"/>
    <col min="4" max="4" width="11" bestFit="1" customWidth="1"/>
    <col min="5" max="5" width="15.5546875" customWidth="1"/>
    <col min="6" max="6" width="11.5546875" customWidth="1"/>
    <col min="7" max="7" width="55.109375" bestFit="1" customWidth="1"/>
    <col min="8" max="8" width="42.109375" bestFit="1" customWidth="1"/>
    <col min="9" max="9" width="14.6640625" bestFit="1" customWidth="1"/>
  </cols>
  <sheetData>
    <row r="1" spans="1:9" x14ac:dyDescent="0.3">
      <c r="A1" s="1" t="s">
        <v>736</v>
      </c>
    </row>
    <row r="2" spans="1:9" x14ac:dyDescent="0.3">
      <c r="A2" s="1"/>
    </row>
    <row r="3" spans="1:9" ht="28.8" x14ac:dyDescent="0.3">
      <c r="A3" s="126" t="s">
        <v>18</v>
      </c>
      <c r="B3" s="127" t="s">
        <v>737</v>
      </c>
      <c r="C3" s="126" t="s">
        <v>7</v>
      </c>
      <c r="D3" s="126" t="s">
        <v>10</v>
      </c>
      <c r="E3" s="127" t="s">
        <v>624</v>
      </c>
      <c r="F3" s="127" t="s">
        <v>738</v>
      </c>
      <c r="G3" s="126" t="s">
        <v>17</v>
      </c>
      <c r="H3" s="126" t="s">
        <v>255</v>
      </c>
      <c r="I3" s="126" t="s">
        <v>218</v>
      </c>
    </row>
    <row r="4" spans="1:9" x14ac:dyDescent="0.3">
      <c r="A4" s="123" t="s">
        <v>739</v>
      </c>
      <c r="B4" t="s">
        <v>209</v>
      </c>
      <c r="C4" t="s">
        <v>939</v>
      </c>
      <c r="D4" t="s">
        <v>740</v>
      </c>
      <c r="E4" t="s">
        <v>741</v>
      </c>
      <c r="F4" t="s">
        <v>741</v>
      </c>
      <c r="G4" t="s">
        <v>742</v>
      </c>
      <c r="H4" t="s">
        <v>743</v>
      </c>
    </row>
    <row r="5" spans="1:9" x14ac:dyDescent="0.3">
      <c r="A5" s="124" t="s">
        <v>744</v>
      </c>
      <c r="B5" t="s">
        <v>57</v>
      </c>
      <c r="C5" t="s">
        <v>906</v>
      </c>
      <c r="E5" t="s">
        <v>741</v>
      </c>
      <c r="F5" t="s">
        <v>740</v>
      </c>
      <c r="G5" s="118">
        <v>43849</v>
      </c>
      <c r="H5" s="118">
        <v>43853</v>
      </c>
    </row>
    <row r="6" spans="1:9" x14ac:dyDescent="0.3">
      <c r="A6" s="124" t="s">
        <v>626</v>
      </c>
      <c r="B6" t="s">
        <v>209</v>
      </c>
      <c r="C6" t="s">
        <v>941</v>
      </c>
      <c r="E6" t="s">
        <v>741</v>
      </c>
      <c r="F6" t="s">
        <v>741</v>
      </c>
      <c r="G6" t="s">
        <v>756</v>
      </c>
      <c r="H6" t="s">
        <v>758</v>
      </c>
    </row>
    <row r="7" spans="1:9" x14ac:dyDescent="0.3">
      <c r="A7" s="124" t="s">
        <v>745</v>
      </c>
      <c r="B7" t="s">
        <v>210</v>
      </c>
      <c r="C7" t="s">
        <v>942</v>
      </c>
      <c r="E7" t="s">
        <v>740</v>
      </c>
      <c r="F7" t="s">
        <v>740</v>
      </c>
      <c r="G7" t="s">
        <v>746</v>
      </c>
      <c r="H7" t="s">
        <v>747</v>
      </c>
    </row>
    <row r="8" spans="1:9" x14ac:dyDescent="0.3">
      <c r="A8" s="124" t="s">
        <v>748</v>
      </c>
      <c r="B8" t="s">
        <v>749</v>
      </c>
      <c r="C8" t="s">
        <v>943</v>
      </c>
      <c r="E8" t="s">
        <v>741</v>
      </c>
      <c r="F8" t="s">
        <v>740</v>
      </c>
      <c r="G8" t="s">
        <v>757</v>
      </c>
      <c r="H8" t="s">
        <v>759</v>
      </c>
    </row>
    <row r="9" spans="1:9" x14ac:dyDescent="0.3">
      <c r="A9" s="124" t="s">
        <v>750</v>
      </c>
      <c r="B9" t="s">
        <v>210</v>
      </c>
      <c r="C9" t="s">
        <v>944</v>
      </c>
      <c r="E9" t="s">
        <v>740</v>
      </c>
      <c r="F9" t="s">
        <v>740</v>
      </c>
    </row>
    <row r="10" spans="1:9" x14ac:dyDescent="0.3">
      <c r="A10" s="124" t="s">
        <v>751</v>
      </c>
      <c r="B10" t="s">
        <v>752</v>
      </c>
      <c r="C10" t="s">
        <v>945</v>
      </c>
      <c r="E10" t="s">
        <v>740</v>
      </c>
      <c r="F10" t="s">
        <v>740</v>
      </c>
      <c r="G10" s="75">
        <v>12530</v>
      </c>
      <c r="H10" s="75">
        <v>525</v>
      </c>
    </row>
    <row r="11" spans="1:9" x14ac:dyDescent="0.3">
      <c r="A11" s="124" t="s">
        <v>753</v>
      </c>
      <c r="B11" t="s">
        <v>752</v>
      </c>
      <c r="C11" t="s">
        <v>946</v>
      </c>
      <c r="E11" t="s">
        <v>740</v>
      </c>
      <c r="F11" t="s">
        <v>740</v>
      </c>
      <c r="G11" s="75">
        <v>5360</v>
      </c>
      <c r="H11" s="75">
        <v>464</v>
      </c>
    </row>
    <row r="12" spans="1:9" x14ac:dyDescent="0.3">
      <c r="A12" s="124" t="s">
        <v>754</v>
      </c>
      <c r="B12" t="s">
        <v>752</v>
      </c>
      <c r="C12" t="s">
        <v>947</v>
      </c>
      <c r="E12" t="s">
        <v>740</v>
      </c>
      <c r="F12" t="s">
        <v>740</v>
      </c>
      <c r="G12" s="75">
        <v>1340</v>
      </c>
      <c r="H12" s="75">
        <v>116</v>
      </c>
    </row>
    <row r="13" spans="1:9" ht="28.8" x14ac:dyDescent="0.3">
      <c r="A13" s="125" t="s">
        <v>755</v>
      </c>
      <c r="B13" t="s">
        <v>209</v>
      </c>
      <c r="C13" s="2" t="s">
        <v>948</v>
      </c>
      <c r="E13" t="s">
        <v>740</v>
      </c>
      <c r="F13" t="s">
        <v>740</v>
      </c>
      <c r="G13" s="75">
        <v>5127095</v>
      </c>
      <c r="H13" s="75">
        <v>4604041</v>
      </c>
    </row>
  </sheetData>
  <hyperlinks>
    <hyperlink ref="A1" location="Index!A1" display="index" xr:uid="{517959C2-4AED-4317-8F4E-F3B3E9646D4B}"/>
  </hyperlink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58D092-5AD7-4F32-8C6F-DC10DA3F7A5D}">
  <sheetPr>
    <tabColor rgb="FF92D050"/>
  </sheetPr>
  <dimension ref="A1:I6"/>
  <sheetViews>
    <sheetView workbookViewId="0"/>
  </sheetViews>
  <sheetFormatPr defaultRowHeight="14.4" x14ac:dyDescent="0.3"/>
  <cols>
    <col min="1" max="1" width="22.6640625" bestFit="1" customWidth="1"/>
    <col min="2" max="2" width="14.5546875" bestFit="1" customWidth="1"/>
    <col min="3" max="3" width="25.44140625" bestFit="1" customWidth="1"/>
    <col min="4" max="4" width="11" bestFit="1" customWidth="1"/>
    <col min="5" max="5" width="7.6640625" bestFit="1" customWidth="1"/>
    <col min="6" max="6" width="15.44140625" bestFit="1" customWidth="1"/>
    <col min="7" max="7" width="19.44140625" bestFit="1" customWidth="1"/>
    <col min="8" max="8" width="29.109375" bestFit="1" customWidth="1"/>
    <col min="9" max="9" width="16" bestFit="1" customWidth="1"/>
  </cols>
  <sheetData>
    <row r="1" spans="1:9" x14ac:dyDescent="0.3">
      <c r="A1" s="1" t="s">
        <v>5</v>
      </c>
    </row>
    <row r="3" spans="1:9" ht="57.6" x14ac:dyDescent="0.3">
      <c r="A3" s="120" t="s">
        <v>644</v>
      </c>
      <c r="B3" s="121" t="s">
        <v>207</v>
      </c>
      <c r="C3" s="120" t="s">
        <v>7</v>
      </c>
      <c r="D3" s="120" t="s">
        <v>10</v>
      </c>
      <c r="E3" s="121" t="s">
        <v>624</v>
      </c>
      <c r="F3" s="120" t="s">
        <v>625</v>
      </c>
      <c r="G3" s="120" t="s">
        <v>17</v>
      </c>
      <c r="H3" s="120" t="s">
        <v>255</v>
      </c>
      <c r="I3" s="120" t="s">
        <v>218</v>
      </c>
    </row>
    <row r="4" spans="1:9" x14ac:dyDescent="0.3">
      <c r="A4" t="s">
        <v>675</v>
      </c>
      <c r="B4" t="s">
        <v>677</v>
      </c>
      <c r="C4" t="s">
        <v>949</v>
      </c>
      <c r="D4" t="s">
        <v>345</v>
      </c>
      <c r="E4" t="s">
        <v>155</v>
      </c>
      <c r="F4" t="s">
        <v>155</v>
      </c>
      <c r="G4" t="s">
        <v>679</v>
      </c>
      <c r="H4" t="s">
        <v>682</v>
      </c>
    </row>
    <row r="5" spans="1:9" x14ac:dyDescent="0.3">
      <c r="A5" t="s">
        <v>689</v>
      </c>
      <c r="B5" t="s">
        <v>647</v>
      </c>
      <c r="C5" t="s">
        <v>950</v>
      </c>
      <c r="E5" t="s">
        <v>155</v>
      </c>
      <c r="F5" t="s">
        <v>155</v>
      </c>
      <c r="G5" t="s">
        <v>691</v>
      </c>
      <c r="H5" t="s">
        <v>693</v>
      </c>
    </row>
    <row r="6" spans="1:9" ht="43.2" x14ac:dyDescent="0.3">
      <c r="A6" t="s">
        <v>690</v>
      </c>
      <c r="B6" t="s">
        <v>677</v>
      </c>
      <c r="C6" s="2" t="s">
        <v>951</v>
      </c>
      <c r="E6" t="s">
        <v>155</v>
      </c>
      <c r="F6" t="s">
        <v>155</v>
      </c>
      <c r="G6" t="s">
        <v>692</v>
      </c>
      <c r="H6" t="s">
        <v>694</v>
      </c>
    </row>
  </sheetData>
  <hyperlinks>
    <hyperlink ref="A1" location="Index!A1" display="Index" xr:uid="{F4E60A1F-5A8A-4E97-A197-BA4287B77EDB}"/>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E34B8-8218-4781-961D-6580DD97671B}">
  <sheetPr>
    <tabColor rgb="FF92D050"/>
  </sheetPr>
  <dimension ref="A1:I6"/>
  <sheetViews>
    <sheetView workbookViewId="0"/>
  </sheetViews>
  <sheetFormatPr defaultRowHeight="14.4" x14ac:dyDescent="0.3"/>
  <cols>
    <col min="1" max="1" width="19.109375" bestFit="1" customWidth="1"/>
    <col min="2" max="2" width="15.109375" customWidth="1"/>
    <col min="3" max="3" width="30.33203125" bestFit="1" customWidth="1"/>
    <col min="4" max="4" width="11" bestFit="1" customWidth="1"/>
    <col min="5" max="5" width="10.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20" t="s">
        <v>644</v>
      </c>
      <c r="B3" s="121" t="s">
        <v>207</v>
      </c>
      <c r="C3" s="120" t="s">
        <v>7</v>
      </c>
      <c r="D3" s="120" t="s">
        <v>10</v>
      </c>
      <c r="E3" s="121" t="s">
        <v>624</v>
      </c>
      <c r="F3" s="120" t="s">
        <v>625</v>
      </c>
      <c r="G3" s="120" t="s">
        <v>17</v>
      </c>
      <c r="H3" s="120" t="s">
        <v>255</v>
      </c>
      <c r="I3" s="120" t="s">
        <v>218</v>
      </c>
    </row>
    <row r="4" spans="1:9" x14ac:dyDescent="0.3">
      <c r="A4" t="s">
        <v>627</v>
      </c>
      <c r="B4" t="s">
        <v>645</v>
      </c>
      <c r="C4" t="s">
        <v>952</v>
      </c>
      <c r="D4" t="s">
        <v>345</v>
      </c>
      <c r="E4" t="s">
        <v>155</v>
      </c>
      <c r="F4" t="s">
        <v>155</v>
      </c>
      <c r="G4" t="s">
        <v>637</v>
      </c>
      <c r="H4" t="s">
        <v>680</v>
      </c>
    </row>
    <row r="5" spans="1:9" x14ac:dyDescent="0.3">
      <c r="A5" t="s">
        <v>674</v>
      </c>
      <c r="B5" t="s">
        <v>676</v>
      </c>
      <c r="C5" t="s">
        <v>953</v>
      </c>
      <c r="E5" t="s">
        <v>155</v>
      </c>
      <c r="F5" t="s">
        <v>155</v>
      </c>
      <c r="G5" t="s">
        <v>678</v>
      </c>
      <c r="H5" t="s">
        <v>681</v>
      </c>
    </row>
    <row r="6" spans="1:9" ht="28.8" x14ac:dyDescent="0.3">
      <c r="A6" t="s">
        <v>675</v>
      </c>
      <c r="B6" t="s">
        <v>677</v>
      </c>
      <c r="C6" s="2" t="s">
        <v>954</v>
      </c>
      <c r="E6" t="s">
        <v>155</v>
      </c>
      <c r="F6" t="s">
        <v>155</v>
      </c>
      <c r="G6" t="s">
        <v>679</v>
      </c>
      <c r="H6" t="s">
        <v>682</v>
      </c>
    </row>
  </sheetData>
  <hyperlinks>
    <hyperlink ref="A1" location="Index!A1" display="Index" xr:uid="{0BFD4DDA-1DE5-422D-B939-6D1CFB0FC8F2}"/>
  </hyperlinks>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3ACD6D-1CA9-4DB0-842E-608E26D26789}">
  <sheetPr>
    <tabColor rgb="FF92D050"/>
  </sheetPr>
  <dimension ref="A1:I11"/>
  <sheetViews>
    <sheetView workbookViewId="0"/>
  </sheetViews>
  <sheetFormatPr defaultRowHeight="14.4" x14ac:dyDescent="0.3"/>
  <cols>
    <col min="1" max="1" width="22.6640625" bestFit="1" customWidth="1"/>
    <col min="2" max="2" width="14.109375" customWidth="1"/>
    <col min="3" max="3" width="35.44140625" bestFit="1" customWidth="1"/>
    <col min="4" max="4" width="11" bestFit="1" customWidth="1"/>
    <col min="5" max="5" width="12.33203125" customWidth="1"/>
    <col min="6" max="6" width="15.44140625" bestFit="1" customWidth="1"/>
    <col min="7" max="7" width="21.109375" bestFit="1" customWidth="1"/>
    <col min="8" max="8" width="38.44140625" bestFit="1" customWidth="1"/>
    <col min="9" max="9" width="16" bestFit="1" customWidth="1"/>
  </cols>
  <sheetData>
    <row r="1" spans="1:9" x14ac:dyDescent="0.3">
      <c r="A1" s="1" t="s">
        <v>5</v>
      </c>
    </row>
    <row r="3" spans="1:9" ht="43.2" x14ac:dyDescent="0.3">
      <c r="A3" s="120" t="s">
        <v>644</v>
      </c>
      <c r="B3" s="121" t="s">
        <v>207</v>
      </c>
      <c r="C3" s="120" t="s">
        <v>7</v>
      </c>
      <c r="D3" s="120" t="s">
        <v>10</v>
      </c>
      <c r="E3" s="121" t="s">
        <v>624</v>
      </c>
      <c r="F3" s="120" t="s">
        <v>625</v>
      </c>
      <c r="G3" s="120" t="s">
        <v>17</v>
      </c>
      <c r="H3" s="120" t="s">
        <v>255</v>
      </c>
      <c r="I3" s="120" t="s">
        <v>218</v>
      </c>
    </row>
    <row r="4" spans="1:9" x14ac:dyDescent="0.3">
      <c r="A4" s="115" t="s">
        <v>626</v>
      </c>
      <c r="B4" s="115" t="s">
        <v>645</v>
      </c>
      <c r="C4" s="115" t="s">
        <v>940</v>
      </c>
      <c r="D4" s="115" t="s">
        <v>345</v>
      </c>
      <c r="E4" s="115" t="s">
        <v>155</v>
      </c>
      <c r="F4" s="115" t="s">
        <v>155</v>
      </c>
      <c r="G4" t="s">
        <v>634</v>
      </c>
      <c r="H4" t="s">
        <v>636</v>
      </c>
    </row>
    <row r="5" spans="1:9" x14ac:dyDescent="0.3">
      <c r="A5" s="115" t="s">
        <v>627</v>
      </c>
      <c r="B5" s="115" t="s">
        <v>645</v>
      </c>
      <c r="C5" s="115" t="s">
        <v>956</v>
      </c>
      <c r="D5" s="115"/>
      <c r="E5" s="115" t="s">
        <v>155</v>
      </c>
      <c r="F5" s="115" t="s">
        <v>155</v>
      </c>
      <c r="G5" t="s">
        <v>635</v>
      </c>
      <c r="H5" t="s">
        <v>637</v>
      </c>
    </row>
    <row r="6" spans="1:9" x14ac:dyDescent="0.3">
      <c r="A6" s="115" t="s">
        <v>628</v>
      </c>
      <c r="B6" s="115" t="s">
        <v>646</v>
      </c>
      <c r="C6" s="115" t="s">
        <v>955</v>
      </c>
      <c r="D6" s="115"/>
      <c r="E6" s="115" t="s">
        <v>155</v>
      </c>
      <c r="F6" s="115" t="s">
        <v>345</v>
      </c>
      <c r="G6" t="s">
        <v>640</v>
      </c>
      <c r="H6" t="s">
        <v>638</v>
      </c>
    </row>
    <row r="7" spans="1:9" x14ac:dyDescent="0.3">
      <c r="A7" s="115" t="s">
        <v>629</v>
      </c>
      <c r="B7" s="115" t="s">
        <v>647</v>
      </c>
      <c r="C7" s="115" t="s">
        <v>957</v>
      </c>
      <c r="D7" s="115"/>
      <c r="E7" s="115" t="s">
        <v>155</v>
      </c>
      <c r="F7" s="115" t="s">
        <v>345</v>
      </c>
      <c r="G7" t="s">
        <v>641</v>
      </c>
      <c r="H7" t="s">
        <v>638</v>
      </c>
    </row>
    <row r="8" spans="1:9" x14ac:dyDescent="0.3">
      <c r="A8" s="115" t="s">
        <v>630</v>
      </c>
      <c r="B8" s="115" t="s">
        <v>646</v>
      </c>
      <c r="C8" s="115" t="s">
        <v>879</v>
      </c>
      <c r="D8" s="115"/>
      <c r="E8" s="115" t="s">
        <v>345</v>
      </c>
      <c r="F8" s="115" t="s">
        <v>345</v>
      </c>
      <c r="G8" s="115" t="s">
        <v>642</v>
      </c>
    </row>
    <row r="9" spans="1:9" x14ac:dyDescent="0.3">
      <c r="A9" s="115" t="s">
        <v>631</v>
      </c>
      <c r="B9" s="115" t="s">
        <v>646</v>
      </c>
      <c r="C9" s="115" t="s">
        <v>880</v>
      </c>
      <c r="D9" s="115"/>
      <c r="E9" s="115" t="s">
        <v>345</v>
      </c>
      <c r="F9" s="115" t="s">
        <v>345</v>
      </c>
      <c r="G9" s="115"/>
    </row>
    <row r="10" spans="1:9" x14ac:dyDescent="0.3">
      <c r="A10" s="115" t="s">
        <v>632</v>
      </c>
      <c r="B10" s="115" t="s">
        <v>647</v>
      </c>
      <c r="C10" s="115" t="s">
        <v>958</v>
      </c>
      <c r="D10" s="115"/>
      <c r="E10" s="115" t="s">
        <v>345</v>
      </c>
      <c r="F10" s="115" t="s">
        <v>345</v>
      </c>
      <c r="G10" s="115" t="s">
        <v>643</v>
      </c>
    </row>
    <row r="11" spans="1:9" x14ac:dyDescent="0.3">
      <c r="A11" s="115" t="s">
        <v>633</v>
      </c>
      <c r="B11" s="115" t="s">
        <v>648</v>
      </c>
      <c r="C11" s="115" t="s">
        <v>959</v>
      </c>
      <c r="D11" s="115"/>
      <c r="E11" s="115" t="s">
        <v>345</v>
      </c>
      <c r="F11" s="115" t="s">
        <v>345</v>
      </c>
      <c r="G11" s="115">
        <v>1200</v>
      </c>
    </row>
  </sheetData>
  <hyperlinks>
    <hyperlink ref="A1" location="Index!A1" display="Index" xr:uid="{08DDB795-AE8D-463E-B3A1-11EEFEEBB615}"/>
  </hyperlinks>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92D050"/>
  </sheetPr>
  <dimension ref="A1:H25"/>
  <sheetViews>
    <sheetView workbookViewId="0"/>
  </sheetViews>
  <sheetFormatPr defaultRowHeight="14.4" x14ac:dyDescent="0.3"/>
  <cols>
    <col min="1" max="1" width="36.6640625" customWidth="1"/>
    <col min="2" max="2" width="27.44140625" bestFit="1" customWidth="1"/>
    <col min="3" max="3" width="59.44140625" customWidth="1"/>
    <col min="4" max="4" width="11.6640625" bestFit="1" customWidth="1"/>
    <col min="5" max="5" width="44.33203125" bestFit="1" customWidth="1"/>
    <col min="6" max="6" width="15.33203125" customWidth="1"/>
    <col min="7" max="7" width="15.5546875" customWidth="1"/>
    <col min="8" max="8" width="16" bestFit="1" customWidth="1"/>
  </cols>
  <sheetData>
    <row r="1" spans="1:8" x14ac:dyDescent="0.3">
      <c r="A1" s="5" t="s">
        <v>5</v>
      </c>
    </row>
    <row r="2" spans="1:8" s="8" customFormat="1" ht="28.8" x14ac:dyDescent="0.3">
      <c r="A2" s="10" t="s">
        <v>18</v>
      </c>
      <c r="B2" s="10" t="s">
        <v>207</v>
      </c>
      <c r="C2" s="10" t="s">
        <v>7</v>
      </c>
      <c r="D2" s="10" t="s">
        <v>10</v>
      </c>
      <c r="E2" s="10" t="s">
        <v>217</v>
      </c>
      <c r="F2" s="10" t="s">
        <v>8</v>
      </c>
      <c r="G2" s="10" t="s">
        <v>9</v>
      </c>
      <c r="H2" s="10" t="s">
        <v>218</v>
      </c>
    </row>
    <row r="3" spans="1:8" ht="28.8" x14ac:dyDescent="0.3">
      <c r="A3" s="9" t="s">
        <v>74</v>
      </c>
      <c r="B3" t="s">
        <v>212</v>
      </c>
      <c r="C3" s="2" t="s">
        <v>184</v>
      </c>
      <c r="E3" t="s">
        <v>219</v>
      </c>
      <c r="F3" s="18">
        <v>2019</v>
      </c>
      <c r="G3" s="18">
        <v>2019</v>
      </c>
    </row>
    <row r="4" spans="1:8" x14ac:dyDescent="0.3">
      <c r="A4" s="9" t="s">
        <v>163</v>
      </c>
      <c r="B4" t="s">
        <v>208</v>
      </c>
      <c r="C4" s="2" t="s">
        <v>185</v>
      </c>
      <c r="D4" t="s">
        <v>11</v>
      </c>
      <c r="E4" t="s">
        <v>219</v>
      </c>
      <c r="F4" s="18" t="s">
        <v>222</v>
      </c>
      <c r="G4" s="18" t="s">
        <v>227</v>
      </c>
    </row>
    <row r="5" spans="1:8" ht="43.2" x14ac:dyDescent="0.3">
      <c r="A5" s="9" t="s">
        <v>121</v>
      </c>
      <c r="B5" t="s">
        <v>209</v>
      </c>
      <c r="C5" s="2" t="s">
        <v>186</v>
      </c>
      <c r="E5" t="s">
        <v>219</v>
      </c>
      <c r="F5" s="18" t="s">
        <v>223</v>
      </c>
      <c r="G5" s="18" t="s">
        <v>228</v>
      </c>
    </row>
    <row r="6" spans="1:8" x14ac:dyDescent="0.3">
      <c r="A6" s="9" t="s">
        <v>164</v>
      </c>
      <c r="B6" t="s">
        <v>209</v>
      </c>
      <c r="C6" s="2" t="s">
        <v>187</v>
      </c>
      <c r="E6" t="s">
        <v>219</v>
      </c>
      <c r="F6" s="18" t="s">
        <v>137</v>
      </c>
      <c r="G6" s="18" t="s">
        <v>229</v>
      </c>
    </row>
    <row r="7" spans="1:8" ht="28.8" x14ac:dyDescent="0.3">
      <c r="A7" s="9" t="s">
        <v>165</v>
      </c>
      <c r="B7" t="s">
        <v>209</v>
      </c>
      <c r="C7" s="2" t="s">
        <v>188</v>
      </c>
      <c r="E7" t="s">
        <v>220</v>
      </c>
      <c r="F7" s="18"/>
      <c r="G7" s="18" t="s">
        <v>230</v>
      </c>
    </row>
    <row r="8" spans="1:8" ht="28.8" x14ac:dyDescent="0.3">
      <c r="A8" s="9" t="s">
        <v>166</v>
      </c>
      <c r="B8" t="s">
        <v>209</v>
      </c>
      <c r="C8" s="2" t="s">
        <v>189</v>
      </c>
      <c r="E8" t="s">
        <v>220</v>
      </c>
      <c r="F8" s="18"/>
      <c r="G8" s="18" t="s">
        <v>231</v>
      </c>
    </row>
    <row r="9" spans="1:8" ht="28.8" x14ac:dyDescent="0.3">
      <c r="A9" s="9" t="s">
        <v>167</v>
      </c>
      <c r="B9" t="s">
        <v>209</v>
      </c>
      <c r="C9" s="2" t="s">
        <v>190</v>
      </c>
      <c r="E9" t="s">
        <v>219</v>
      </c>
      <c r="F9" s="18" t="s">
        <v>224</v>
      </c>
      <c r="G9" s="18" t="s">
        <v>232</v>
      </c>
    </row>
    <row r="10" spans="1:8" ht="28.8" x14ac:dyDescent="0.3">
      <c r="A10" s="9" t="s">
        <v>168</v>
      </c>
      <c r="B10" t="s">
        <v>215</v>
      </c>
      <c r="C10" s="2" t="s">
        <v>191</v>
      </c>
      <c r="E10" t="s">
        <v>220</v>
      </c>
      <c r="F10" s="18" t="s">
        <v>225</v>
      </c>
      <c r="G10" s="18" t="s">
        <v>225</v>
      </c>
    </row>
    <row r="11" spans="1:8" x14ac:dyDescent="0.3">
      <c r="A11" s="9" t="s">
        <v>169</v>
      </c>
      <c r="B11" t="s">
        <v>209</v>
      </c>
      <c r="C11" s="2" t="s">
        <v>192</v>
      </c>
      <c r="E11" t="s">
        <v>220</v>
      </c>
      <c r="F11" s="18"/>
      <c r="G11" s="18" t="s">
        <v>233</v>
      </c>
    </row>
    <row r="12" spans="1:8" x14ac:dyDescent="0.3">
      <c r="A12" s="9" t="s">
        <v>170</v>
      </c>
      <c r="B12" t="s">
        <v>210</v>
      </c>
      <c r="C12" s="2" t="s">
        <v>193</v>
      </c>
      <c r="E12" t="s">
        <v>220</v>
      </c>
      <c r="F12" s="18"/>
      <c r="G12" s="18"/>
    </row>
    <row r="13" spans="1:8" x14ac:dyDescent="0.3">
      <c r="A13" s="9" t="s">
        <v>171</v>
      </c>
      <c r="B13" t="s">
        <v>213</v>
      </c>
      <c r="C13" s="2" t="s">
        <v>194</v>
      </c>
      <c r="E13" t="s">
        <v>220</v>
      </c>
      <c r="F13" s="18">
        <v>1200</v>
      </c>
      <c r="G13" s="18"/>
    </row>
    <row r="14" spans="1:8" ht="28.8" x14ac:dyDescent="0.3">
      <c r="A14" s="9" t="s">
        <v>172</v>
      </c>
      <c r="B14" t="s">
        <v>213</v>
      </c>
      <c r="C14" s="2" t="s">
        <v>195</v>
      </c>
      <c r="E14" t="s">
        <v>220</v>
      </c>
      <c r="F14" s="18">
        <v>1200</v>
      </c>
      <c r="G14" s="18"/>
    </row>
    <row r="15" spans="1:8" x14ac:dyDescent="0.3">
      <c r="A15" t="s">
        <v>173</v>
      </c>
      <c r="B15" t="s">
        <v>213</v>
      </c>
      <c r="C15" s="2" t="s">
        <v>196</v>
      </c>
      <c r="E15" t="s">
        <v>220</v>
      </c>
      <c r="F15" s="18"/>
      <c r="G15" s="18"/>
    </row>
    <row r="16" spans="1:8" x14ac:dyDescent="0.3">
      <c r="A16" t="s">
        <v>174</v>
      </c>
      <c r="B16" t="s">
        <v>213</v>
      </c>
      <c r="C16" s="2" t="s">
        <v>197</v>
      </c>
      <c r="E16" t="s">
        <v>220</v>
      </c>
      <c r="F16" s="18"/>
      <c r="G16" s="18"/>
    </row>
    <row r="17" spans="1:7" ht="28.8" x14ac:dyDescent="0.3">
      <c r="A17" t="s">
        <v>175</v>
      </c>
      <c r="B17" t="s">
        <v>213</v>
      </c>
      <c r="C17" s="2" t="s">
        <v>198</v>
      </c>
      <c r="E17" t="s">
        <v>220</v>
      </c>
      <c r="F17" s="18">
        <v>16</v>
      </c>
      <c r="G17" s="18"/>
    </row>
    <row r="18" spans="1:7" ht="28.8" x14ac:dyDescent="0.3">
      <c r="A18" t="s">
        <v>176</v>
      </c>
      <c r="B18" t="s">
        <v>214</v>
      </c>
      <c r="C18" s="2" t="s">
        <v>199</v>
      </c>
      <c r="E18" t="s">
        <v>220</v>
      </c>
      <c r="F18" s="18">
        <v>0.11</v>
      </c>
      <c r="G18" s="18"/>
    </row>
    <row r="19" spans="1:7" ht="28.8" x14ac:dyDescent="0.3">
      <c r="A19" t="s">
        <v>177</v>
      </c>
      <c r="B19" t="s">
        <v>214</v>
      </c>
      <c r="C19" s="2" t="s">
        <v>200</v>
      </c>
      <c r="E19" t="s">
        <v>220</v>
      </c>
      <c r="F19" s="18">
        <v>0.15</v>
      </c>
      <c r="G19" s="18"/>
    </row>
    <row r="20" spans="1:7" ht="57.6" x14ac:dyDescent="0.3">
      <c r="A20" t="s">
        <v>178</v>
      </c>
      <c r="B20" t="s">
        <v>211</v>
      </c>
      <c r="C20" s="2" t="s">
        <v>201</v>
      </c>
      <c r="E20" t="s">
        <v>220</v>
      </c>
      <c r="F20" s="18"/>
      <c r="G20" s="18">
        <v>3</v>
      </c>
    </row>
    <row r="21" spans="1:7" x14ac:dyDescent="0.3">
      <c r="A21" t="s">
        <v>179</v>
      </c>
      <c r="B21" t="s">
        <v>216</v>
      </c>
      <c r="C21" s="2" t="s">
        <v>202</v>
      </c>
      <c r="E21" t="s">
        <v>219</v>
      </c>
      <c r="F21" s="18" t="s">
        <v>226</v>
      </c>
      <c r="G21" s="18" t="s">
        <v>234</v>
      </c>
    </row>
    <row r="22" spans="1:7" ht="28.8" x14ac:dyDescent="0.3">
      <c r="A22" t="s">
        <v>180</v>
      </c>
      <c r="B22" t="s">
        <v>138</v>
      </c>
      <c r="C22" s="2" t="s">
        <v>203</v>
      </c>
      <c r="E22" t="s">
        <v>220</v>
      </c>
      <c r="F22" s="18">
        <v>1.6500000000000001E-2</v>
      </c>
      <c r="G22" s="18"/>
    </row>
    <row r="23" spans="1:7" ht="28.8" x14ac:dyDescent="0.3">
      <c r="A23" t="s">
        <v>181</v>
      </c>
      <c r="B23" t="s">
        <v>213</v>
      </c>
      <c r="C23" s="2" t="s">
        <v>204</v>
      </c>
      <c r="E23" t="s">
        <v>221</v>
      </c>
      <c r="F23" s="18">
        <v>0</v>
      </c>
      <c r="G23" s="18">
        <v>621.59</v>
      </c>
    </row>
    <row r="24" spans="1:7" ht="28.8" x14ac:dyDescent="0.3">
      <c r="A24" t="s">
        <v>182</v>
      </c>
      <c r="B24" t="s">
        <v>213</v>
      </c>
      <c r="C24" s="2" t="s">
        <v>205</v>
      </c>
      <c r="E24" t="s">
        <v>219</v>
      </c>
      <c r="F24" s="18">
        <v>0.14000000000000001</v>
      </c>
      <c r="G24" s="18">
        <v>0.14000000000000001</v>
      </c>
    </row>
    <row r="25" spans="1:7" ht="72" x14ac:dyDescent="0.3">
      <c r="A25" s="2" t="s">
        <v>183</v>
      </c>
      <c r="B25" t="s">
        <v>138</v>
      </c>
      <c r="C25" s="2" t="s">
        <v>206</v>
      </c>
      <c r="E25" t="s">
        <v>219</v>
      </c>
      <c r="F25" s="18">
        <v>0</v>
      </c>
      <c r="G25" s="18">
        <v>1635.7631578947</v>
      </c>
    </row>
  </sheetData>
  <hyperlinks>
    <hyperlink ref="A1" location="Index!A1" display="Index" xr:uid="{00000000-0004-0000-0400-000000000000}"/>
  </hyperlinks>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92D050"/>
  </sheetPr>
  <dimension ref="A1:F31"/>
  <sheetViews>
    <sheetView topLeftCell="A10" workbookViewId="0">
      <selection activeCell="A15" sqref="A15"/>
    </sheetView>
  </sheetViews>
  <sheetFormatPr defaultRowHeight="14.4" x14ac:dyDescent="0.3"/>
  <cols>
    <col min="1" max="1" width="35.44140625" customWidth="1"/>
    <col min="2" max="2" width="69.109375" bestFit="1" customWidth="1"/>
    <col min="3" max="3" width="29.88671875" customWidth="1"/>
    <col min="4" max="4" width="11.44140625" bestFit="1" customWidth="1"/>
    <col min="5" max="5" width="35.5546875" bestFit="1" customWidth="1"/>
    <col min="6" max="6" width="12.5546875" bestFit="1" customWidth="1"/>
  </cols>
  <sheetData>
    <row r="1" spans="1:6" x14ac:dyDescent="0.3">
      <c r="A1" s="5" t="s">
        <v>5</v>
      </c>
    </row>
    <row r="2" spans="1:6" x14ac:dyDescent="0.3">
      <c r="A2" t="s">
        <v>12</v>
      </c>
    </row>
    <row r="3" spans="1:6" x14ac:dyDescent="0.3">
      <c r="A3" t="s">
        <v>459</v>
      </c>
    </row>
    <row r="4" spans="1:6" x14ac:dyDescent="0.3">
      <c r="A4" t="s">
        <v>13</v>
      </c>
    </row>
    <row r="5" spans="1:6" x14ac:dyDescent="0.3">
      <c r="A5" t="s">
        <v>460</v>
      </c>
    </row>
    <row r="8" spans="1:6" x14ac:dyDescent="0.3">
      <c r="A8" s="200" t="s">
        <v>14</v>
      </c>
      <c r="B8" s="200"/>
      <c r="C8" s="200"/>
      <c r="D8" s="200"/>
      <c r="E8" s="200"/>
      <c r="F8" s="200"/>
    </row>
    <row r="9" spans="1:6" x14ac:dyDescent="0.3">
      <c r="A9" s="11" t="s">
        <v>21</v>
      </c>
      <c r="B9" s="11" t="s">
        <v>7</v>
      </c>
      <c r="C9" s="11" t="s">
        <v>2</v>
      </c>
      <c r="D9" s="11" t="s">
        <v>22</v>
      </c>
      <c r="E9" s="6" t="s">
        <v>461</v>
      </c>
      <c r="F9" s="11" t="s">
        <v>23</v>
      </c>
    </row>
    <row r="10" spans="1:6" x14ac:dyDescent="0.3">
      <c r="A10" s="1" t="s">
        <v>270</v>
      </c>
      <c r="B10" t="s">
        <v>253</v>
      </c>
      <c r="C10" t="s">
        <v>273</v>
      </c>
      <c r="D10" t="s">
        <v>35</v>
      </c>
      <c r="E10" s="5" t="s">
        <v>269</v>
      </c>
      <c r="F10" t="s">
        <v>272</v>
      </c>
    </row>
    <row r="11" spans="1:6" x14ac:dyDescent="0.3">
      <c r="A11" s="1" t="s">
        <v>621</v>
      </c>
      <c r="B11" t="s">
        <v>649</v>
      </c>
      <c r="C11" t="s">
        <v>273</v>
      </c>
      <c r="D11" t="s">
        <v>35</v>
      </c>
      <c r="E11" s="5" t="s">
        <v>620</v>
      </c>
      <c r="F11" t="s">
        <v>650</v>
      </c>
    </row>
    <row r="12" spans="1:6" x14ac:dyDescent="0.3">
      <c r="A12" s="1" t="s">
        <v>673</v>
      </c>
      <c r="B12" t="s">
        <v>797</v>
      </c>
      <c r="C12" t="s">
        <v>273</v>
      </c>
      <c r="D12" t="s">
        <v>35</v>
      </c>
      <c r="E12" s="1" t="s">
        <v>700</v>
      </c>
      <c r="F12" t="s">
        <v>798</v>
      </c>
    </row>
    <row r="13" spans="1:6" x14ac:dyDescent="0.3">
      <c r="A13" s="1" t="s">
        <v>688</v>
      </c>
      <c r="B13" t="s">
        <v>802</v>
      </c>
      <c r="C13" t="s">
        <v>273</v>
      </c>
      <c r="D13" t="s">
        <v>35</v>
      </c>
      <c r="E13" s="1" t="s">
        <v>701</v>
      </c>
      <c r="F13" t="s">
        <v>799</v>
      </c>
    </row>
    <row r="14" spans="1:6" x14ac:dyDescent="0.3">
      <c r="A14" s="1" t="s">
        <v>698</v>
      </c>
      <c r="B14" t="s">
        <v>803</v>
      </c>
      <c r="C14" t="s">
        <v>273</v>
      </c>
      <c r="D14" t="s">
        <v>35</v>
      </c>
      <c r="E14" s="1" t="s">
        <v>702</v>
      </c>
    </row>
    <row r="15" spans="1:6" x14ac:dyDescent="0.3">
      <c r="A15" s="1" t="s">
        <v>699</v>
      </c>
      <c r="B15" t="s">
        <v>804</v>
      </c>
      <c r="C15" t="s">
        <v>273</v>
      </c>
      <c r="D15" t="s">
        <v>35</v>
      </c>
      <c r="E15" s="1" t="s">
        <v>703</v>
      </c>
      <c r="F15" t="s">
        <v>800</v>
      </c>
    </row>
    <row r="16" spans="1:6" x14ac:dyDescent="0.3">
      <c r="A16" s="1" t="s">
        <v>777</v>
      </c>
      <c r="B16" t="s">
        <v>805</v>
      </c>
      <c r="C16" t="s">
        <v>273</v>
      </c>
      <c r="D16" t="s">
        <v>35</v>
      </c>
      <c r="E16" s="1" t="s">
        <v>778</v>
      </c>
      <c r="F16" t="s">
        <v>801</v>
      </c>
    </row>
    <row r="18" spans="1:6" ht="15" thickBot="1" x14ac:dyDescent="0.35">
      <c r="A18" s="200" t="s">
        <v>485</v>
      </c>
      <c r="B18" s="200"/>
      <c r="C18" s="200"/>
      <c r="D18" s="200"/>
      <c r="E18" s="200"/>
      <c r="F18" s="200"/>
    </row>
    <row r="19" spans="1:6" ht="15" thickTop="1" x14ac:dyDescent="0.3">
      <c r="A19" s="11" t="s">
        <v>21</v>
      </c>
      <c r="B19" s="11" t="s">
        <v>7</v>
      </c>
      <c r="C19" s="199" t="s">
        <v>470</v>
      </c>
      <c r="D19" s="199"/>
      <c r="E19" s="199"/>
      <c r="F19" s="11"/>
    </row>
    <row r="20" spans="1:6" ht="28.8" x14ac:dyDescent="0.3">
      <c r="A20" t="s">
        <v>472</v>
      </c>
      <c r="B20" s="2" t="s">
        <v>533</v>
      </c>
      <c r="C20" t="s">
        <v>270</v>
      </c>
    </row>
    <row r="21" spans="1:6" ht="28.8" x14ac:dyDescent="0.3">
      <c r="A21" t="s">
        <v>473</v>
      </c>
      <c r="B21" s="2" t="s">
        <v>534</v>
      </c>
      <c r="C21" t="s">
        <v>270</v>
      </c>
    </row>
    <row r="23" spans="1:6" ht="15" thickBot="1" x14ac:dyDescent="0.35">
      <c r="A23" s="201" t="s">
        <v>24</v>
      </c>
      <c r="B23" s="201"/>
      <c r="C23" s="201"/>
      <c r="D23" s="201"/>
      <c r="E23" s="201"/>
      <c r="F23" s="201"/>
    </row>
    <row r="24" spans="1:6" ht="15" thickTop="1" x14ac:dyDescent="0.3">
      <c r="A24" s="8" t="s">
        <v>21</v>
      </c>
      <c r="B24" s="8" t="s">
        <v>7</v>
      </c>
      <c r="C24" s="199" t="s">
        <v>482</v>
      </c>
      <c r="D24" s="199"/>
      <c r="E24" s="199"/>
      <c r="F24" s="8" t="s">
        <v>23</v>
      </c>
    </row>
    <row r="25" spans="1:6" x14ac:dyDescent="0.3">
      <c r="A25" s="1" t="s">
        <v>25</v>
      </c>
      <c r="B25" t="s">
        <v>33</v>
      </c>
      <c r="C25" t="s">
        <v>34</v>
      </c>
      <c r="F25" t="s">
        <v>26</v>
      </c>
    </row>
    <row r="26" spans="1:6" ht="28.8" x14ac:dyDescent="0.3">
      <c r="A26" s="1" t="s">
        <v>27</v>
      </c>
      <c r="B26" t="s">
        <v>28</v>
      </c>
      <c r="C26" s="2" t="s">
        <v>480</v>
      </c>
      <c r="F26" t="s">
        <v>29</v>
      </c>
    </row>
    <row r="27" spans="1:6" ht="28.8" x14ac:dyDescent="0.3">
      <c r="A27" s="1" t="s">
        <v>30</v>
      </c>
      <c r="B27" t="s">
        <v>31</v>
      </c>
      <c r="C27" s="2" t="s">
        <v>481</v>
      </c>
      <c r="F27" t="s">
        <v>32</v>
      </c>
    </row>
    <row r="29" spans="1:6" ht="15" thickBot="1" x14ac:dyDescent="0.35">
      <c r="A29" s="201" t="s">
        <v>468</v>
      </c>
      <c r="B29" s="201"/>
      <c r="C29" s="201"/>
      <c r="D29" s="201"/>
      <c r="E29" s="201"/>
      <c r="F29" s="201"/>
    </row>
    <row r="30" spans="1:6" ht="15" thickTop="1" x14ac:dyDescent="0.3">
      <c r="A30" s="8" t="s">
        <v>21</v>
      </c>
      <c r="B30" s="8" t="s">
        <v>7</v>
      </c>
      <c r="C30" s="199" t="s">
        <v>470</v>
      </c>
      <c r="D30" s="199"/>
      <c r="E30" s="199"/>
      <c r="F30" s="8"/>
    </row>
    <row r="31" spans="1:6" x14ac:dyDescent="0.3">
      <c r="A31" s="1" t="s">
        <v>466</v>
      </c>
      <c r="B31" t="s">
        <v>469</v>
      </c>
      <c r="C31" t="s">
        <v>25</v>
      </c>
    </row>
  </sheetData>
  <mergeCells count="7">
    <mergeCell ref="C30:E30"/>
    <mergeCell ref="C19:E19"/>
    <mergeCell ref="A8:F8"/>
    <mergeCell ref="A23:F23"/>
    <mergeCell ref="C24:E24"/>
    <mergeCell ref="A29:F29"/>
    <mergeCell ref="A18:F18"/>
  </mergeCells>
  <hyperlinks>
    <hyperlink ref="A1" location="Index!A1" display="Index" xr:uid="{00000000-0004-0000-0500-000000000000}"/>
    <hyperlink ref="A25" location="'Process Metadata'!A5" display="Import_Batch" xr:uid="{00000000-0004-0000-0500-000001000000}"/>
    <hyperlink ref="A26" location="'Process Metadata'!A16" display="Import_Batch_Process" xr:uid="{00000000-0004-0000-0500-000002000000}"/>
    <hyperlink ref="A27" location="'Process Metadata'!A25" display="Import_Batch_Process_Task" xr:uid="{00000000-0004-0000-0500-000003000000}"/>
    <hyperlink ref="A10" location="S1_MM_Stock_Take!A1" display="S1_MM_Stock_Take!A1" xr:uid="{00000000-0004-0000-0500-000004000000}"/>
    <hyperlink ref="E10" location="SF_MM_Stock_Take!A1" display="SF_MM_Stock_Take" xr:uid="{00000000-0004-0000-0500-000005000000}"/>
    <hyperlink ref="A31" location="'Process Metadata'!J5" display="V_IB_Latest" xr:uid="{00000000-0004-0000-0500-000006000000}"/>
    <hyperlink ref="A12" location="S1_PW_Customer_Department!A1" display="S1_PW_Customer_Department" xr:uid="{7D25CD5C-119C-4698-9B1E-1A696EBBFB10}"/>
    <hyperlink ref="A13" location="S1_PW_Customer_Department_Group!A1" display="S1_PW_Customer_Department_Group" xr:uid="{A617B09F-DC09-43F8-B46E-FDCB95814890}"/>
    <hyperlink ref="A14" location="S1_PW_Employees!A1" display="S1_PW_Employees" xr:uid="{C1D0349A-5B61-4401-AE28-0E65E620A539}"/>
    <hyperlink ref="A15" location="S1_PW_Employee_Timesheet!A1" display="S1_PW_Employee_Timesheet" xr:uid="{A5133407-A6AF-4A94-B8EC-31D643827EB2}"/>
    <hyperlink ref="A16" location="S1_PW_Internal_Projects!A1" display="S1_PW_Internal_Projects" xr:uid="{569DF9AD-0178-44DC-A60B-CB5550C7E54E}"/>
    <hyperlink ref="E12" location="SF_PW_Customer_Department!A1" display="SF_PW_Customer_Department" xr:uid="{B92CFB15-7D55-42B2-BB57-467A4E0C110E}"/>
    <hyperlink ref="E13" location="SF_PW_Customer_Department_Group!A1" display="SF_PW_Customer_Department_Group" xr:uid="{57809120-193A-49A5-BDB9-C9EDA20AAA85}"/>
    <hyperlink ref="E14" location="SF_PW_Employees!A1" display="SF_PW_Employees" xr:uid="{0E91F5A0-20A9-4E95-9A55-E0C8868FB127}"/>
    <hyperlink ref="E15" location="SF_PW_Employee_Timesheet!A1" display="SF_PW_Employee_Timesheet" xr:uid="{CE52C8F4-C200-4F2B-A827-F5354AD98C00}"/>
    <hyperlink ref="E16" location="SF_PW_Internal_Projects!A1" display="SF_Internal_Projects" xr:uid="{AC0BAF01-06A5-410C-A739-67113F97044D}"/>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7303D0-EAFB-485D-9ED0-6CB8F8BFE263}">
  <sheetPr>
    <tabColor rgb="FF92D050"/>
  </sheetPr>
  <dimension ref="A1:H12"/>
  <sheetViews>
    <sheetView workbookViewId="0">
      <selection activeCell="D12" sqref="D12"/>
    </sheetView>
  </sheetViews>
  <sheetFormatPr defaultRowHeight="14.4" x14ac:dyDescent="0.3"/>
  <cols>
    <col min="1" max="1" width="18.33203125" bestFit="1" customWidth="1"/>
    <col min="2" max="2" width="13.109375" bestFit="1" customWidth="1"/>
    <col min="3" max="3" width="14.44140625" bestFit="1" customWidth="1"/>
    <col min="4" max="4" width="35.44140625" bestFit="1" customWidth="1"/>
    <col min="5" max="6" width="24.5546875" bestFit="1" customWidth="1"/>
    <col min="7" max="7" width="24" bestFit="1" customWidth="1"/>
    <col min="8" max="8" width="73.33203125" bestFit="1" customWidth="1"/>
    <col min="9" max="9" width="44.44140625" bestFit="1" customWidth="1"/>
  </cols>
  <sheetData>
    <row r="1" spans="1:8" x14ac:dyDescent="0.3">
      <c r="A1" s="5" t="s">
        <v>5</v>
      </c>
      <c r="C1" s="75"/>
      <c r="D1" s="75"/>
      <c r="E1" s="2"/>
    </row>
    <row r="2" spans="1:8" x14ac:dyDescent="0.3">
      <c r="C2" s="75"/>
      <c r="D2" s="75"/>
      <c r="E2" s="2"/>
    </row>
    <row r="3" spans="1:8" x14ac:dyDescent="0.3">
      <c r="A3" s="10" t="s">
        <v>15</v>
      </c>
      <c r="B3" s="10" t="s">
        <v>16</v>
      </c>
      <c r="C3" s="10" t="s">
        <v>494</v>
      </c>
      <c r="D3" s="10" t="s">
        <v>7</v>
      </c>
      <c r="E3" s="10" t="s">
        <v>725</v>
      </c>
      <c r="F3" s="10" t="s">
        <v>17</v>
      </c>
      <c r="G3" s="10" t="s">
        <v>255</v>
      </c>
      <c r="H3" s="10" t="s">
        <v>256</v>
      </c>
    </row>
    <row r="4" spans="1:8" x14ac:dyDescent="0.3">
      <c r="A4" s="115" t="s">
        <v>651</v>
      </c>
      <c r="B4" t="s">
        <v>61</v>
      </c>
      <c r="C4" t="s">
        <v>155</v>
      </c>
      <c r="D4" s="115" t="s">
        <v>940</v>
      </c>
      <c r="E4" s="116" t="s">
        <v>661</v>
      </c>
      <c r="F4" t="s">
        <v>634</v>
      </c>
      <c r="G4" t="s">
        <v>635</v>
      </c>
      <c r="H4" t="s">
        <v>670</v>
      </c>
    </row>
    <row r="5" spans="1:8" x14ac:dyDescent="0.3">
      <c r="A5" s="115" t="s">
        <v>652</v>
      </c>
      <c r="B5" t="s">
        <v>61</v>
      </c>
      <c r="C5" t="s">
        <v>155</v>
      </c>
      <c r="D5" s="115" t="s">
        <v>956</v>
      </c>
      <c r="E5" t="s">
        <v>134</v>
      </c>
      <c r="F5" t="s">
        <v>668</v>
      </c>
      <c r="G5" t="s">
        <v>639</v>
      </c>
    </row>
    <row r="6" spans="1:8" x14ac:dyDescent="0.3">
      <c r="A6" s="115" t="s">
        <v>653</v>
      </c>
      <c r="B6" t="s">
        <v>659</v>
      </c>
      <c r="C6" t="s">
        <v>155</v>
      </c>
      <c r="D6" s="115" t="s">
        <v>955</v>
      </c>
      <c r="E6" t="s">
        <v>662</v>
      </c>
      <c r="F6" t="s">
        <v>640</v>
      </c>
      <c r="G6" t="s">
        <v>638</v>
      </c>
    </row>
    <row r="7" spans="1:8" x14ac:dyDescent="0.3">
      <c r="A7" s="115" t="s">
        <v>654</v>
      </c>
      <c r="B7" t="s">
        <v>36</v>
      </c>
      <c r="C7" t="s">
        <v>155</v>
      </c>
      <c r="D7" s="115" t="s">
        <v>957</v>
      </c>
      <c r="E7" t="s">
        <v>663</v>
      </c>
      <c r="F7" t="s">
        <v>641</v>
      </c>
      <c r="G7" t="s">
        <v>638</v>
      </c>
    </row>
    <row r="8" spans="1:8" x14ac:dyDescent="0.3">
      <c r="A8" s="115" t="s">
        <v>655</v>
      </c>
      <c r="B8" t="s">
        <v>659</v>
      </c>
      <c r="C8" t="s">
        <v>155</v>
      </c>
      <c r="D8" s="115" t="s">
        <v>879</v>
      </c>
      <c r="E8" t="s">
        <v>664</v>
      </c>
      <c r="F8" s="115" t="s">
        <v>642</v>
      </c>
      <c r="G8" s="115" t="s">
        <v>664</v>
      </c>
    </row>
    <row r="9" spans="1:8" x14ac:dyDescent="0.3">
      <c r="A9" s="115" t="s">
        <v>656</v>
      </c>
      <c r="B9" t="s">
        <v>659</v>
      </c>
      <c r="C9" t="s">
        <v>155</v>
      </c>
      <c r="D9" s="115" t="s">
        <v>880</v>
      </c>
      <c r="E9" t="s">
        <v>665</v>
      </c>
      <c r="F9" s="115" t="s">
        <v>669</v>
      </c>
      <c r="G9" s="115" t="s">
        <v>664</v>
      </c>
      <c r="H9" s="115" t="s">
        <v>671</v>
      </c>
    </row>
    <row r="10" spans="1:8" x14ac:dyDescent="0.3">
      <c r="A10" s="115" t="s">
        <v>657</v>
      </c>
      <c r="B10" t="s">
        <v>36</v>
      </c>
      <c r="C10" t="s">
        <v>155</v>
      </c>
      <c r="D10" s="115" t="s">
        <v>958</v>
      </c>
      <c r="E10" t="s">
        <v>666</v>
      </c>
      <c r="F10" s="115" t="s">
        <v>643</v>
      </c>
      <c r="G10" t="s">
        <v>666</v>
      </c>
    </row>
    <row r="11" spans="1:8" x14ac:dyDescent="0.3">
      <c r="A11" s="115" t="s">
        <v>658</v>
      </c>
      <c r="B11" t="s">
        <v>660</v>
      </c>
      <c r="C11" t="s">
        <v>155</v>
      </c>
      <c r="D11" s="115" t="s">
        <v>959</v>
      </c>
      <c r="E11" t="s">
        <v>667</v>
      </c>
      <c r="F11" s="117">
        <v>1200</v>
      </c>
      <c r="G11" t="s">
        <v>667</v>
      </c>
    </row>
    <row r="12" spans="1:8" x14ac:dyDescent="0.3">
      <c r="A12" s="115" t="s">
        <v>19</v>
      </c>
      <c r="B12" t="s">
        <v>20</v>
      </c>
      <c r="C12" t="s">
        <v>155</v>
      </c>
      <c r="D12" s="209" t="s">
        <v>257</v>
      </c>
      <c r="F12" s="75">
        <v>1</v>
      </c>
      <c r="G12" s="75">
        <v>1</v>
      </c>
      <c r="H12" t="s">
        <v>672</v>
      </c>
    </row>
  </sheetData>
  <phoneticPr fontId="19" type="noConversion"/>
  <hyperlinks>
    <hyperlink ref="A1" location="Index!A1" display="Index" xr:uid="{7348AD42-28E1-48B7-8921-A82010335EB1}"/>
  </hyperlinks>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912F66-4428-47A9-8ADF-02B84F72CE81}">
  <sheetPr>
    <tabColor rgb="FF92D050"/>
  </sheetPr>
  <dimension ref="A1:H7"/>
  <sheetViews>
    <sheetView workbookViewId="0"/>
  </sheetViews>
  <sheetFormatPr defaultRowHeight="14.4" x14ac:dyDescent="0.3"/>
  <cols>
    <col min="1" max="1" width="21.5546875" bestFit="1" customWidth="1"/>
    <col min="2" max="2" width="12" bestFit="1" customWidth="1"/>
    <col min="3" max="3" width="13.6640625" bestFit="1" customWidth="1"/>
    <col min="4" max="4" width="30.33203125" bestFit="1" customWidth="1"/>
    <col min="5" max="5" width="27.88671875" bestFit="1" customWidth="1"/>
    <col min="6" max="6" width="21.109375" bestFit="1" customWidth="1"/>
    <col min="7" max="7" width="38.44140625" bestFit="1" customWidth="1"/>
    <col min="8" max="8" width="44.44140625" bestFit="1" customWidth="1"/>
    <col min="9" max="9" width="7.88671875" bestFit="1" customWidth="1"/>
  </cols>
  <sheetData>
    <row r="1" spans="1:8" x14ac:dyDescent="0.3">
      <c r="A1" s="5" t="s">
        <v>5</v>
      </c>
      <c r="C1" s="75"/>
      <c r="D1" s="75"/>
      <c r="E1" s="2"/>
    </row>
    <row r="2" spans="1:8" x14ac:dyDescent="0.3">
      <c r="C2" s="75"/>
      <c r="D2" s="75"/>
      <c r="E2" s="2"/>
    </row>
    <row r="3" spans="1:8" x14ac:dyDescent="0.3">
      <c r="A3" s="10" t="s">
        <v>15</v>
      </c>
      <c r="B3" s="10" t="s">
        <v>16</v>
      </c>
      <c r="C3" s="10" t="s">
        <v>494</v>
      </c>
      <c r="D3" s="10" t="s">
        <v>7</v>
      </c>
      <c r="E3" s="10" t="s">
        <v>725</v>
      </c>
      <c r="F3" s="10" t="s">
        <v>17</v>
      </c>
      <c r="G3" s="10" t="s">
        <v>255</v>
      </c>
      <c r="H3" s="10" t="s">
        <v>256</v>
      </c>
    </row>
    <row r="4" spans="1:8" x14ac:dyDescent="0.3">
      <c r="A4" t="s">
        <v>683</v>
      </c>
      <c r="B4" t="s">
        <v>61</v>
      </c>
      <c r="C4" t="s">
        <v>155</v>
      </c>
      <c r="D4" t="s">
        <v>952</v>
      </c>
      <c r="E4" t="s">
        <v>661</v>
      </c>
      <c r="F4" t="s">
        <v>637</v>
      </c>
      <c r="G4" t="s">
        <v>680</v>
      </c>
      <c r="H4" t="s">
        <v>670</v>
      </c>
    </row>
    <row r="5" spans="1:8" x14ac:dyDescent="0.3">
      <c r="A5" t="s">
        <v>684</v>
      </c>
      <c r="B5" t="s">
        <v>686</v>
      </c>
      <c r="C5" t="s">
        <v>155</v>
      </c>
      <c r="D5" t="s">
        <v>953</v>
      </c>
      <c r="E5" t="s">
        <v>687</v>
      </c>
      <c r="F5" t="s">
        <v>678</v>
      </c>
      <c r="G5" t="s">
        <v>681</v>
      </c>
    </row>
    <row r="6" spans="1:8" ht="28.8" x14ac:dyDescent="0.3">
      <c r="A6" t="s">
        <v>685</v>
      </c>
      <c r="B6" t="s">
        <v>66</v>
      </c>
      <c r="C6" t="s">
        <v>155</v>
      </c>
      <c r="D6" s="2" t="s">
        <v>954</v>
      </c>
      <c r="E6" t="s">
        <v>134</v>
      </c>
      <c r="F6" t="s">
        <v>679</v>
      </c>
      <c r="G6" t="s">
        <v>682</v>
      </c>
    </row>
    <row r="7" spans="1:8" ht="28.8" x14ac:dyDescent="0.3">
      <c r="A7" s="115" t="s">
        <v>19</v>
      </c>
      <c r="B7" t="s">
        <v>20</v>
      </c>
      <c r="C7" t="s">
        <v>155</v>
      </c>
      <c r="D7" s="209" t="s">
        <v>257</v>
      </c>
      <c r="F7" s="75">
        <v>1</v>
      </c>
      <c r="G7" s="75">
        <v>1</v>
      </c>
      <c r="H7" t="s">
        <v>672</v>
      </c>
    </row>
  </sheetData>
  <hyperlinks>
    <hyperlink ref="A1" location="Index!A1" display="Index" xr:uid="{8C3A7BBF-C04F-4B51-8B78-A0B63181F044}"/>
  </hyperlinks>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07CAD-3831-4F85-9B1D-4C30D19E9E25}">
  <sheetPr>
    <tabColor rgb="FF92D050"/>
  </sheetPr>
  <dimension ref="A1:H12"/>
  <sheetViews>
    <sheetView workbookViewId="0">
      <selection activeCell="E11" sqref="E11"/>
    </sheetView>
  </sheetViews>
  <sheetFormatPr defaultRowHeight="14.4" x14ac:dyDescent="0.3"/>
  <cols>
    <col min="1" max="1" width="19" bestFit="1" customWidth="1"/>
    <col min="2" max="2" width="12" bestFit="1" customWidth="1"/>
    <col min="3" max="3" width="10" bestFit="1" customWidth="1"/>
    <col min="4" max="4" width="19.88671875" customWidth="1"/>
    <col min="5" max="5" width="28.5546875" bestFit="1" customWidth="1"/>
    <col min="6" max="6" width="10" bestFit="1" customWidth="1"/>
    <col min="7" max="7" width="11.88671875" bestFit="1" customWidth="1"/>
    <col min="8" max="8" width="83.88671875" bestFit="1" customWidth="1"/>
  </cols>
  <sheetData>
    <row r="1" spans="1:8" x14ac:dyDescent="0.3">
      <c r="A1" s="5" t="s">
        <v>5</v>
      </c>
      <c r="C1" s="75"/>
      <c r="D1" s="75"/>
      <c r="E1" s="2"/>
    </row>
    <row r="2" spans="1:8" x14ac:dyDescent="0.3">
      <c r="C2" s="75"/>
      <c r="D2" s="75"/>
      <c r="E2" s="2"/>
    </row>
    <row r="3" spans="1:8" ht="28.8" x14ac:dyDescent="0.3">
      <c r="A3" s="10" t="s">
        <v>15</v>
      </c>
      <c r="B3" s="10" t="s">
        <v>16</v>
      </c>
      <c r="C3" s="10" t="s">
        <v>494</v>
      </c>
      <c r="D3" s="10" t="s">
        <v>7</v>
      </c>
      <c r="E3" s="10" t="s">
        <v>725</v>
      </c>
      <c r="F3" s="10" t="s">
        <v>17</v>
      </c>
      <c r="G3" s="10" t="s">
        <v>255</v>
      </c>
      <c r="H3" s="10" t="s">
        <v>256</v>
      </c>
    </row>
    <row r="4" spans="1:8" x14ac:dyDescent="0.3">
      <c r="A4" s="9" t="s">
        <v>705</v>
      </c>
      <c r="B4" t="s">
        <v>61</v>
      </c>
      <c r="C4" s="2"/>
      <c r="D4" s="2" t="s">
        <v>930</v>
      </c>
      <c r="E4" t="s">
        <v>661</v>
      </c>
      <c r="F4" s="75" t="s">
        <v>706</v>
      </c>
      <c r="G4" s="75" t="s">
        <v>707</v>
      </c>
      <c r="H4" s="119" t="s">
        <v>726</v>
      </c>
    </row>
    <row r="5" spans="1:8" x14ac:dyDescent="0.3">
      <c r="A5" s="9" t="s">
        <v>708</v>
      </c>
      <c r="B5" t="s">
        <v>36</v>
      </c>
      <c r="C5" s="2"/>
      <c r="D5" s="2" t="s">
        <v>931</v>
      </c>
      <c r="E5" t="s">
        <v>733</v>
      </c>
      <c r="F5" s="75" t="s">
        <v>709</v>
      </c>
      <c r="G5" s="75" t="s">
        <v>710</v>
      </c>
      <c r="H5" s="78"/>
    </row>
    <row r="6" spans="1:8" ht="28.8" x14ac:dyDescent="0.3">
      <c r="A6" s="9" t="s">
        <v>711</v>
      </c>
      <c r="B6" t="s">
        <v>36</v>
      </c>
      <c r="C6" s="2"/>
      <c r="D6" s="2" t="s">
        <v>932</v>
      </c>
      <c r="E6" t="s">
        <v>734</v>
      </c>
      <c r="F6" s="75" t="s">
        <v>709</v>
      </c>
      <c r="G6" s="75" t="s">
        <v>712</v>
      </c>
      <c r="H6" t="s">
        <v>735</v>
      </c>
    </row>
    <row r="7" spans="1:8" ht="28.8" x14ac:dyDescent="0.3">
      <c r="A7" s="9" t="s">
        <v>730</v>
      </c>
      <c r="B7" t="s">
        <v>20</v>
      </c>
      <c r="C7" s="75" t="s">
        <v>731</v>
      </c>
      <c r="D7" s="209" t="s">
        <v>257</v>
      </c>
      <c r="E7" s="44"/>
      <c r="F7" s="75">
        <v>1</v>
      </c>
      <c r="G7" s="75">
        <v>1</v>
      </c>
      <c r="H7" t="s">
        <v>732</v>
      </c>
    </row>
    <row r="8" spans="1:8" x14ac:dyDescent="0.3">
      <c r="A8" s="9"/>
      <c r="C8" s="2"/>
      <c r="D8" s="2"/>
      <c r="F8" s="75"/>
    </row>
    <row r="9" spans="1:8" x14ac:dyDescent="0.3">
      <c r="A9" s="9"/>
      <c r="C9" s="2"/>
      <c r="D9" s="2"/>
      <c r="F9" s="75"/>
    </row>
    <row r="10" spans="1:8" x14ac:dyDescent="0.3">
      <c r="A10" s="9"/>
      <c r="C10" s="2"/>
      <c r="D10" s="2"/>
      <c r="F10" s="75"/>
    </row>
    <row r="11" spans="1:8" x14ac:dyDescent="0.3">
      <c r="A11" s="9"/>
      <c r="C11" s="2"/>
      <c r="D11" s="2"/>
      <c r="F11" s="75"/>
      <c r="G11" s="75"/>
    </row>
    <row r="12" spans="1:8" x14ac:dyDescent="0.3">
      <c r="A12" s="9"/>
      <c r="C12" s="75"/>
      <c r="D12" s="75"/>
      <c r="E12" s="2"/>
      <c r="F12" s="75"/>
      <c r="G12" s="75"/>
    </row>
  </sheetData>
  <hyperlinks>
    <hyperlink ref="A1" location="Index!A1" display="Index" xr:uid="{DFFCEDC5-B5CD-4533-A52E-9F627F0A2FDF}"/>
  </hyperlinks>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F1906F-3F21-4ADD-B43B-A77686F8C5F2}">
  <sheetPr>
    <tabColor rgb="FF92D050"/>
  </sheetPr>
  <dimension ref="A1:I14"/>
  <sheetViews>
    <sheetView workbookViewId="0">
      <selection activeCell="D25" sqref="D25"/>
    </sheetView>
  </sheetViews>
  <sheetFormatPr defaultColWidth="23.109375" defaultRowHeight="14.4" x14ac:dyDescent="0.3"/>
  <cols>
    <col min="1" max="1" width="25.5546875" bestFit="1" customWidth="1"/>
    <col min="2" max="2" width="13.109375" bestFit="1" customWidth="1"/>
    <col min="3" max="3" width="14.44140625" bestFit="1" customWidth="1"/>
    <col min="4" max="4" width="37.109375" bestFit="1" customWidth="1"/>
    <col min="5" max="5" width="31.6640625" bestFit="1" customWidth="1"/>
    <col min="6" max="6" width="55.109375" bestFit="1" customWidth="1"/>
    <col min="7" max="7" width="42.109375" bestFit="1" customWidth="1"/>
    <col min="8" max="8" width="6.33203125" bestFit="1" customWidth="1"/>
  </cols>
  <sheetData>
    <row r="1" spans="1:9" x14ac:dyDescent="0.3">
      <c r="A1" s="1" t="s">
        <v>5</v>
      </c>
    </row>
    <row r="2" spans="1:9" x14ac:dyDescent="0.3">
      <c r="A2" s="128"/>
      <c r="B2" s="128"/>
      <c r="C2" s="128"/>
      <c r="D2" s="128"/>
      <c r="E2" s="128"/>
      <c r="F2" s="128"/>
      <c r="G2" s="128"/>
      <c r="H2" s="128"/>
      <c r="I2" s="128"/>
    </row>
    <row r="3" spans="1:9" x14ac:dyDescent="0.3">
      <c r="A3" s="129" t="s">
        <v>15</v>
      </c>
      <c r="B3" s="126" t="s">
        <v>16</v>
      </c>
      <c r="C3" s="126" t="s">
        <v>464</v>
      </c>
      <c r="D3" s="126" t="s">
        <v>7</v>
      </c>
      <c r="E3" s="126" t="s">
        <v>760</v>
      </c>
      <c r="F3" s="126" t="s">
        <v>17</v>
      </c>
      <c r="G3" s="126" t="s">
        <v>255</v>
      </c>
      <c r="H3" s="126" t="s">
        <v>256</v>
      </c>
    </row>
    <row r="4" spans="1:9" x14ac:dyDescent="0.3">
      <c r="A4" s="123" t="s">
        <v>761</v>
      </c>
      <c r="B4" t="s">
        <v>61</v>
      </c>
      <c r="D4" t="s">
        <v>939</v>
      </c>
      <c r="E4" t="s">
        <v>661</v>
      </c>
      <c r="F4" t="s">
        <v>742</v>
      </c>
      <c r="G4" t="s">
        <v>743</v>
      </c>
    </row>
    <row r="5" spans="1:9" x14ac:dyDescent="0.3">
      <c r="A5" s="124" t="s">
        <v>762</v>
      </c>
      <c r="B5" t="s">
        <v>57</v>
      </c>
      <c r="D5" t="s">
        <v>906</v>
      </c>
      <c r="E5" s="118">
        <v>43872</v>
      </c>
      <c r="F5" s="118">
        <v>43849</v>
      </c>
      <c r="G5" s="118">
        <v>43853</v>
      </c>
    </row>
    <row r="6" spans="1:9" x14ac:dyDescent="0.3">
      <c r="A6" s="124" t="s">
        <v>763</v>
      </c>
      <c r="B6" t="s">
        <v>61</v>
      </c>
      <c r="D6" t="s">
        <v>941</v>
      </c>
      <c r="E6" t="s">
        <v>134</v>
      </c>
      <c r="F6" t="s">
        <v>756</v>
      </c>
      <c r="G6" t="s">
        <v>758</v>
      </c>
    </row>
    <row r="7" spans="1:9" x14ac:dyDescent="0.3">
      <c r="A7" s="124" t="s">
        <v>764</v>
      </c>
      <c r="B7" t="s">
        <v>36</v>
      </c>
      <c r="D7" t="s">
        <v>942</v>
      </c>
      <c r="E7" t="s">
        <v>765</v>
      </c>
      <c r="F7" t="s">
        <v>746</v>
      </c>
      <c r="G7" t="s">
        <v>747</v>
      </c>
    </row>
    <row r="8" spans="1:9" x14ac:dyDescent="0.3">
      <c r="A8" s="124" t="s">
        <v>766</v>
      </c>
      <c r="B8" t="s">
        <v>767</v>
      </c>
      <c r="D8" t="s">
        <v>943</v>
      </c>
      <c r="E8" t="s">
        <v>768</v>
      </c>
      <c r="F8" t="s">
        <v>757</v>
      </c>
      <c r="G8" t="s">
        <v>759</v>
      </c>
    </row>
    <row r="9" spans="1:9" x14ac:dyDescent="0.3">
      <c r="A9" s="124" t="s">
        <v>769</v>
      </c>
      <c r="B9" t="s">
        <v>36</v>
      </c>
      <c r="D9" t="s">
        <v>944</v>
      </c>
      <c r="E9" t="s">
        <v>770</v>
      </c>
    </row>
    <row r="10" spans="1:9" x14ac:dyDescent="0.3">
      <c r="A10" s="124" t="s">
        <v>771</v>
      </c>
      <c r="B10" t="s">
        <v>772</v>
      </c>
      <c r="D10" t="s">
        <v>945</v>
      </c>
      <c r="E10" t="s">
        <v>325</v>
      </c>
      <c r="F10" s="75">
        <v>12530</v>
      </c>
      <c r="G10" s="75">
        <v>525</v>
      </c>
    </row>
    <row r="11" spans="1:9" x14ac:dyDescent="0.3">
      <c r="A11" s="124" t="s">
        <v>773</v>
      </c>
      <c r="B11" t="s">
        <v>772</v>
      </c>
      <c r="D11" t="s">
        <v>946</v>
      </c>
      <c r="E11" t="s">
        <v>325</v>
      </c>
      <c r="F11" s="75">
        <v>5360</v>
      </c>
      <c r="G11" s="75">
        <v>464</v>
      </c>
    </row>
    <row r="12" spans="1:9" x14ac:dyDescent="0.3">
      <c r="A12" s="124" t="s">
        <v>774</v>
      </c>
      <c r="B12" t="s">
        <v>772</v>
      </c>
      <c r="D12" t="s">
        <v>947</v>
      </c>
      <c r="E12" t="s">
        <v>325</v>
      </c>
      <c r="F12" s="75">
        <v>1340</v>
      </c>
      <c r="G12" s="75">
        <v>116</v>
      </c>
    </row>
    <row r="13" spans="1:9" ht="43.2" x14ac:dyDescent="0.3">
      <c r="A13" s="125" t="s">
        <v>775</v>
      </c>
      <c r="B13" t="s">
        <v>61</v>
      </c>
      <c r="D13" s="2" t="s">
        <v>948</v>
      </c>
      <c r="E13" t="s">
        <v>776</v>
      </c>
      <c r="F13" s="75">
        <v>5127095</v>
      </c>
      <c r="G13" s="75">
        <v>4604041</v>
      </c>
    </row>
    <row r="14" spans="1:9" ht="30" customHeight="1" x14ac:dyDescent="0.3">
      <c r="A14" s="128" t="s">
        <v>19</v>
      </c>
      <c r="B14" t="s">
        <v>20</v>
      </c>
      <c r="D14" s="209" t="s">
        <v>257</v>
      </c>
      <c r="F14" s="75">
        <v>1</v>
      </c>
      <c r="G14" s="75">
        <v>1</v>
      </c>
    </row>
  </sheetData>
  <hyperlinks>
    <hyperlink ref="A1" location="Index!A1" display="Index" xr:uid="{70A1E038-0C96-4A41-9912-DEEE86C5416F}"/>
  </hyperlinks>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F657F-107F-4D04-A554-8C4B6A024335}">
  <sheetPr>
    <tabColor rgb="FF92D050"/>
  </sheetPr>
  <dimension ref="A1:H10"/>
  <sheetViews>
    <sheetView workbookViewId="0"/>
  </sheetViews>
  <sheetFormatPr defaultRowHeight="14.4" x14ac:dyDescent="0.3"/>
  <cols>
    <col min="1" max="1" width="17.88671875" bestFit="1" customWidth="1"/>
    <col min="2" max="2" width="12" bestFit="1" customWidth="1"/>
    <col min="3" max="3" width="10" bestFit="1" customWidth="1"/>
    <col min="4" max="4" width="23.5546875" customWidth="1"/>
    <col min="5" max="5" width="24.44140625" bestFit="1" customWidth="1"/>
    <col min="6" max="7" width="10.6640625" bestFit="1" customWidth="1"/>
    <col min="8" max="8" width="38.109375" bestFit="1" customWidth="1"/>
  </cols>
  <sheetData>
    <row r="1" spans="1:8" x14ac:dyDescent="0.3">
      <c r="A1" s="5" t="s">
        <v>5</v>
      </c>
      <c r="C1" s="75"/>
      <c r="D1" s="75"/>
      <c r="E1" s="2"/>
    </row>
    <row r="2" spans="1:8" x14ac:dyDescent="0.3">
      <c r="C2" s="75"/>
      <c r="D2" s="75"/>
      <c r="E2" s="2"/>
    </row>
    <row r="3" spans="1:8" ht="28.8" x14ac:dyDescent="0.3">
      <c r="A3" s="10" t="s">
        <v>15</v>
      </c>
      <c r="B3" s="10" t="s">
        <v>16</v>
      </c>
      <c r="C3" s="10" t="s">
        <v>494</v>
      </c>
      <c r="D3" s="10" t="s">
        <v>7</v>
      </c>
      <c r="E3" s="10" t="s">
        <v>725</v>
      </c>
      <c r="F3" s="10" t="s">
        <v>17</v>
      </c>
      <c r="G3" s="10" t="s">
        <v>255</v>
      </c>
      <c r="H3" s="10" t="s">
        <v>256</v>
      </c>
    </row>
    <row r="4" spans="1:8" ht="28.8" x14ac:dyDescent="0.3">
      <c r="A4" s="9" t="s">
        <v>713</v>
      </c>
      <c r="B4" t="s">
        <v>20</v>
      </c>
      <c r="C4" s="2"/>
      <c r="D4" s="2" t="s">
        <v>933</v>
      </c>
      <c r="E4" t="s">
        <v>661</v>
      </c>
      <c r="F4" s="75">
        <v>2019</v>
      </c>
      <c r="G4" s="75">
        <v>2019</v>
      </c>
      <c r="H4" s="119" t="s">
        <v>726</v>
      </c>
    </row>
    <row r="5" spans="1:8" ht="43.2" x14ac:dyDescent="0.3">
      <c r="A5" s="9" t="s">
        <v>714</v>
      </c>
      <c r="B5" t="s">
        <v>20</v>
      </c>
      <c r="C5" s="2"/>
      <c r="D5" s="2" t="s">
        <v>934</v>
      </c>
      <c r="E5" s="75">
        <v>0</v>
      </c>
      <c r="F5" s="75">
        <v>36</v>
      </c>
      <c r="G5" s="75">
        <v>47</v>
      </c>
      <c r="H5" s="78"/>
    </row>
    <row r="6" spans="1:8" x14ac:dyDescent="0.3">
      <c r="A6" s="9" t="s">
        <v>715</v>
      </c>
      <c r="B6" t="s">
        <v>57</v>
      </c>
      <c r="C6" s="2"/>
      <c r="D6" s="2" t="s">
        <v>935</v>
      </c>
      <c r="E6" s="118">
        <v>43872</v>
      </c>
      <c r="F6" s="118">
        <v>43714</v>
      </c>
      <c r="G6" s="118">
        <v>43791</v>
      </c>
    </row>
    <row r="7" spans="1:8" ht="28.8" x14ac:dyDescent="0.3">
      <c r="A7" s="9" t="s">
        <v>716</v>
      </c>
      <c r="B7" t="s">
        <v>727</v>
      </c>
      <c r="C7" s="75"/>
      <c r="D7" s="2" t="s">
        <v>936</v>
      </c>
      <c r="E7" s="2" t="s">
        <v>728</v>
      </c>
      <c r="F7" t="s">
        <v>718</v>
      </c>
      <c r="G7" t="s">
        <v>719</v>
      </c>
    </row>
    <row r="8" spans="1:8" ht="28.8" x14ac:dyDescent="0.3">
      <c r="A8" s="9" t="s">
        <v>720</v>
      </c>
      <c r="B8" t="s">
        <v>61</v>
      </c>
      <c r="D8" s="2" t="s">
        <v>937</v>
      </c>
      <c r="E8" t="s">
        <v>729</v>
      </c>
      <c r="F8" t="s">
        <v>721</v>
      </c>
      <c r="G8" t="s">
        <v>722</v>
      </c>
    </row>
    <row r="9" spans="1:8" ht="43.2" x14ac:dyDescent="0.3">
      <c r="A9" s="9" t="s">
        <v>723</v>
      </c>
      <c r="B9" t="s">
        <v>724</v>
      </c>
      <c r="D9" s="2" t="s">
        <v>938</v>
      </c>
      <c r="E9" s="75" t="s">
        <v>325</v>
      </c>
      <c r="F9" s="75">
        <v>0.5</v>
      </c>
      <c r="G9" s="75">
        <v>6</v>
      </c>
    </row>
    <row r="10" spans="1:8" ht="28.8" x14ac:dyDescent="0.3">
      <c r="A10" s="9" t="s">
        <v>730</v>
      </c>
      <c r="B10" t="s">
        <v>20</v>
      </c>
      <c r="C10" s="75" t="s">
        <v>731</v>
      </c>
      <c r="D10" s="209" t="s">
        <v>257</v>
      </c>
      <c r="E10" s="2"/>
      <c r="F10" s="75">
        <v>1</v>
      </c>
      <c r="G10" s="75">
        <v>1</v>
      </c>
      <c r="H10" t="s">
        <v>732</v>
      </c>
    </row>
  </sheetData>
  <hyperlinks>
    <hyperlink ref="A1" location="Index!A1" display="Index" xr:uid="{61D2137B-2D94-4C63-851E-29BA389C2F89}"/>
  </hyperlinks>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DFFCD9-6E0D-46F7-A5D0-F21B460087EE}">
  <sheetPr>
    <tabColor rgb="FF92D050"/>
  </sheetPr>
  <dimension ref="A1:H7"/>
  <sheetViews>
    <sheetView tabSelected="1" workbookViewId="0">
      <selection activeCell="G19" sqref="G19"/>
    </sheetView>
  </sheetViews>
  <sheetFormatPr defaultRowHeight="14.4" x14ac:dyDescent="0.3"/>
  <cols>
    <col min="1" max="1" width="25" bestFit="1" customWidth="1"/>
    <col min="2" max="2" width="12" bestFit="1" customWidth="1"/>
    <col min="3" max="3" width="13.6640625" bestFit="1" customWidth="1"/>
    <col min="4" max="4" width="12.5546875" customWidth="1"/>
    <col min="5" max="5" width="26.44140625" customWidth="1"/>
    <col min="6" max="6" width="19.44140625" bestFit="1" customWidth="1"/>
    <col min="7" max="7" width="29.109375" bestFit="1" customWidth="1"/>
    <col min="8" max="9" width="44.44140625" bestFit="1" customWidth="1"/>
  </cols>
  <sheetData>
    <row r="1" spans="1:8" x14ac:dyDescent="0.3">
      <c r="A1" s="5" t="s">
        <v>5</v>
      </c>
      <c r="C1" s="75"/>
      <c r="D1" s="2"/>
      <c r="E1" s="2"/>
    </row>
    <row r="2" spans="1:8" x14ac:dyDescent="0.3">
      <c r="C2" s="75"/>
      <c r="D2" s="2"/>
      <c r="E2" s="2"/>
    </row>
    <row r="3" spans="1:8" ht="28.8" x14ac:dyDescent="0.3">
      <c r="A3" s="10" t="s">
        <v>15</v>
      </c>
      <c r="B3" s="10" t="s">
        <v>16</v>
      </c>
      <c r="C3" s="10" t="s">
        <v>494</v>
      </c>
      <c r="D3" s="10" t="s">
        <v>725</v>
      </c>
      <c r="E3" s="10" t="s">
        <v>7</v>
      </c>
      <c r="F3" s="10" t="s">
        <v>17</v>
      </c>
      <c r="G3" s="10" t="s">
        <v>255</v>
      </c>
      <c r="H3" s="10" t="s">
        <v>256</v>
      </c>
    </row>
    <row r="4" spans="1:8" x14ac:dyDescent="0.3">
      <c r="A4" t="s">
        <v>695</v>
      </c>
      <c r="B4" t="s">
        <v>66</v>
      </c>
      <c r="D4" t="s">
        <v>661</v>
      </c>
      <c r="E4" t="s">
        <v>949</v>
      </c>
      <c r="F4" t="s">
        <v>679</v>
      </c>
      <c r="G4" t="s">
        <v>682</v>
      </c>
      <c r="H4" t="s">
        <v>670</v>
      </c>
    </row>
    <row r="5" spans="1:8" x14ac:dyDescent="0.3">
      <c r="A5" t="s">
        <v>696</v>
      </c>
      <c r="B5" t="s">
        <v>36</v>
      </c>
      <c r="D5" s="116" t="s">
        <v>661</v>
      </c>
      <c r="E5" t="s">
        <v>950</v>
      </c>
      <c r="F5" t="s">
        <v>691</v>
      </c>
      <c r="G5" t="s">
        <v>693</v>
      </c>
    </row>
    <row r="6" spans="1:8" ht="43.2" x14ac:dyDescent="0.3">
      <c r="A6" t="s">
        <v>697</v>
      </c>
      <c r="B6" t="s">
        <v>66</v>
      </c>
      <c r="D6" s="116" t="s">
        <v>661</v>
      </c>
      <c r="E6" s="2" t="s">
        <v>951</v>
      </c>
      <c r="F6" t="s">
        <v>692</v>
      </c>
      <c r="G6" t="s">
        <v>694</v>
      </c>
    </row>
    <row r="7" spans="1:8" ht="33" customHeight="1" x14ac:dyDescent="0.3">
      <c r="A7" s="115" t="s">
        <v>19</v>
      </c>
      <c r="B7" t="s">
        <v>20</v>
      </c>
      <c r="E7" s="44" t="s">
        <v>257</v>
      </c>
      <c r="F7" s="75">
        <v>1</v>
      </c>
      <c r="G7" s="75">
        <v>1</v>
      </c>
      <c r="H7" t="s">
        <v>672</v>
      </c>
    </row>
  </sheetData>
  <hyperlinks>
    <hyperlink ref="A1" location="Index!A1" display="Index" xr:uid="{AB308857-2754-4349-AD90-AE62710AED13}"/>
  </hyperlinks>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92D050"/>
  </sheetPr>
  <dimension ref="A1:H28"/>
  <sheetViews>
    <sheetView zoomScaleNormal="100" workbookViewId="0">
      <selection activeCell="D28" sqref="D28"/>
    </sheetView>
  </sheetViews>
  <sheetFormatPr defaultColWidth="21.33203125" defaultRowHeight="14.4" x14ac:dyDescent="0.3"/>
  <cols>
    <col min="1" max="1" width="45.109375" bestFit="1" customWidth="1"/>
    <col min="2" max="2" width="16.109375" customWidth="1"/>
    <col min="3" max="3" width="14.44140625" customWidth="1"/>
    <col min="4" max="4" width="41.88671875" style="2" customWidth="1"/>
    <col min="5" max="5" width="34.5546875" style="38" bestFit="1"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464</v>
      </c>
      <c r="D3" s="10" t="s">
        <v>7</v>
      </c>
      <c r="E3" s="10" t="s">
        <v>254</v>
      </c>
      <c r="F3" s="10" t="s">
        <v>17</v>
      </c>
      <c r="G3" s="10" t="s">
        <v>255</v>
      </c>
      <c r="H3" s="10" t="s">
        <v>256</v>
      </c>
    </row>
    <row r="4" spans="1:8" x14ac:dyDescent="0.3">
      <c r="A4" t="s">
        <v>271</v>
      </c>
      <c r="B4" t="s">
        <v>67</v>
      </c>
      <c r="D4" s="2" t="s">
        <v>283</v>
      </c>
      <c r="F4" s="73">
        <v>2018</v>
      </c>
      <c r="G4" s="73">
        <v>2019</v>
      </c>
      <c r="H4" s="45" t="s">
        <v>287</v>
      </c>
    </row>
    <row r="5" spans="1:8" x14ac:dyDescent="0.3">
      <c r="A5" t="s">
        <v>274</v>
      </c>
      <c r="B5" t="s">
        <v>66</v>
      </c>
      <c r="D5" s="2" t="s">
        <v>284</v>
      </c>
      <c r="F5" s="73" t="s">
        <v>326</v>
      </c>
      <c r="G5" s="73" t="s">
        <v>329</v>
      </c>
      <c r="H5" s="45" t="s">
        <v>287</v>
      </c>
    </row>
    <row r="6" spans="1:8" x14ac:dyDescent="0.3">
      <c r="A6" t="s">
        <v>275</v>
      </c>
      <c r="B6" t="s">
        <v>61</v>
      </c>
      <c r="D6" s="2" t="s">
        <v>285</v>
      </c>
      <c r="E6" s="38" t="s">
        <v>134</v>
      </c>
      <c r="F6" s="47" t="s">
        <v>327</v>
      </c>
      <c r="G6" s="47" t="s">
        <v>228</v>
      </c>
      <c r="H6" s="73"/>
    </row>
    <row r="7" spans="1:8" x14ac:dyDescent="0.3">
      <c r="A7" t="s">
        <v>276</v>
      </c>
      <c r="B7" t="s">
        <v>61</v>
      </c>
      <c r="D7" s="2" t="s">
        <v>291</v>
      </c>
      <c r="E7" s="41" t="s">
        <v>134</v>
      </c>
      <c r="F7" s="73" t="s">
        <v>137</v>
      </c>
      <c r="G7" s="73" t="s">
        <v>229</v>
      </c>
      <c r="H7" s="73"/>
    </row>
    <row r="8" spans="1:8" x14ac:dyDescent="0.3">
      <c r="A8" t="s">
        <v>277</v>
      </c>
      <c r="B8" t="s">
        <v>61</v>
      </c>
      <c r="D8" s="2" t="s">
        <v>292</v>
      </c>
      <c r="E8" s="41" t="s">
        <v>288</v>
      </c>
      <c r="F8" s="73" t="s">
        <v>328</v>
      </c>
      <c r="G8" s="73" t="s">
        <v>330</v>
      </c>
      <c r="H8" s="73"/>
    </row>
    <row r="9" spans="1:8" x14ac:dyDescent="0.3">
      <c r="A9" t="s">
        <v>278</v>
      </c>
      <c r="B9" t="s">
        <v>61</v>
      </c>
      <c r="D9" s="2" t="s">
        <v>293</v>
      </c>
      <c r="E9" s="41" t="s">
        <v>288</v>
      </c>
      <c r="F9" s="73" t="s">
        <v>288</v>
      </c>
      <c r="G9" s="73" t="s">
        <v>231</v>
      </c>
      <c r="H9" s="73"/>
    </row>
    <row r="10" spans="1:8" x14ac:dyDescent="0.3">
      <c r="A10" t="s">
        <v>279</v>
      </c>
      <c r="B10" t="s">
        <v>61</v>
      </c>
      <c r="D10" s="2" t="s">
        <v>294</v>
      </c>
      <c r="E10" s="41" t="s">
        <v>134</v>
      </c>
      <c r="F10" s="73">
        <v>0.5</v>
      </c>
      <c r="G10" s="73" t="s">
        <v>232</v>
      </c>
      <c r="H10" s="73"/>
    </row>
    <row r="11" spans="1:8" x14ac:dyDescent="0.3">
      <c r="A11" t="s">
        <v>295</v>
      </c>
      <c r="B11" t="s">
        <v>249</v>
      </c>
      <c r="D11" s="2" t="s">
        <v>286</v>
      </c>
      <c r="E11" s="41" t="s">
        <v>288</v>
      </c>
      <c r="F11" s="73" t="s">
        <v>225</v>
      </c>
      <c r="G11" s="73" t="s">
        <v>225</v>
      </c>
      <c r="H11" s="73"/>
    </row>
    <row r="12" spans="1:8" x14ac:dyDescent="0.3">
      <c r="A12" t="s">
        <v>296</v>
      </c>
      <c r="B12" t="s">
        <v>61</v>
      </c>
      <c r="D12" s="2" t="s">
        <v>297</v>
      </c>
      <c r="E12" s="41" t="s">
        <v>288</v>
      </c>
      <c r="F12" s="73" t="s">
        <v>288</v>
      </c>
      <c r="G12" s="73" t="s">
        <v>233</v>
      </c>
      <c r="H12" s="73"/>
    </row>
    <row r="13" spans="1:8" x14ac:dyDescent="0.3">
      <c r="A13" t="s">
        <v>298</v>
      </c>
      <c r="B13" t="s">
        <v>36</v>
      </c>
      <c r="D13" s="2" t="s">
        <v>299</v>
      </c>
      <c r="E13" s="41" t="s">
        <v>288</v>
      </c>
      <c r="F13" s="73" t="s">
        <v>288</v>
      </c>
      <c r="G13" s="73" t="s">
        <v>288</v>
      </c>
      <c r="H13" s="73"/>
    </row>
    <row r="14" spans="1:8" x14ac:dyDescent="0.3">
      <c r="A14" t="s">
        <v>302</v>
      </c>
      <c r="B14" t="s">
        <v>300</v>
      </c>
      <c r="D14" s="2" t="s">
        <v>301</v>
      </c>
      <c r="E14" s="38">
        <v>-1</v>
      </c>
      <c r="F14" s="73">
        <v>2450</v>
      </c>
      <c r="G14" s="73">
        <v>-1</v>
      </c>
      <c r="H14" s="73"/>
    </row>
    <row r="15" spans="1:8" x14ac:dyDescent="0.3">
      <c r="A15" t="s">
        <v>339</v>
      </c>
      <c r="B15" t="s">
        <v>300</v>
      </c>
      <c r="D15" s="2" t="s">
        <v>303</v>
      </c>
      <c r="E15" s="41">
        <v>-1</v>
      </c>
      <c r="F15" s="73">
        <v>1225</v>
      </c>
      <c r="G15" s="73">
        <v>-1</v>
      </c>
      <c r="H15" s="73"/>
    </row>
    <row r="16" spans="1:8" x14ac:dyDescent="0.3">
      <c r="A16" t="s">
        <v>304</v>
      </c>
      <c r="B16" t="s">
        <v>300</v>
      </c>
      <c r="D16" s="2" t="s">
        <v>305</v>
      </c>
      <c r="E16" s="41">
        <v>-1</v>
      </c>
      <c r="F16" s="73">
        <v>-1</v>
      </c>
      <c r="G16" s="73">
        <v>-1</v>
      </c>
      <c r="H16" s="73"/>
    </row>
    <row r="17" spans="1:8" x14ac:dyDescent="0.3">
      <c r="A17" t="s">
        <v>306</v>
      </c>
      <c r="B17" t="s">
        <v>300</v>
      </c>
      <c r="D17" s="2" t="s">
        <v>307</v>
      </c>
      <c r="E17" s="41">
        <v>-1</v>
      </c>
      <c r="F17" s="73">
        <v>-1</v>
      </c>
      <c r="G17" s="73">
        <v>-1</v>
      </c>
      <c r="H17" s="73"/>
    </row>
    <row r="18" spans="1:8" x14ac:dyDescent="0.3">
      <c r="A18" t="s">
        <v>308</v>
      </c>
      <c r="B18" t="s">
        <v>300</v>
      </c>
      <c r="D18" s="2" t="s">
        <v>309</v>
      </c>
      <c r="E18" s="41">
        <v>-1</v>
      </c>
      <c r="F18" s="73">
        <v>0.5</v>
      </c>
      <c r="G18" s="73">
        <v>-1</v>
      </c>
      <c r="H18" s="73"/>
    </row>
    <row r="19" spans="1:8" ht="28.8" x14ac:dyDescent="0.3">
      <c r="A19" t="s">
        <v>280</v>
      </c>
      <c r="B19" t="s">
        <v>310</v>
      </c>
      <c r="C19" t="s">
        <v>11</v>
      </c>
      <c r="D19" s="2" t="s">
        <v>311</v>
      </c>
      <c r="E19" s="38" t="s">
        <v>289</v>
      </c>
      <c r="F19" s="73">
        <v>1.8049999999999999</v>
      </c>
      <c r="G19" s="73" t="s">
        <v>325</v>
      </c>
      <c r="H19" s="73" t="s">
        <v>312</v>
      </c>
    </row>
    <row r="20" spans="1:8" ht="28.8" x14ac:dyDescent="0.3">
      <c r="A20" t="s">
        <v>281</v>
      </c>
      <c r="B20" t="s">
        <v>310</v>
      </c>
      <c r="C20" t="s">
        <v>11</v>
      </c>
      <c r="D20" s="2" t="s">
        <v>313</v>
      </c>
      <c r="E20" s="41" t="s">
        <v>289</v>
      </c>
      <c r="F20" s="73">
        <v>0.93</v>
      </c>
      <c r="G20" s="73" t="s">
        <v>325</v>
      </c>
      <c r="H20" s="73" t="s">
        <v>312</v>
      </c>
    </row>
    <row r="21" spans="1:8" x14ac:dyDescent="0.3">
      <c r="A21" t="s">
        <v>314</v>
      </c>
      <c r="B21" t="s">
        <v>67</v>
      </c>
      <c r="C21" t="s">
        <v>11</v>
      </c>
      <c r="D21" s="2" t="s">
        <v>315</v>
      </c>
      <c r="E21" s="41" t="s">
        <v>289</v>
      </c>
      <c r="F21" s="73" t="s">
        <v>325</v>
      </c>
      <c r="G21" s="73">
        <v>4</v>
      </c>
      <c r="H21" s="73"/>
    </row>
    <row r="22" spans="1:8" ht="28.8" x14ac:dyDescent="0.3">
      <c r="A22" t="s">
        <v>316</v>
      </c>
      <c r="B22" t="s">
        <v>66</v>
      </c>
      <c r="D22" s="2" t="s">
        <v>317</v>
      </c>
      <c r="E22" s="41" t="s">
        <v>134</v>
      </c>
      <c r="F22" s="73" t="s">
        <v>226</v>
      </c>
      <c r="G22" s="73" t="s">
        <v>234</v>
      </c>
      <c r="H22" s="73"/>
    </row>
    <row r="23" spans="1:8" ht="28.8" x14ac:dyDescent="0.3">
      <c r="A23" t="s">
        <v>340</v>
      </c>
      <c r="B23" t="s">
        <v>138</v>
      </c>
      <c r="C23" t="s">
        <v>11</v>
      </c>
      <c r="D23" s="2" t="s">
        <v>318</v>
      </c>
      <c r="E23" s="41" t="s">
        <v>289</v>
      </c>
      <c r="F23" s="73" t="s">
        <v>325</v>
      </c>
      <c r="G23" s="73" t="s">
        <v>325</v>
      </c>
      <c r="H23" s="73"/>
    </row>
    <row r="24" spans="1:8" ht="28.8" x14ac:dyDescent="0.3">
      <c r="A24" t="s">
        <v>319</v>
      </c>
      <c r="B24" t="s">
        <v>300</v>
      </c>
      <c r="C24" t="s">
        <v>11</v>
      </c>
      <c r="D24" s="2" t="s">
        <v>320</v>
      </c>
      <c r="E24" s="41" t="s">
        <v>289</v>
      </c>
      <c r="F24" s="73">
        <v>62.37</v>
      </c>
      <c r="G24" s="73">
        <v>584.72</v>
      </c>
      <c r="H24" s="73"/>
    </row>
    <row r="25" spans="1:8" ht="28.8" x14ac:dyDescent="0.3">
      <c r="A25" t="s">
        <v>282</v>
      </c>
      <c r="B25" t="s">
        <v>300</v>
      </c>
      <c r="D25" s="2" t="s">
        <v>321</v>
      </c>
      <c r="E25" s="76" t="s">
        <v>324</v>
      </c>
      <c r="F25" s="73">
        <v>0.14000000000000001</v>
      </c>
      <c r="G25" s="73">
        <v>0.14000000000000001</v>
      </c>
      <c r="H25" s="73"/>
    </row>
    <row r="26" spans="1:8" ht="28.8" x14ac:dyDescent="0.3">
      <c r="A26" t="s">
        <v>322</v>
      </c>
      <c r="B26" t="s">
        <v>138</v>
      </c>
      <c r="D26" s="2" t="s">
        <v>323</v>
      </c>
      <c r="E26" s="76">
        <v>0</v>
      </c>
      <c r="F26" s="73">
        <v>91.839825000000005</v>
      </c>
      <c r="G26" s="73">
        <v>2051.6491230000001</v>
      </c>
      <c r="H26" s="73"/>
    </row>
    <row r="27" spans="1:8" x14ac:dyDescent="0.3">
      <c r="A27" t="s">
        <v>415</v>
      </c>
      <c r="B27" t="s">
        <v>61</v>
      </c>
      <c r="D27" s="2" t="s">
        <v>414</v>
      </c>
      <c r="E27" s="76"/>
      <c r="F27" s="73"/>
      <c r="G27" s="73"/>
      <c r="H27" s="73"/>
    </row>
    <row r="28" spans="1:8" s="39" customFormat="1" x14ac:dyDescent="0.3">
      <c r="A28" s="39" t="s">
        <v>19</v>
      </c>
      <c r="B28" s="39" t="s">
        <v>20</v>
      </c>
      <c r="D28" s="44" t="s">
        <v>257</v>
      </c>
      <c r="E28" s="40"/>
      <c r="F28" s="73">
        <v>1</v>
      </c>
      <c r="G28" s="73">
        <v>1</v>
      </c>
      <c r="H28" s="40" t="s">
        <v>258</v>
      </c>
    </row>
  </sheetData>
  <hyperlinks>
    <hyperlink ref="A1" location="Index!A1" display="Index" xr:uid="{00000000-0004-0000-0600-000000000000}"/>
  </hyperlinks>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92D050"/>
  </sheetPr>
  <dimension ref="A1:F28"/>
  <sheetViews>
    <sheetView workbookViewId="0">
      <selection activeCell="B1" sqref="B1"/>
    </sheetView>
  </sheetViews>
  <sheetFormatPr defaultRowHeight="14.4" x14ac:dyDescent="0.3"/>
  <cols>
    <col min="1" max="1" width="31.44140625" customWidth="1"/>
    <col min="2" max="2" width="69.109375" bestFit="1" customWidth="1"/>
    <col min="3" max="3" width="30.6640625" customWidth="1"/>
    <col min="4" max="4" width="11.44140625" bestFit="1" customWidth="1"/>
    <col min="5" max="5" width="23" bestFit="1" customWidth="1"/>
    <col min="6" max="6" width="12.5546875" bestFit="1" customWidth="1"/>
  </cols>
  <sheetData>
    <row r="1" spans="1:6" x14ac:dyDescent="0.3">
      <c r="A1" s="5" t="s">
        <v>5</v>
      </c>
    </row>
    <row r="2" spans="1:6" x14ac:dyDescent="0.3">
      <c r="A2" t="s">
        <v>477</v>
      </c>
    </row>
    <row r="3" spans="1:6" x14ac:dyDescent="0.3">
      <c r="A3" t="s">
        <v>478</v>
      </c>
    </row>
    <row r="4" spans="1:6" x14ac:dyDescent="0.3">
      <c r="A4" t="s">
        <v>479</v>
      </c>
    </row>
    <row r="5" spans="1:6" x14ac:dyDescent="0.3">
      <c r="A5" t="s">
        <v>557</v>
      </c>
    </row>
    <row r="8" spans="1:6" x14ac:dyDescent="0.3">
      <c r="A8" s="200" t="s">
        <v>14</v>
      </c>
      <c r="B8" s="200"/>
      <c r="C8" s="200"/>
      <c r="D8" s="200"/>
      <c r="E8" s="200"/>
      <c r="F8" s="200"/>
    </row>
    <row r="9" spans="1:6" x14ac:dyDescent="0.3">
      <c r="A9" s="11" t="s">
        <v>21</v>
      </c>
      <c r="B9" s="11" t="s">
        <v>7</v>
      </c>
      <c r="C9" s="11" t="s">
        <v>2</v>
      </c>
      <c r="D9" s="11" t="s">
        <v>22</v>
      </c>
      <c r="E9" s="6" t="s">
        <v>6</v>
      </c>
      <c r="F9" s="11" t="s">
        <v>23</v>
      </c>
    </row>
    <row r="10" spans="1:6" x14ac:dyDescent="0.3">
      <c r="A10" s="1" t="s">
        <v>492</v>
      </c>
      <c r="B10" t="s">
        <v>378</v>
      </c>
      <c r="C10" t="s">
        <v>488</v>
      </c>
      <c r="D10" t="s">
        <v>35</v>
      </c>
      <c r="E10" s="5" t="s">
        <v>497</v>
      </c>
      <c r="F10" t="s">
        <v>491</v>
      </c>
    </row>
    <row r="11" spans="1:6" x14ac:dyDescent="0.3">
      <c r="A11" s="1" t="s">
        <v>493</v>
      </c>
      <c r="B11" t="s">
        <v>495</v>
      </c>
      <c r="C11" t="s">
        <v>262</v>
      </c>
      <c r="D11" t="s">
        <v>496</v>
      </c>
      <c r="E11" s="1" t="s">
        <v>270</v>
      </c>
      <c r="F11" t="s">
        <v>498</v>
      </c>
    </row>
    <row r="12" spans="1:6" x14ac:dyDescent="0.3">
      <c r="A12" s="1" t="s">
        <v>515</v>
      </c>
      <c r="B12" t="s">
        <v>516</v>
      </c>
      <c r="C12" t="s">
        <v>262</v>
      </c>
      <c r="D12" t="s">
        <v>496</v>
      </c>
      <c r="E12" s="1" t="s">
        <v>270</v>
      </c>
      <c r="F12" t="s">
        <v>272</v>
      </c>
    </row>
    <row r="14" spans="1:6" ht="15" thickBot="1" x14ac:dyDescent="0.35">
      <c r="A14" s="200" t="s">
        <v>485</v>
      </c>
      <c r="B14" s="200"/>
      <c r="C14" s="200"/>
      <c r="D14" s="200"/>
      <c r="E14" s="200"/>
      <c r="F14" s="200"/>
    </row>
    <row r="15" spans="1:6" ht="15" thickTop="1" x14ac:dyDescent="0.3">
      <c r="A15" s="11" t="s">
        <v>21</v>
      </c>
      <c r="B15" s="11" t="s">
        <v>7</v>
      </c>
      <c r="C15" s="199" t="s">
        <v>470</v>
      </c>
      <c r="D15" s="199"/>
      <c r="E15" s="199"/>
      <c r="F15" s="11"/>
    </row>
    <row r="16" spans="1:6" x14ac:dyDescent="0.3">
      <c r="A16" t="s">
        <v>531</v>
      </c>
      <c r="B16" t="s">
        <v>532</v>
      </c>
      <c r="C16" t="s">
        <v>515</v>
      </c>
    </row>
    <row r="20" spans="1:6" ht="15" thickBot="1" x14ac:dyDescent="0.35">
      <c r="A20" s="201" t="s">
        <v>24</v>
      </c>
      <c r="B20" s="201"/>
      <c r="C20" s="201"/>
      <c r="D20" s="201"/>
      <c r="E20" s="201"/>
      <c r="F20" s="201"/>
    </row>
    <row r="21" spans="1:6" ht="15" thickTop="1" x14ac:dyDescent="0.3">
      <c r="A21" s="8" t="s">
        <v>21</v>
      </c>
      <c r="B21" s="8" t="s">
        <v>7</v>
      </c>
      <c r="C21" s="199" t="s">
        <v>482</v>
      </c>
      <c r="D21" s="199"/>
      <c r="E21" s="199"/>
      <c r="F21" s="8" t="s">
        <v>23</v>
      </c>
    </row>
    <row r="22" spans="1:6" x14ac:dyDescent="0.3">
      <c r="A22" s="1" t="s">
        <v>25</v>
      </c>
      <c r="B22" t="s">
        <v>33</v>
      </c>
      <c r="C22" t="s">
        <v>558</v>
      </c>
      <c r="F22" t="s">
        <v>26</v>
      </c>
    </row>
    <row r="23" spans="1:6" ht="28.8" x14ac:dyDescent="0.3">
      <c r="A23" s="1" t="s">
        <v>27</v>
      </c>
      <c r="B23" t="s">
        <v>28</v>
      </c>
      <c r="C23" s="2" t="s">
        <v>559</v>
      </c>
      <c r="F23" t="s">
        <v>29</v>
      </c>
    </row>
    <row r="24" spans="1:6" ht="43.2" x14ac:dyDescent="0.3">
      <c r="A24" s="1" t="s">
        <v>30</v>
      </c>
      <c r="B24" t="s">
        <v>31</v>
      </c>
      <c r="C24" s="2" t="s">
        <v>560</v>
      </c>
      <c r="F24" t="s">
        <v>32</v>
      </c>
    </row>
    <row r="26" spans="1:6" ht="15" thickBot="1" x14ac:dyDescent="0.35">
      <c r="A26" s="201" t="s">
        <v>468</v>
      </c>
      <c r="B26" s="201"/>
      <c r="C26" s="201"/>
      <c r="D26" s="201"/>
      <c r="E26" s="201"/>
      <c r="F26" s="201"/>
    </row>
    <row r="27" spans="1:6" ht="15" thickTop="1" x14ac:dyDescent="0.3">
      <c r="A27" s="8" t="s">
        <v>21</v>
      </c>
      <c r="B27" s="8" t="s">
        <v>7</v>
      </c>
      <c r="C27" s="199" t="s">
        <v>470</v>
      </c>
      <c r="D27" s="199"/>
      <c r="E27" s="199"/>
      <c r="F27" s="8"/>
    </row>
    <row r="28" spans="1:6" x14ac:dyDescent="0.3">
      <c r="A28" s="1" t="s">
        <v>466</v>
      </c>
      <c r="B28" t="s">
        <v>469</v>
      </c>
      <c r="C28" t="s">
        <v>25</v>
      </c>
    </row>
  </sheetData>
  <mergeCells count="7">
    <mergeCell ref="A26:F26"/>
    <mergeCell ref="C27:E27"/>
    <mergeCell ref="A14:F14"/>
    <mergeCell ref="C15:E15"/>
    <mergeCell ref="A8:F8"/>
    <mergeCell ref="A20:F20"/>
    <mergeCell ref="C21:E21"/>
  </mergeCells>
  <hyperlinks>
    <hyperlink ref="A1" location="Index!A1" display="Index" xr:uid="{00000000-0004-0000-0700-000000000000}"/>
    <hyperlink ref="A22" location="'Process Metadata'!A5" display="Import_Batch" xr:uid="{00000000-0004-0000-0700-000001000000}"/>
    <hyperlink ref="A23" location="'Process Metadata'!A16" display="Import_Batch_Process" xr:uid="{00000000-0004-0000-0700-000002000000}"/>
    <hyperlink ref="A24" location="'Process Metadata'!A25" display="Import_Batch_Process_Task" xr:uid="{00000000-0004-0000-0700-000003000000}"/>
    <hyperlink ref="A28" location="'Process Metadata'!J5" display="V_IB_Latest" xr:uid="{00000000-0004-0000-0700-000004000000}"/>
    <hyperlink ref="A10" location="S2_MM_Material_Group_Lookup!A1" display="S2_MM_Material_Group_Lookup" xr:uid="{00000000-0004-0000-0700-000005000000}"/>
    <hyperlink ref="E10" location="S2_MM_Material_Group_Lookup!A10" display="MM_Material_Group.csv" xr:uid="{00000000-0004-0000-0700-000006000000}"/>
    <hyperlink ref="A11" location="S2_MM_Material!A1" display="S2_MM_Material" xr:uid="{00000000-0004-0000-0700-000007000000}"/>
    <hyperlink ref="E11" location="S1_MM_Stock_Take!A1" display="S1_MM_Stock_Take" xr:uid="{00000000-0004-0000-0700-000008000000}"/>
    <hyperlink ref="A12" location="S2_MM_Stock_Take!A1" display="S2_MM_Stock_Take!A1" xr:uid="{00000000-0004-0000-0700-000009000000}"/>
    <hyperlink ref="E12" location="S1_MM_Stock_Take!A1" display="S1_MM_Stock_Take" xr:uid="{00000000-0004-0000-0700-00000A000000}"/>
  </hyperlinks>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92D050"/>
  </sheetPr>
  <dimension ref="A1:H30"/>
  <sheetViews>
    <sheetView zoomScaleNormal="100" workbookViewId="0"/>
  </sheetViews>
  <sheetFormatPr defaultColWidth="21.33203125" defaultRowHeight="14.4" x14ac:dyDescent="0.3"/>
  <cols>
    <col min="1" max="1" width="19.109375" bestFit="1" customWidth="1"/>
    <col min="2" max="2" width="19.5546875" customWidth="1"/>
    <col min="3" max="3" width="11" style="43" bestFit="1" customWidth="1"/>
    <col min="4" max="4" width="50.5546875" style="2" customWidth="1"/>
    <col min="5" max="5" width="8.88671875" style="2" customWidth="1"/>
    <col min="6" max="6" width="17.6640625" customWidth="1"/>
    <col min="7" max="7" width="20.6640625" customWidth="1"/>
    <col min="8" max="8" width="30.6640625" bestFit="1" customWidth="1"/>
  </cols>
  <sheetData>
    <row r="1" spans="1:8" x14ac:dyDescent="0.3">
      <c r="A1" s="5" t="s">
        <v>5</v>
      </c>
    </row>
    <row r="3" spans="1:8" x14ac:dyDescent="0.3">
      <c r="A3" s="10" t="s">
        <v>15</v>
      </c>
      <c r="B3" s="10" t="s">
        <v>16</v>
      </c>
      <c r="C3" s="10" t="s">
        <v>97</v>
      </c>
      <c r="D3" s="10" t="s">
        <v>7</v>
      </c>
      <c r="E3" s="10" t="s">
        <v>55</v>
      </c>
      <c r="F3" s="10" t="s">
        <v>17</v>
      </c>
      <c r="G3" s="10" t="s">
        <v>255</v>
      </c>
      <c r="H3" s="10" t="s">
        <v>256</v>
      </c>
    </row>
    <row r="4" spans="1:8" x14ac:dyDescent="0.3">
      <c r="A4" t="s">
        <v>489</v>
      </c>
      <c r="B4" t="s">
        <v>61</v>
      </c>
      <c r="D4" s="2" t="s">
        <v>486</v>
      </c>
      <c r="E4" s="2" t="s">
        <v>55</v>
      </c>
      <c r="F4" s="43"/>
    </row>
    <row r="5" spans="1:8" x14ac:dyDescent="0.3">
      <c r="A5" t="s">
        <v>490</v>
      </c>
      <c r="B5" t="s">
        <v>61</v>
      </c>
      <c r="D5" s="2" t="s">
        <v>487</v>
      </c>
      <c r="F5" s="43"/>
    </row>
    <row r="10" spans="1:8" x14ac:dyDescent="0.3">
      <c r="A10" s="204" t="s">
        <v>497</v>
      </c>
      <c r="B10" s="204"/>
    </row>
    <row r="11" spans="1:8" x14ac:dyDescent="0.3">
      <c r="A11" s="8" t="s">
        <v>239</v>
      </c>
      <c r="B11" s="8" t="s">
        <v>237</v>
      </c>
    </row>
    <row r="12" spans="1:8" x14ac:dyDescent="0.3">
      <c r="A12" s="67" t="s">
        <v>379</v>
      </c>
      <c r="B12" s="67" t="s">
        <v>379</v>
      </c>
    </row>
    <row r="13" spans="1:8" x14ac:dyDescent="0.3">
      <c r="A13" s="67" t="s">
        <v>380</v>
      </c>
      <c r="B13" s="67" t="s">
        <v>380</v>
      </c>
    </row>
    <row r="14" spans="1:8" x14ac:dyDescent="0.3">
      <c r="A14" s="67" t="s">
        <v>381</v>
      </c>
      <c r="B14" s="67" t="s">
        <v>381</v>
      </c>
    </row>
    <row r="15" spans="1:8" x14ac:dyDescent="0.3">
      <c r="A15" s="67" t="s">
        <v>382</v>
      </c>
      <c r="B15" s="67" t="s">
        <v>395</v>
      </c>
    </row>
    <row r="16" spans="1:8" x14ac:dyDescent="0.3">
      <c r="A16" s="67" t="s">
        <v>383</v>
      </c>
      <c r="B16" s="67" t="s">
        <v>395</v>
      </c>
    </row>
    <row r="17" spans="1:2" x14ac:dyDescent="0.3">
      <c r="A17" s="67" t="s">
        <v>384</v>
      </c>
      <c r="B17" s="67" t="s">
        <v>395</v>
      </c>
    </row>
    <row r="18" spans="1:2" x14ac:dyDescent="0.3">
      <c r="A18" s="67" t="s">
        <v>385</v>
      </c>
      <c r="B18" s="67" t="s">
        <v>395</v>
      </c>
    </row>
    <row r="19" spans="1:2" x14ac:dyDescent="0.3">
      <c r="A19" s="67" t="s">
        <v>386</v>
      </c>
      <c r="B19" s="67" t="s">
        <v>395</v>
      </c>
    </row>
    <row r="20" spans="1:2" x14ac:dyDescent="0.3">
      <c r="A20" s="67" t="s">
        <v>228</v>
      </c>
      <c r="B20" s="67" t="s">
        <v>228</v>
      </c>
    </row>
    <row r="21" spans="1:2" x14ac:dyDescent="0.3">
      <c r="A21" s="67" t="s">
        <v>327</v>
      </c>
      <c r="B21" s="67" t="s">
        <v>327</v>
      </c>
    </row>
    <row r="22" spans="1:2" x14ac:dyDescent="0.3">
      <c r="A22" s="67" t="s">
        <v>387</v>
      </c>
      <c r="B22" s="67" t="s">
        <v>387</v>
      </c>
    </row>
    <row r="23" spans="1:2" x14ac:dyDescent="0.3">
      <c r="A23" s="67" t="s">
        <v>388</v>
      </c>
      <c r="B23" s="67" t="s">
        <v>387</v>
      </c>
    </row>
    <row r="24" spans="1:2" x14ac:dyDescent="0.3">
      <c r="A24" s="67" t="s">
        <v>389</v>
      </c>
      <c r="B24" s="67" t="s">
        <v>389</v>
      </c>
    </row>
    <row r="25" spans="1:2" x14ac:dyDescent="0.3">
      <c r="A25" s="67" t="s">
        <v>390</v>
      </c>
      <c r="B25" s="68" t="s">
        <v>391</v>
      </c>
    </row>
    <row r="26" spans="1:2" x14ac:dyDescent="0.3">
      <c r="A26" s="67" t="s">
        <v>391</v>
      </c>
      <c r="B26" s="68" t="s">
        <v>391</v>
      </c>
    </row>
    <row r="27" spans="1:2" x14ac:dyDescent="0.3">
      <c r="A27" s="67" t="s">
        <v>392</v>
      </c>
      <c r="B27" s="67" t="s">
        <v>392</v>
      </c>
    </row>
    <row r="28" spans="1:2" x14ac:dyDescent="0.3">
      <c r="A28" s="67" t="s">
        <v>393</v>
      </c>
      <c r="B28" s="67" t="s">
        <v>393</v>
      </c>
    </row>
    <row r="29" spans="1:2" x14ac:dyDescent="0.3">
      <c r="A29" s="67" t="s">
        <v>223</v>
      </c>
      <c r="B29" s="67" t="s">
        <v>396</v>
      </c>
    </row>
    <row r="30" spans="1:2" x14ac:dyDescent="0.3">
      <c r="A30" s="67" t="s">
        <v>394</v>
      </c>
      <c r="B30" s="67" t="s">
        <v>396</v>
      </c>
    </row>
  </sheetData>
  <mergeCells count="1">
    <mergeCell ref="A10:B10"/>
  </mergeCells>
  <hyperlinks>
    <hyperlink ref="A1" location="Index!A1" display="Index" xr:uid="{00000000-0004-0000-0800-000000000000}"/>
  </hyperlinks>
  <pageMargins left="0.7" right="0.7" top="0.75" bottom="0.75" header="0.3" footer="0.3"/>
  <pageSetup paperSize="9" orientation="portrait" horizontalDpi="4294967293" verticalDpi="4294967293"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92D050"/>
  </sheetPr>
  <dimension ref="A1:I20"/>
  <sheetViews>
    <sheetView zoomScaleNormal="100" workbookViewId="0">
      <selection activeCell="B1" sqref="B1"/>
    </sheetView>
  </sheetViews>
  <sheetFormatPr defaultColWidth="21.33203125" defaultRowHeight="14.4" x14ac:dyDescent="0.3"/>
  <cols>
    <col min="1" max="1" width="46.6640625" bestFit="1" customWidth="1"/>
    <col min="2" max="2" width="16.109375" customWidth="1"/>
    <col min="3" max="3" width="15.33203125" style="43" customWidth="1"/>
    <col min="4" max="4" width="41.6640625" style="2" bestFit="1" customWidth="1"/>
    <col min="5" max="5" width="9.109375" style="2" customWidth="1"/>
    <col min="6" max="6" width="26.5546875" style="2" bestFit="1" customWidth="1"/>
    <col min="7" max="7" width="17.6640625" customWidth="1"/>
    <col min="8" max="8" width="20.6640625" customWidth="1"/>
    <col min="9" max="9" width="30.6640625" bestFit="1" customWidth="1"/>
  </cols>
  <sheetData>
    <row r="1" spans="1:9" x14ac:dyDescent="0.3">
      <c r="A1" s="5" t="s">
        <v>5</v>
      </c>
    </row>
    <row r="3" spans="1:9" x14ac:dyDescent="0.3">
      <c r="A3" s="10" t="s">
        <v>15</v>
      </c>
      <c r="B3" s="10" t="s">
        <v>16</v>
      </c>
      <c r="C3" s="10" t="s">
        <v>494</v>
      </c>
      <c r="D3" s="10" t="s">
        <v>7</v>
      </c>
      <c r="E3" s="10" t="s">
        <v>55</v>
      </c>
      <c r="F3" s="10" t="s">
        <v>98</v>
      </c>
      <c r="G3" s="10" t="s">
        <v>17</v>
      </c>
      <c r="H3" s="10" t="s">
        <v>255</v>
      </c>
      <c r="I3" s="10" t="s">
        <v>256</v>
      </c>
    </row>
    <row r="4" spans="1:9" x14ac:dyDescent="0.3">
      <c r="A4" s="78" t="s">
        <v>499</v>
      </c>
      <c r="B4" s="78" t="s">
        <v>20</v>
      </c>
      <c r="C4" s="79"/>
      <c r="D4" s="80" t="s">
        <v>411</v>
      </c>
      <c r="E4" s="80" t="s">
        <v>154</v>
      </c>
      <c r="F4" s="80"/>
      <c r="G4" s="75">
        <v>2018</v>
      </c>
      <c r="H4" s="75">
        <v>2018</v>
      </c>
      <c r="I4" s="78"/>
    </row>
    <row r="5" spans="1:9" x14ac:dyDescent="0.3">
      <c r="A5" s="78" t="s">
        <v>500</v>
      </c>
      <c r="B5" s="78" t="s">
        <v>66</v>
      </c>
      <c r="C5" s="79"/>
      <c r="D5" s="80" t="s">
        <v>130</v>
      </c>
      <c r="E5" s="80" t="s">
        <v>157</v>
      </c>
      <c r="F5" s="80"/>
      <c r="G5" s="75" t="s">
        <v>535</v>
      </c>
      <c r="H5" s="75" t="s">
        <v>538</v>
      </c>
      <c r="I5" s="78"/>
    </row>
    <row r="6" spans="1:9" ht="28.8" x14ac:dyDescent="0.3">
      <c r="A6" t="s">
        <v>501</v>
      </c>
      <c r="B6" t="s">
        <v>61</v>
      </c>
      <c r="D6" s="2" t="s">
        <v>238</v>
      </c>
      <c r="G6" s="75" t="s">
        <v>379</v>
      </c>
      <c r="H6" s="75" t="s">
        <v>387</v>
      </c>
    </row>
    <row r="7" spans="1:9" x14ac:dyDescent="0.3">
      <c r="A7" t="s">
        <v>502</v>
      </c>
      <c r="B7" t="s">
        <v>61</v>
      </c>
      <c r="D7" s="2" t="s">
        <v>240</v>
      </c>
      <c r="G7" s="47" t="s">
        <v>379</v>
      </c>
      <c r="H7" s="47" t="s">
        <v>387</v>
      </c>
    </row>
    <row r="8" spans="1:9" ht="28.8" x14ac:dyDescent="0.3">
      <c r="A8" t="s">
        <v>503</v>
      </c>
      <c r="B8" t="s">
        <v>61</v>
      </c>
      <c r="D8" s="2" t="s">
        <v>242</v>
      </c>
      <c r="G8" s="47" t="s">
        <v>536</v>
      </c>
      <c r="H8" s="47" t="s">
        <v>137</v>
      </c>
    </row>
    <row r="9" spans="1:9" x14ac:dyDescent="0.3">
      <c r="A9" t="s">
        <v>504</v>
      </c>
      <c r="B9" t="s">
        <v>61</v>
      </c>
      <c r="D9" s="2" t="s">
        <v>244</v>
      </c>
      <c r="G9" s="47" t="s">
        <v>288</v>
      </c>
      <c r="H9" s="47" t="s">
        <v>539</v>
      </c>
    </row>
    <row r="10" spans="1:9" x14ac:dyDescent="0.3">
      <c r="A10" t="s">
        <v>505</v>
      </c>
      <c r="B10" t="s">
        <v>61</v>
      </c>
      <c r="D10" s="2" t="s">
        <v>245</v>
      </c>
      <c r="G10" s="75" t="s">
        <v>288</v>
      </c>
      <c r="H10" s="75" t="s">
        <v>288</v>
      </c>
    </row>
    <row r="11" spans="1:9" ht="43.2" x14ac:dyDescent="0.3">
      <c r="A11" t="s">
        <v>506</v>
      </c>
      <c r="B11" t="s">
        <v>61</v>
      </c>
      <c r="D11" s="2" t="s">
        <v>246</v>
      </c>
      <c r="G11" s="75" t="s">
        <v>537</v>
      </c>
      <c r="H11" s="75">
        <v>3</v>
      </c>
    </row>
    <row r="12" spans="1:9" ht="43.2" x14ac:dyDescent="0.3">
      <c r="A12" t="s">
        <v>507</v>
      </c>
      <c r="B12" t="s">
        <v>249</v>
      </c>
      <c r="D12" s="2" t="s">
        <v>250</v>
      </c>
      <c r="G12" s="75" t="s">
        <v>225</v>
      </c>
      <c r="H12" s="75" t="s">
        <v>225</v>
      </c>
    </row>
    <row r="13" spans="1:9" x14ac:dyDescent="0.3">
      <c r="A13" t="s">
        <v>508</v>
      </c>
      <c r="B13" t="s">
        <v>61</v>
      </c>
      <c r="D13" s="2" t="s">
        <v>252</v>
      </c>
      <c r="G13" s="75" t="s">
        <v>288</v>
      </c>
      <c r="H13" s="75" t="s">
        <v>288</v>
      </c>
    </row>
    <row r="14" spans="1:9" x14ac:dyDescent="0.3">
      <c r="A14" t="s">
        <v>509</v>
      </c>
      <c r="B14" t="s">
        <v>300</v>
      </c>
      <c r="D14" s="2" t="s">
        <v>301</v>
      </c>
      <c r="G14" s="75">
        <v>-1</v>
      </c>
      <c r="H14" s="75">
        <v>3050</v>
      </c>
    </row>
    <row r="15" spans="1:9" x14ac:dyDescent="0.3">
      <c r="A15" t="s">
        <v>510</v>
      </c>
      <c r="B15" t="s">
        <v>300</v>
      </c>
      <c r="D15" s="2" t="s">
        <v>303</v>
      </c>
      <c r="G15" s="75">
        <v>25</v>
      </c>
      <c r="H15" s="75">
        <v>2030</v>
      </c>
    </row>
    <row r="16" spans="1:9" x14ac:dyDescent="0.3">
      <c r="A16" t="s">
        <v>511</v>
      </c>
      <c r="B16" t="s">
        <v>300</v>
      </c>
      <c r="D16" s="2" t="s">
        <v>305</v>
      </c>
      <c r="G16" s="75">
        <v>25</v>
      </c>
      <c r="H16" s="75">
        <v>-1</v>
      </c>
    </row>
    <row r="17" spans="1:9" x14ac:dyDescent="0.3">
      <c r="A17" t="s">
        <v>512</v>
      </c>
      <c r="B17" t="s">
        <v>300</v>
      </c>
      <c r="D17" s="2" t="s">
        <v>307</v>
      </c>
      <c r="G17" s="75">
        <v>-1</v>
      </c>
      <c r="H17" s="75">
        <v>-1</v>
      </c>
    </row>
    <row r="18" spans="1:9" x14ac:dyDescent="0.3">
      <c r="A18" t="s">
        <v>513</v>
      </c>
      <c r="B18" t="s">
        <v>300</v>
      </c>
      <c r="D18" s="2" t="s">
        <v>309</v>
      </c>
      <c r="G18" s="75">
        <v>2.2000000000000002</v>
      </c>
      <c r="H18" s="75">
        <v>3</v>
      </c>
    </row>
    <row r="19" spans="1:9" ht="28.8" x14ac:dyDescent="0.3">
      <c r="A19" t="s">
        <v>514</v>
      </c>
      <c r="B19" t="s">
        <v>66</v>
      </c>
      <c r="D19" s="2" t="s">
        <v>317</v>
      </c>
      <c r="G19" s="75" t="s">
        <v>408</v>
      </c>
      <c r="H19" s="75" t="s">
        <v>226</v>
      </c>
    </row>
    <row r="20" spans="1:9" x14ac:dyDescent="0.3">
      <c r="A20" s="39" t="s">
        <v>19</v>
      </c>
      <c r="B20" s="39" t="s">
        <v>20</v>
      </c>
      <c r="C20" s="39"/>
      <c r="D20" s="44" t="s">
        <v>257</v>
      </c>
      <c r="E20" s="40"/>
      <c r="F20" s="83" t="s">
        <v>30</v>
      </c>
      <c r="G20" s="75">
        <v>2</v>
      </c>
      <c r="H20" s="75">
        <v>2</v>
      </c>
      <c r="I20" s="40"/>
    </row>
  </sheetData>
  <hyperlinks>
    <hyperlink ref="A1" location="Index!A1" display="Index" xr:uid="{00000000-0004-0000-0900-000000000000}"/>
    <hyperlink ref="F20" location="'Process Metadata'!A1" display="Import_Batch_Process_Task" xr:uid="{00000000-0004-0000-0900-000001000000}"/>
  </hyperlinks>
  <pageMargins left="0.7" right="0.7" top="0.75" bottom="0.75" header="0.3" footer="0.3"/>
  <pageSetup paperSize="9" orientation="portrait" horizontalDpi="4294967293" verticalDpi="4294967293"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92D050"/>
  </sheetPr>
  <dimension ref="A1:I21"/>
  <sheetViews>
    <sheetView zoomScaleNormal="100" workbookViewId="0"/>
  </sheetViews>
  <sheetFormatPr defaultColWidth="21.33203125" defaultRowHeight="14.4" x14ac:dyDescent="0.3"/>
  <cols>
    <col min="1" max="1" width="32.109375" customWidth="1"/>
    <col min="2" max="2" width="16.109375" customWidth="1"/>
    <col min="3" max="3" width="10" style="66" customWidth="1"/>
    <col min="4" max="4" width="55.109375" style="2" customWidth="1"/>
    <col min="5" max="5" width="8.88671875" style="2" customWidth="1"/>
    <col min="6" max="6" width="20.6640625" style="2" customWidth="1"/>
    <col min="7" max="7" width="20.109375" bestFit="1" customWidth="1"/>
    <col min="8" max="8" width="38.44140625" bestFit="1" customWidth="1"/>
    <col min="9" max="9" width="57" style="2" customWidth="1"/>
  </cols>
  <sheetData>
    <row r="1" spans="1:9" x14ac:dyDescent="0.3">
      <c r="A1" s="5" t="s">
        <v>5</v>
      </c>
      <c r="B1" t="s">
        <v>413</v>
      </c>
      <c r="D1" s="81" t="s">
        <v>416</v>
      </c>
    </row>
    <row r="3" spans="1:9" s="2" customFormat="1" ht="28.8" x14ac:dyDescent="0.3">
      <c r="A3" s="10" t="s">
        <v>15</v>
      </c>
      <c r="B3" s="10" t="s">
        <v>16</v>
      </c>
      <c r="C3" s="10" t="s">
        <v>494</v>
      </c>
      <c r="D3" s="10" t="s">
        <v>7</v>
      </c>
      <c r="E3" s="10" t="s">
        <v>55</v>
      </c>
      <c r="F3" s="10" t="s">
        <v>98</v>
      </c>
      <c r="G3" s="10" t="s">
        <v>17</v>
      </c>
      <c r="H3" s="10" t="s">
        <v>255</v>
      </c>
      <c r="I3" s="10" t="s">
        <v>256</v>
      </c>
    </row>
    <row r="4" spans="1:9" ht="43.2" x14ac:dyDescent="0.3">
      <c r="A4" s="78" t="s">
        <v>415</v>
      </c>
      <c r="B4" s="78" t="s">
        <v>61</v>
      </c>
      <c r="C4" s="79"/>
      <c r="D4" s="80" t="s">
        <v>419</v>
      </c>
      <c r="E4" s="80" t="s">
        <v>55</v>
      </c>
      <c r="F4" s="80"/>
      <c r="G4" s="75" t="s">
        <v>541</v>
      </c>
      <c r="H4" s="75" t="s">
        <v>548</v>
      </c>
      <c r="I4" s="80" t="s">
        <v>416</v>
      </c>
    </row>
    <row r="5" spans="1:9" x14ac:dyDescent="0.3">
      <c r="A5" t="s">
        <v>271</v>
      </c>
      <c r="B5" t="s">
        <v>20</v>
      </c>
      <c r="C5" s="71"/>
      <c r="D5" s="2" t="s">
        <v>441</v>
      </c>
      <c r="F5" s="82" t="s">
        <v>493</v>
      </c>
      <c r="G5" s="75">
        <v>2018</v>
      </c>
      <c r="H5" s="75">
        <v>2018</v>
      </c>
    </row>
    <row r="6" spans="1:9" x14ac:dyDescent="0.3">
      <c r="A6" t="s">
        <v>517</v>
      </c>
      <c r="B6" t="s">
        <v>66</v>
      </c>
      <c r="D6" s="2" t="s">
        <v>420</v>
      </c>
      <c r="F6" s="82" t="s">
        <v>493</v>
      </c>
      <c r="G6" s="75" t="s">
        <v>542</v>
      </c>
      <c r="H6" s="75" t="s">
        <v>549</v>
      </c>
    </row>
    <row r="7" spans="1:9" x14ac:dyDescent="0.3">
      <c r="A7" t="s">
        <v>518</v>
      </c>
      <c r="B7" t="s">
        <v>36</v>
      </c>
      <c r="D7" s="2" t="s">
        <v>421</v>
      </c>
      <c r="G7" s="47" t="s">
        <v>288</v>
      </c>
      <c r="H7" s="75" t="s">
        <v>550</v>
      </c>
    </row>
    <row r="8" spans="1:9" x14ac:dyDescent="0.3">
      <c r="A8" t="s">
        <v>519</v>
      </c>
      <c r="B8" t="s">
        <v>310</v>
      </c>
      <c r="C8" s="66" t="s">
        <v>11</v>
      </c>
      <c r="D8" s="2" t="s">
        <v>424</v>
      </c>
      <c r="G8" s="47">
        <v>0</v>
      </c>
      <c r="H8" s="75" t="s">
        <v>325</v>
      </c>
    </row>
    <row r="9" spans="1:9" ht="28.8" x14ac:dyDescent="0.3">
      <c r="A9" t="s">
        <v>520</v>
      </c>
      <c r="B9" t="s">
        <v>36</v>
      </c>
      <c r="D9" s="2" t="s">
        <v>423</v>
      </c>
      <c r="G9" s="47" t="s">
        <v>543</v>
      </c>
      <c r="H9" s="75" t="s">
        <v>551</v>
      </c>
      <c r="I9" s="2" t="s">
        <v>426</v>
      </c>
    </row>
    <row r="10" spans="1:9" x14ac:dyDescent="0.3">
      <c r="A10" t="s">
        <v>521</v>
      </c>
      <c r="B10" t="s">
        <v>310</v>
      </c>
      <c r="C10" s="75" t="s">
        <v>11</v>
      </c>
      <c r="D10" s="2" t="s">
        <v>425</v>
      </c>
      <c r="G10" s="75" t="s">
        <v>325</v>
      </c>
      <c r="H10" s="75" t="s">
        <v>325</v>
      </c>
    </row>
    <row r="11" spans="1:9" ht="28.8" x14ac:dyDescent="0.3">
      <c r="A11" t="s">
        <v>522</v>
      </c>
      <c r="B11" t="s">
        <v>36</v>
      </c>
      <c r="C11" s="71"/>
      <c r="D11" s="2" t="s">
        <v>428</v>
      </c>
      <c r="G11" s="75" t="s">
        <v>544</v>
      </c>
      <c r="H11" s="75" t="s">
        <v>544</v>
      </c>
      <c r="I11" s="2" t="s">
        <v>429</v>
      </c>
    </row>
    <row r="12" spans="1:9" x14ac:dyDescent="0.3">
      <c r="A12" t="s">
        <v>523</v>
      </c>
      <c r="B12" t="s">
        <v>67</v>
      </c>
      <c r="C12" s="75" t="s">
        <v>11</v>
      </c>
      <c r="D12" s="2" t="s">
        <v>315</v>
      </c>
      <c r="G12" s="47" t="s">
        <v>325</v>
      </c>
      <c r="H12" s="75">
        <v>18</v>
      </c>
    </row>
    <row r="13" spans="1:9" ht="28.8" x14ac:dyDescent="0.3">
      <c r="A13" t="s">
        <v>524</v>
      </c>
      <c r="B13" t="s">
        <v>36</v>
      </c>
      <c r="D13" s="2" t="s">
        <v>430</v>
      </c>
      <c r="G13" s="75" t="s">
        <v>545</v>
      </c>
      <c r="H13" s="75" t="s">
        <v>552</v>
      </c>
      <c r="I13" s="2" t="s">
        <v>431</v>
      </c>
    </row>
    <row r="14" spans="1:9" x14ac:dyDescent="0.3">
      <c r="A14" t="s">
        <v>525</v>
      </c>
      <c r="B14" t="s">
        <v>138</v>
      </c>
      <c r="C14" s="75" t="s">
        <v>11</v>
      </c>
      <c r="D14" s="2" t="s">
        <v>318</v>
      </c>
      <c r="G14" s="75" t="s">
        <v>325</v>
      </c>
      <c r="H14" s="75" t="s">
        <v>325</v>
      </c>
    </row>
    <row r="15" spans="1:9" ht="28.8" x14ac:dyDescent="0.3">
      <c r="A15" t="s">
        <v>526</v>
      </c>
      <c r="B15" t="s">
        <v>36</v>
      </c>
      <c r="D15" s="2" t="s">
        <v>433</v>
      </c>
      <c r="G15" s="75" t="s">
        <v>546</v>
      </c>
      <c r="H15" s="75" t="s">
        <v>546</v>
      </c>
      <c r="I15" s="2" t="s">
        <v>434</v>
      </c>
    </row>
    <row r="16" spans="1:9" x14ac:dyDescent="0.3">
      <c r="A16" t="s">
        <v>527</v>
      </c>
      <c r="B16" t="s">
        <v>300</v>
      </c>
      <c r="C16" s="75" t="s">
        <v>11</v>
      </c>
      <c r="D16" s="2" t="s">
        <v>320</v>
      </c>
      <c r="G16" s="75">
        <v>43.83</v>
      </c>
      <c r="H16" s="75">
        <v>28.75</v>
      </c>
    </row>
    <row r="17" spans="1:9" ht="28.8" x14ac:dyDescent="0.3">
      <c r="A17" t="s">
        <v>528</v>
      </c>
      <c r="B17" t="s">
        <v>36</v>
      </c>
      <c r="D17" s="2" t="s">
        <v>436</v>
      </c>
      <c r="G17" s="75" t="s">
        <v>547</v>
      </c>
      <c r="H17" s="75" t="s">
        <v>547</v>
      </c>
      <c r="I17" s="2" t="s">
        <v>437</v>
      </c>
    </row>
    <row r="18" spans="1:9" x14ac:dyDescent="0.3">
      <c r="A18" t="s">
        <v>540</v>
      </c>
      <c r="B18" t="s">
        <v>300</v>
      </c>
      <c r="D18" s="2" t="s">
        <v>321</v>
      </c>
      <c r="G18" s="75">
        <v>0.14000000000000001</v>
      </c>
      <c r="H18" s="75">
        <v>0.14000000000000001</v>
      </c>
    </row>
    <row r="19" spans="1:9" x14ac:dyDescent="0.3">
      <c r="A19" t="s">
        <v>529</v>
      </c>
      <c r="B19" t="s">
        <v>61</v>
      </c>
      <c r="D19" s="2" t="s">
        <v>438</v>
      </c>
      <c r="G19" s="84">
        <v>0.14000000000000001</v>
      </c>
      <c r="H19" s="84">
        <v>0.14000000000000001</v>
      </c>
      <c r="I19" s="2" t="s">
        <v>439</v>
      </c>
    </row>
    <row r="20" spans="1:9" ht="28.8" x14ac:dyDescent="0.3">
      <c r="A20" s="2" t="s">
        <v>530</v>
      </c>
      <c r="B20" t="s">
        <v>138</v>
      </c>
      <c r="D20" s="2" t="s">
        <v>323</v>
      </c>
      <c r="G20" s="75">
        <v>0</v>
      </c>
      <c r="H20" s="75">
        <v>453.94736840000002</v>
      </c>
    </row>
    <row r="21" spans="1:9" x14ac:dyDescent="0.3">
      <c r="A21" s="39" t="s">
        <v>19</v>
      </c>
      <c r="B21" s="39" t="s">
        <v>20</v>
      </c>
      <c r="C21" s="39"/>
      <c r="D21" s="44" t="s">
        <v>257</v>
      </c>
      <c r="E21" s="40"/>
      <c r="F21" s="83" t="s">
        <v>30</v>
      </c>
      <c r="G21" s="75">
        <v>2</v>
      </c>
      <c r="H21" s="75">
        <v>2</v>
      </c>
    </row>
  </sheetData>
  <hyperlinks>
    <hyperlink ref="A1" location="Index!A1" display="Index" xr:uid="{00000000-0004-0000-0A00-000000000000}"/>
    <hyperlink ref="F5" location="S2_MM_Material!A1" display="S2_MM_Material!A1" xr:uid="{00000000-0004-0000-0A00-000001000000}"/>
    <hyperlink ref="F6" location="S2_MM_Material!A1" display="S2_MM_Material!A1" xr:uid="{00000000-0004-0000-0A00-000002000000}"/>
    <hyperlink ref="F21" location="'Process Metadata'!A1" display="Import_Batch_Process_Task" xr:uid="{00000000-0004-0000-0A00-000003000000}"/>
  </hyperlinks>
  <pageMargins left="0.7" right="0.7" top="0.75" bottom="0.75" header="0.3" footer="0.3"/>
  <pageSetup paperSize="9" orientation="portrait" horizontalDpi="4294967293" verticalDpi="4294967293"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92D050"/>
  </sheetPr>
  <dimension ref="A1:J40"/>
  <sheetViews>
    <sheetView workbookViewId="0"/>
  </sheetViews>
  <sheetFormatPr defaultRowHeight="14.4" x14ac:dyDescent="0.3"/>
  <cols>
    <col min="1" max="1" width="25.88671875" customWidth="1"/>
    <col min="2" max="2" width="12" bestFit="1" customWidth="1"/>
    <col min="3" max="3" width="11" bestFit="1" customWidth="1"/>
    <col min="4" max="4" width="3.33203125" bestFit="1" customWidth="1"/>
    <col min="5" max="5" width="3.109375" bestFit="1" customWidth="1"/>
    <col min="6" max="6" width="54.5546875" customWidth="1"/>
    <col min="10" max="10" width="106.109375" customWidth="1"/>
  </cols>
  <sheetData>
    <row r="1" spans="1:10" x14ac:dyDescent="0.3">
      <c r="A1" s="1" t="s">
        <v>5</v>
      </c>
    </row>
    <row r="3" spans="1:10" x14ac:dyDescent="0.3">
      <c r="A3" t="s">
        <v>465</v>
      </c>
    </row>
    <row r="5" spans="1:10" x14ac:dyDescent="0.3">
      <c r="A5" s="111" t="s">
        <v>25</v>
      </c>
      <c r="F5" s="111" t="s">
        <v>605</v>
      </c>
      <c r="J5" s="8" t="s">
        <v>466</v>
      </c>
    </row>
    <row r="6" spans="1:10" ht="15.75" customHeight="1" x14ac:dyDescent="0.3">
      <c r="A6" s="16" t="s">
        <v>15</v>
      </c>
      <c r="B6" s="16" t="s">
        <v>16</v>
      </c>
      <c r="C6" s="16" t="s">
        <v>97</v>
      </c>
      <c r="D6" s="16" t="s">
        <v>55</v>
      </c>
      <c r="E6" s="16" t="s">
        <v>98</v>
      </c>
      <c r="F6" s="16" t="s">
        <v>7</v>
      </c>
      <c r="J6" s="205" t="s">
        <v>467</v>
      </c>
    </row>
    <row r="7" spans="1:10" x14ac:dyDescent="0.3">
      <c r="A7" t="s">
        <v>96</v>
      </c>
      <c r="B7" t="s">
        <v>20</v>
      </c>
      <c r="D7" t="s">
        <v>11</v>
      </c>
      <c r="F7" t="s">
        <v>95</v>
      </c>
      <c r="J7" s="205"/>
    </row>
    <row r="8" spans="1:10" x14ac:dyDescent="0.3">
      <c r="A8" t="s">
        <v>94</v>
      </c>
      <c r="B8" t="s">
        <v>36</v>
      </c>
      <c r="F8" t="s">
        <v>93</v>
      </c>
      <c r="J8" s="205"/>
    </row>
    <row r="9" spans="1:10" x14ac:dyDescent="0.3">
      <c r="A9" t="s">
        <v>92</v>
      </c>
      <c r="B9" t="s">
        <v>67</v>
      </c>
      <c r="F9" t="s">
        <v>462</v>
      </c>
      <c r="J9" s="205"/>
    </row>
    <row r="10" spans="1:10" x14ac:dyDescent="0.3">
      <c r="A10" t="s">
        <v>91</v>
      </c>
      <c r="B10" t="s">
        <v>67</v>
      </c>
      <c r="F10" t="s">
        <v>463</v>
      </c>
      <c r="J10" s="205"/>
    </row>
    <row r="11" spans="1:10" x14ac:dyDescent="0.3">
      <c r="A11" t="s">
        <v>90</v>
      </c>
      <c r="B11" t="s">
        <v>87</v>
      </c>
      <c r="F11" t="s">
        <v>89</v>
      </c>
      <c r="J11" s="205"/>
    </row>
    <row r="12" spans="1:10" x14ac:dyDescent="0.3">
      <c r="A12" t="s">
        <v>88</v>
      </c>
      <c r="B12" t="s">
        <v>87</v>
      </c>
      <c r="C12" t="s">
        <v>11</v>
      </c>
      <c r="F12" t="s">
        <v>86</v>
      </c>
      <c r="J12" s="205"/>
    </row>
    <row r="13" spans="1:10" x14ac:dyDescent="0.3">
      <c r="A13" t="s">
        <v>85</v>
      </c>
      <c r="B13" t="s">
        <v>66</v>
      </c>
      <c r="F13" t="s">
        <v>84</v>
      </c>
      <c r="J13" s="205"/>
    </row>
    <row r="16" spans="1:10" x14ac:dyDescent="0.3">
      <c r="A16" s="111" t="s">
        <v>27</v>
      </c>
      <c r="F16" s="111" t="s">
        <v>606</v>
      </c>
    </row>
    <row r="17" spans="1:6" x14ac:dyDescent="0.3">
      <c r="A17" s="16" t="s">
        <v>15</v>
      </c>
      <c r="B17" s="16" t="s">
        <v>16</v>
      </c>
      <c r="C17" s="16" t="s">
        <v>97</v>
      </c>
      <c r="D17" s="16" t="s">
        <v>55</v>
      </c>
      <c r="E17" s="16" t="s">
        <v>98</v>
      </c>
      <c r="F17" s="16" t="s">
        <v>7</v>
      </c>
    </row>
    <row r="18" spans="1:6" x14ac:dyDescent="0.3">
      <c r="A18" t="s">
        <v>99</v>
      </c>
      <c r="B18" t="s">
        <v>20</v>
      </c>
      <c r="D18" t="s">
        <v>11</v>
      </c>
      <c r="F18" s="2" t="s">
        <v>100</v>
      </c>
    </row>
    <row r="19" spans="1:6" x14ac:dyDescent="0.3">
      <c r="A19" t="s">
        <v>96</v>
      </c>
      <c r="B19" t="s">
        <v>20</v>
      </c>
      <c r="E19" t="s">
        <v>11</v>
      </c>
      <c r="F19" t="s">
        <v>101</v>
      </c>
    </row>
    <row r="20" spans="1:6" x14ac:dyDescent="0.3">
      <c r="A20" t="s">
        <v>102</v>
      </c>
      <c r="B20" t="s">
        <v>36</v>
      </c>
      <c r="F20" t="s">
        <v>93</v>
      </c>
    </row>
    <row r="21" spans="1:6" x14ac:dyDescent="0.3">
      <c r="A21" t="s">
        <v>103</v>
      </c>
      <c r="B21" t="s">
        <v>87</v>
      </c>
      <c r="F21" t="s">
        <v>89</v>
      </c>
    </row>
    <row r="22" spans="1:6" x14ac:dyDescent="0.3">
      <c r="A22" t="s">
        <v>104</v>
      </c>
      <c r="B22" t="s">
        <v>87</v>
      </c>
      <c r="C22" t="s">
        <v>11</v>
      </c>
      <c r="F22" t="s">
        <v>86</v>
      </c>
    </row>
    <row r="23" spans="1:6" x14ac:dyDescent="0.3">
      <c r="A23" t="s">
        <v>105</v>
      </c>
      <c r="B23" t="s">
        <v>66</v>
      </c>
      <c r="F23" t="s">
        <v>84</v>
      </c>
    </row>
    <row r="25" spans="1:6" x14ac:dyDescent="0.3">
      <c r="A25" s="111" t="s">
        <v>30</v>
      </c>
      <c r="F25" s="111" t="s">
        <v>607</v>
      </c>
    </row>
    <row r="26" spans="1:6" x14ac:dyDescent="0.3">
      <c r="A26" s="16" t="s">
        <v>15</v>
      </c>
      <c r="B26" s="16" t="s">
        <v>16</v>
      </c>
      <c r="C26" s="16" t="s">
        <v>97</v>
      </c>
      <c r="D26" s="16" t="s">
        <v>55</v>
      </c>
      <c r="E26" s="16" t="s">
        <v>98</v>
      </c>
      <c r="F26" s="16" t="s">
        <v>7</v>
      </c>
    </row>
    <row r="27" spans="1:6" x14ac:dyDescent="0.3">
      <c r="A27" t="s">
        <v>19</v>
      </c>
      <c r="B27" t="s">
        <v>20</v>
      </c>
      <c r="D27" t="s">
        <v>11</v>
      </c>
      <c r="F27" t="s">
        <v>604</v>
      </c>
    </row>
    <row r="28" spans="1:6" x14ac:dyDescent="0.3">
      <c r="A28" t="s">
        <v>99</v>
      </c>
      <c r="B28" t="s">
        <v>20</v>
      </c>
      <c r="E28" t="s">
        <v>11</v>
      </c>
      <c r="F28" t="s">
        <v>106</v>
      </c>
    </row>
    <row r="29" spans="1:6" x14ac:dyDescent="0.3">
      <c r="A29" t="s">
        <v>107</v>
      </c>
      <c r="B29" t="s">
        <v>36</v>
      </c>
      <c r="F29" t="s">
        <v>108</v>
      </c>
    </row>
    <row r="30" spans="1:6" x14ac:dyDescent="0.3">
      <c r="A30" t="s">
        <v>109</v>
      </c>
      <c r="B30" t="s">
        <v>87</v>
      </c>
      <c r="F30" t="s">
        <v>89</v>
      </c>
    </row>
    <row r="31" spans="1:6" x14ac:dyDescent="0.3">
      <c r="A31" t="s">
        <v>110</v>
      </c>
      <c r="B31" t="s">
        <v>87</v>
      </c>
      <c r="C31" t="s">
        <v>11</v>
      </c>
      <c r="F31" t="s">
        <v>86</v>
      </c>
    </row>
    <row r="32" spans="1:6" x14ac:dyDescent="0.3">
      <c r="A32" t="s">
        <v>111</v>
      </c>
      <c r="B32" t="s">
        <v>66</v>
      </c>
      <c r="F32" t="s">
        <v>84</v>
      </c>
    </row>
    <row r="33" spans="1:6" x14ac:dyDescent="0.3">
      <c r="A33" t="s">
        <v>112</v>
      </c>
      <c r="B33" t="s">
        <v>20</v>
      </c>
      <c r="C33" t="s">
        <v>11</v>
      </c>
      <c r="F33" t="s">
        <v>113</v>
      </c>
    </row>
    <row r="34" spans="1:6" x14ac:dyDescent="0.3">
      <c r="A34" t="s">
        <v>114</v>
      </c>
      <c r="B34" t="s">
        <v>20</v>
      </c>
      <c r="C34" t="s">
        <v>11</v>
      </c>
      <c r="F34" t="s">
        <v>115</v>
      </c>
    </row>
    <row r="35" spans="1:6" x14ac:dyDescent="0.3">
      <c r="A35" t="s">
        <v>116</v>
      </c>
      <c r="B35" t="s">
        <v>20</v>
      </c>
      <c r="C35" t="s">
        <v>11</v>
      </c>
      <c r="F35" t="s">
        <v>117</v>
      </c>
    </row>
    <row r="36" spans="1:6" x14ac:dyDescent="0.3">
      <c r="A36" s="17" t="s">
        <v>608</v>
      </c>
      <c r="B36" s="17" t="s">
        <v>20</v>
      </c>
      <c r="C36" s="17" t="s">
        <v>11</v>
      </c>
      <c r="D36" s="17"/>
      <c r="E36" s="17"/>
      <c r="F36" s="17" t="s">
        <v>609</v>
      </c>
    </row>
    <row r="37" spans="1:6" x14ac:dyDescent="0.3">
      <c r="A37" s="17" t="s">
        <v>610</v>
      </c>
      <c r="B37" s="17" t="s">
        <v>20</v>
      </c>
      <c r="C37" s="17" t="s">
        <v>11</v>
      </c>
      <c r="D37" s="17"/>
      <c r="E37" s="17"/>
      <c r="F37" s="17" t="s">
        <v>611</v>
      </c>
    </row>
    <row r="38" spans="1:6" x14ac:dyDescent="0.3">
      <c r="A38" s="17" t="s">
        <v>612</v>
      </c>
      <c r="B38" s="17" t="s">
        <v>20</v>
      </c>
      <c r="C38" s="17" t="s">
        <v>11</v>
      </c>
      <c r="D38" s="17"/>
      <c r="E38" s="17"/>
      <c r="F38" s="17" t="s">
        <v>614</v>
      </c>
    </row>
    <row r="39" spans="1:6" x14ac:dyDescent="0.3">
      <c r="A39" s="17" t="s">
        <v>613</v>
      </c>
      <c r="B39" s="17" t="s">
        <v>20</v>
      </c>
      <c r="C39" s="17" t="s">
        <v>11</v>
      </c>
      <c r="D39" s="17"/>
      <c r="E39" s="17"/>
      <c r="F39" s="17" t="s">
        <v>615</v>
      </c>
    </row>
    <row r="40" spans="1:6" x14ac:dyDescent="0.3">
      <c r="A40" s="17" t="s">
        <v>617</v>
      </c>
      <c r="B40" s="17" t="s">
        <v>20</v>
      </c>
      <c r="C40" s="17" t="s">
        <v>11</v>
      </c>
      <c r="D40" s="17"/>
      <c r="E40" s="17"/>
      <c r="F40" s="17" t="s">
        <v>618</v>
      </c>
    </row>
  </sheetData>
  <mergeCells count="1">
    <mergeCell ref="J6:J13"/>
  </mergeCells>
  <hyperlinks>
    <hyperlink ref="A1" location="Index!A1" display="Index" xr:uid="{00000000-0004-0000-1100-000000000000}"/>
  </hyperlinks>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94901AE2-789B-417D-94B1-48805EE7DE7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36</vt:i4>
      </vt:variant>
    </vt:vector>
  </HeadingPairs>
  <TitlesOfParts>
    <vt:vector size="36" baseType="lpstr">
      <vt:lpstr>Index</vt:lpstr>
      <vt:lpstr>Naming Conventions</vt:lpstr>
      <vt:lpstr>Bus Matrix</vt:lpstr>
      <vt:lpstr>AtomicDW</vt:lpstr>
      <vt:lpstr>Stock_Take_Fact</vt:lpstr>
      <vt:lpstr>Employee_TimeSheet_Fact</vt:lpstr>
      <vt:lpstr>Annual_Project_Costs_Analysis</vt:lpstr>
      <vt:lpstr>Date</vt:lpstr>
      <vt:lpstr>Date records</vt:lpstr>
      <vt:lpstr>Material</vt:lpstr>
      <vt:lpstr>Project</vt:lpstr>
      <vt:lpstr>Project_Status</vt:lpstr>
      <vt:lpstr>Employee</vt:lpstr>
      <vt:lpstr>Customer</vt:lpstr>
      <vt:lpstr>Stock_Take_Indicators</vt:lpstr>
      <vt:lpstr>Source Files</vt:lpstr>
      <vt:lpstr>SF_PW_Employees</vt:lpstr>
      <vt:lpstr>SF_PW_Employee_Timesheet</vt:lpstr>
      <vt:lpstr>SF_PW_Internal_Projects</vt:lpstr>
      <vt:lpstr>SF_PW_Customer_Department_Group</vt:lpstr>
      <vt:lpstr>SF_PW_Customer_Department</vt:lpstr>
      <vt:lpstr>SF_PW_Customer</vt:lpstr>
      <vt:lpstr>SF_MM_Stock_Take</vt:lpstr>
      <vt:lpstr>Stage1</vt:lpstr>
      <vt:lpstr>S1_PW_Customer</vt:lpstr>
      <vt:lpstr>S1_PW_Customer_Department</vt:lpstr>
      <vt:lpstr>S1_PW_Employees</vt:lpstr>
      <vt:lpstr>S1_PW_Internal_Projects</vt:lpstr>
      <vt:lpstr>S1_PW_Employee_Timesheet</vt:lpstr>
      <vt:lpstr>S1_PW_Customer_Department_Group</vt:lpstr>
      <vt:lpstr>S1_MM_Stock_Take</vt:lpstr>
      <vt:lpstr>Stage2</vt:lpstr>
      <vt:lpstr>S2_MM_Material_Group_Lookup</vt:lpstr>
      <vt:lpstr>S2_MM_Material</vt:lpstr>
      <vt:lpstr>S2_MM_Stock_Take</vt:lpstr>
      <vt:lpstr>Process Metadata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rkwuser</dc:creator>
  <cp:lastModifiedBy>User</cp:lastModifiedBy>
  <dcterms:created xsi:type="dcterms:W3CDTF">2019-03-09T12:20:41Z</dcterms:created>
  <dcterms:modified xsi:type="dcterms:W3CDTF">2022-06-03T12:44:55Z</dcterms:modified>
</cp:coreProperties>
</file>