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Llewellyn\Downloads\"/>
    </mc:Choice>
  </mc:AlternateContent>
  <xr:revisionPtr revIDLastSave="0" documentId="13_ncr:1_{0DF1BC5C-6A10-4D67-A331-BCCB53039800}" xr6:coauthVersionLast="47" xr6:coauthVersionMax="47" xr10:uidLastSave="{00000000-0000-0000-0000-000000000000}"/>
  <bookViews>
    <workbookView xWindow="-108" yWindow="-108" windowWidth="23256" windowHeight="12696" xr2:uid="{80DA2753-B0D5-4FCF-A6E3-3322D5713485}"/>
  </bookViews>
  <sheets>
    <sheet name="Rubric" sheetId="1" r:id="rId1"/>
  </sheets>
  <definedNames>
    <definedName name="Data" localSheetId="0">#REF!</definedName>
    <definedName name="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3" i="1" l="1"/>
  <c r="G22" i="1"/>
  <c r="G21" i="1"/>
  <c r="G20" i="1"/>
  <c r="G19" i="1"/>
  <c r="G18" i="1"/>
  <c r="G17" i="1"/>
  <c r="G16" i="1"/>
  <c r="G15" i="1" s="1"/>
  <c r="H15" i="1"/>
  <c r="G14" i="1"/>
  <c r="G13" i="1"/>
  <c r="G12" i="1" s="1"/>
  <c r="G24" i="1" s="1"/>
  <c r="H12" i="1"/>
  <c r="G11" i="1"/>
  <c r="G10" i="1"/>
  <c r="G9" i="1" s="1"/>
  <c r="H9" i="1"/>
  <c r="G8" i="1"/>
  <c r="G7" i="1"/>
  <c r="G6" i="1" s="1"/>
  <c r="H6" i="1"/>
  <c r="G5" i="1"/>
  <c r="G4" i="1"/>
  <c r="G2" i="1" s="1"/>
  <c r="G3" i="1"/>
  <c r="H2" i="1"/>
  <c r="H24" i="1" l="1"/>
</calcChain>
</file>

<file path=xl/sharedStrings.xml><?xml version="1.0" encoding="utf-8"?>
<sst xmlns="http://schemas.openxmlformats.org/spreadsheetml/2006/main" count="113" uniqueCount="78">
  <si>
    <t>Out of</t>
  </si>
  <si>
    <t>Marks</t>
  </si>
  <si>
    <t>Bus matrix</t>
  </si>
  <si>
    <t>Marks scale:</t>
  </si>
  <si>
    <t>Business processes identified</t>
  </si>
  <si>
    <t>No business processes were correctly identified</t>
  </si>
  <si>
    <t>Some of the business processes were identified, but most are not relevant or are not appropriately named</t>
  </si>
  <si>
    <t>Most of the business processes were identified, but some of them were left out or are not appropriately named</t>
  </si>
  <si>
    <t>All the relevant business processes were identified and given appropriate names. All business processes in the bus matrix relate to the given data set.</t>
  </si>
  <si>
    <t>Dimensions identified</t>
  </si>
  <si>
    <t>Only a few dimensions were correctly identified and named</t>
  </si>
  <si>
    <t>Most of the dimension were identified, but some are not relevant or are not appropriately named.</t>
  </si>
  <si>
    <t>All the dimensions that are suppose to be included are there, but there are also some other dimensions that do not make sense or fit into the model.</t>
  </si>
  <si>
    <t>All the relevant dimensions were identified and given appropriate names. There are no irrelevant dimensions in the bus matrix.</t>
  </si>
  <si>
    <t>Relationships indicated</t>
  </si>
  <si>
    <t>Some of the relationships between business processes and dimensions were indicated correctly.</t>
  </si>
  <si>
    <t>Many of the business processes include some irrelevant dimensions or dimensions that are not true to the grain or are short some other dimensions that should have been included.</t>
  </si>
  <si>
    <t>Almost all the possible relationships between fact tables and dimensions are included and indicated correctly. Some of the role-playing dimensions and shrunken rollup dimensions were not indicated (if applicable). Not all dimensions indicated are true to the grain of the fact table and take on single values on the level of the fact table grain.</t>
  </si>
  <si>
    <t>All the possible relationships between fact tables and dimensions are included, also for role-playing dimensions and shrunken rollup dimensions, where applicable. All dimensions indicated are true to the grain of the fact table and take on single values on the level of the fact table grain.</t>
  </si>
  <si>
    <t>Fact tables</t>
  </si>
  <si>
    <t>Fact table 1</t>
  </si>
  <si>
    <t>No fact table for the relevant business process</t>
  </si>
  <si>
    <t>An attempt was made to complete the design of the fact table on the template. Fact table includes some fields for relevant dimensions (as on the bus matrix) and measurements indicated on the ERD model. Most field names and description are not descriptive. No comments included to explain design.</t>
  </si>
  <si>
    <t xml:space="preserve">Fact table template mostly correctly completed. Fact table includes all fields for relevant dimensions (as on the bus matrix) and measurements available in the source data. Some field names and description are not descriptive. Comments and ETL rules included everywhere to explain design. No additional effort made to include derived measurements. </t>
  </si>
  <si>
    <t>Fact table template correctly completed. Fact table includes all fields for relevant dimensions (as on the bus matrix) and measurements available in the source data. Field names and descriptions are clear. Primary and foreign keys correctly indicated. Comments and ETL rules included where necessary. Effort was made to include derived measurements to add value to the analysis options.</t>
  </si>
  <si>
    <t>Fact table 2</t>
  </si>
  <si>
    <t>"</t>
  </si>
  <si>
    <t>Primary Dimensions</t>
  </si>
  <si>
    <t>(primary means important/main dimensions)</t>
  </si>
  <si>
    <t>Primary dimension 1</t>
  </si>
  <si>
    <t>No Dimension design</t>
  </si>
  <si>
    <t>An attempt was made to complete the design of the dimension on the template. The dimension has some fields and descriptions, but not all the elements on the template was included and/or not all the fields available in the source system were included.</t>
  </si>
  <si>
    <t>Dimension template was completed mostly correctly. The dimension contains most of the fields available in the source system. Field names are mostly descriptive . Primary key and business key are indicated.</t>
  </si>
  <si>
    <t>Dimension template was completed fully and correctly. The dimension contains at least all the fields available in the source system. Field names are descriptive and descriptions and examples are included. Primary key and business key are indicated. SCD correctly indicated where applicable.</t>
  </si>
  <si>
    <t>Primary dimension 2</t>
  </si>
  <si>
    <t>Secondary Dimensions</t>
  </si>
  <si>
    <t>(any other smaller/secondary dimensions)</t>
  </si>
  <si>
    <t>Secondary dimension 1</t>
  </si>
  <si>
    <t>Secondary dimension 2</t>
  </si>
  <si>
    <t>ETL Stage 1</t>
  </si>
  <si>
    <t>Stage1 table design sheets</t>
  </si>
  <si>
    <t>No Stage 1 tabel design sheets</t>
  </si>
  <si>
    <t>Some attempt to include stage1 table designs, but most information is missing</t>
  </si>
  <si>
    <t xml:space="preserve">Most of the information for all the stage1 tables. Includes columns, DB types, if nulls are allowed, description, Null value replacements, Examples, and comments for further ETL rules. </t>
  </si>
  <si>
    <t>All Stage1 table design sheets are completed and the information indicated are clear and correct. Also metadata field with foreign key to metadata table.</t>
  </si>
  <si>
    <t>(With new 2019 data)</t>
  </si>
  <si>
    <t>SQL script to create database objects</t>
  </si>
  <si>
    <t>No script</t>
  </si>
  <si>
    <t>one script with create statements for all database objects</t>
  </si>
  <si>
    <t>plus drop if exist statements, not null fields indicated</t>
  </si>
  <si>
    <t>when executed the script correctly creates all database objects, including null/not null fields, and foreign key to metadata table.</t>
  </si>
  <si>
    <t xml:space="preserve">SSIS packages to import source files </t>
  </si>
  <si>
    <t>Internal Projects</t>
  </si>
  <si>
    <t>No package /does not execute</t>
  </si>
  <si>
    <t>imports source fields into a database staging table</t>
  </si>
  <si>
    <t>plus replaces null values for fields that will become dimension attributes</t>
  </si>
  <si>
    <t>plus runs when executed, used project connections and a project parameters for file paths, names and Year/Month</t>
  </si>
  <si>
    <t>Employee Timesheet</t>
  </si>
  <si>
    <t>Employee</t>
  </si>
  <si>
    <t>Customer, Department, and Group</t>
  </si>
  <si>
    <t>S1_Import and called packages</t>
  </si>
  <si>
    <t>Does not execute</t>
  </si>
  <si>
    <t>Executes but halts with some errors</t>
  </si>
  <si>
    <t>Executes to completion</t>
  </si>
  <si>
    <t>Writes metadata to metadata tables</t>
  </si>
  <si>
    <t>Batch metadata</t>
  </si>
  <si>
    <t>No metadata</t>
  </si>
  <si>
    <t>Some metadata</t>
  </si>
  <si>
    <t>All metadata and error files created, some metadata totals indicate import problems</t>
  </si>
  <si>
    <t>All metadata totals match as expected</t>
  </si>
  <si>
    <t>TOTAL</t>
  </si>
  <si>
    <t>The grain for Employee Timesheet Fact is incorrect - it is not one row per employee, but also per project.</t>
  </si>
  <si>
    <t>Annual Project Cost Analysis: Use Report_Date_Key and Project_Request_Date_Key (Key to indicate it’s a FK to the PK in the Date dimension). Service Billing Number should be added as a degenerate dimension. You did not indicate a PK for the table - this is very important to ensure the data adheres to the business rules and the declared grain.</t>
  </si>
  <si>
    <t>Employee Timesheet: PK not indicated. Total Hours Worked do not fit the grain of the fact table. Facts on different levels of granularity can never be combined in one fact table. This is a big mistake - come ask if you are unsure.</t>
  </si>
  <si>
    <t>Project: if the Project_Status is a Type 1 attribute, use the name Current Project Status to be very clear.</t>
  </si>
  <si>
    <t>Customer: Consider adding a Type 1 Current Customer Name field in addition to the type 2 one. This will help with reporting to group together information over time for the same customer.</t>
  </si>
  <si>
    <t>Project Status: You do not need housekeeping columns for dimensions without any SCD fields.</t>
  </si>
  <si>
    <t>What happened to the field descriptions? Descriptions not completed for some sheets. S1 PW Customer Department Group - you need to insert the records even when the group Name and internal/external fields are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</si>
</sst>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0070C0"/>
      <name val="Calibri"/>
      <family val="2"/>
      <scheme val="minor"/>
    </font>
    <font>
      <sz val="11"/>
      <color rgb="FF0070C0"/>
      <name val="Calibri"/>
      <family val="2"/>
      <scheme val="minor"/>
    </font>
    <font>
      <b/>
      <i/>
      <sz val="11"/>
      <color theme="1"/>
      <name val="Calibri"/>
      <family val="2"/>
      <scheme val="minor"/>
    </font>
    <font>
      <b/>
      <sz val="14"/>
      <color theme="1"/>
      <name val="Calibri"/>
      <family val="2"/>
      <scheme val="minor"/>
    </font>
    <font>
      <b/>
      <sz val="14"/>
      <color rgb="FF0070C0"/>
      <name val="Calibri"/>
      <family val="2"/>
      <scheme val="minor"/>
    </font>
    <font>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1" fillId="0" borderId="0" xfId="0" applyFont="1" applyAlignment="1">
      <alignment horizontal="right"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1" fillId="2" borderId="1" xfId="0" applyFont="1" applyFill="1" applyBorder="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1" fillId="0" borderId="0" xfId="0" applyFont="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0" fillId="0" borderId="1" xfId="0" applyBorder="1" applyAlignment="1">
      <alignment horizontal="left" vertical="top" wrapText="1"/>
    </xf>
    <xf numFmtId="0" fontId="5" fillId="2" borderId="1" xfId="0" applyFont="1" applyFill="1" applyBorder="1" applyAlignment="1">
      <alignment vertical="top" wrapText="1"/>
    </xf>
    <xf numFmtId="0" fontId="5"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7" fillId="0" borderId="0" xfId="0" applyFont="1" applyAlignment="1">
      <alignment vertical="top" wrapText="1"/>
    </xf>
    <xf numFmtId="0" fontId="0" fillId="0" borderId="0" xfId="0" applyAlignment="1">
      <alignment horizontal="center"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DDD8-DDC1-4976-BFD9-6B7BB4DC55D2}">
  <sheetPr>
    <pageSetUpPr fitToPage="1"/>
  </sheetPr>
  <dimension ref="A1:I24"/>
  <sheetViews>
    <sheetView tabSelected="1" topLeftCell="D10" workbookViewId="0">
      <selection activeCell="I11" sqref="I11"/>
    </sheetView>
  </sheetViews>
  <sheetFormatPr defaultColWidth="9.109375" defaultRowHeight="14.4" x14ac:dyDescent="0.3"/>
  <cols>
    <col min="1" max="1" width="17.5546875" style="1" customWidth="1"/>
    <col min="2" max="2" width="23.109375" style="1" customWidth="1"/>
    <col min="3" max="3" width="22" style="1" customWidth="1"/>
    <col min="4" max="6" width="39.6640625" style="1" customWidth="1"/>
    <col min="7" max="7" width="6.5546875" style="20" bestFit="1" customWidth="1"/>
    <col min="8" max="8" width="6.44140625" style="21" bestFit="1" customWidth="1"/>
    <col min="9" max="9" width="62.5546875" style="1" customWidth="1"/>
    <col min="10" max="16384" width="9.109375" style="1"/>
  </cols>
  <sheetData>
    <row r="1" spans="1:9" x14ac:dyDescent="0.3">
      <c r="B1" s="2"/>
      <c r="C1" s="3"/>
      <c r="D1" s="3"/>
      <c r="E1" s="3"/>
      <c r="F1" s="3"/>
      <c r="G1" s="3" t="s">
        <v>0</v>
      </c>
      <c r="H1" s="4" t="s">
        <v>1</v>
      </c>
    </row>
    <row r="2" spans="1:9" s="9" customFormat="1" x14ac:dyDescent="0.3">
      <c r="A2" s="5" t="s">
        <v>2</v>
      </c>
      <c r="B2" s="6" t="s">
        <v>3</v>
      </c>
      <c r="C2" s="7">
        <v>0</v>
      </c>
      <c r="D2" s="7">
        <v>2</v>
      </c>
      <c r="E2" s="7">
        <v>4</v>
      </c>
      <c r="F2" s="7">
        <v>8</v>
      </c>
      <c r="G2" s="7">
        <f>SUM(G3:G5)</f>
        <v>24</v>
      </c>
      <c r="H2" s="8">
        <f>SUM(H3:H5)</f>
        <v>22</v>
      </c>
    </row>
    <row r="3" spans="1:9" ht="57.6" x14ac:dyDescent="0.3">
      <c r="A3" s="10"/>
      <c r="B3" s="11" t="s">
        <v>4</v>
      </c>
      <c r="C3" s="10" t="s">
        <v>5</v>
      </c>
      <c r="D3" s="10" t="s">
        <v>6</v>
      </c>
      <c r="E3" s="10" t="s">
        <v>7</v>
      </c>
      <c r="F3" s="10" t="s">
        <v>8</v>
      </c>
      <c r="G3" s="12">
        <f>F2</f>
        <v>8</v>
      </c>
      <c r="H3" s="13">
        <v>8</v>
      </c>
    </row>
    <row r="4" spans="1:9" ht="57.6" x14ac:dyDescent="0.3">
      <c r="A4" s="10"/>
      <c r="B4" s="11" t="s">
        <v>9</v>
      </c>
      <c r="C4" s="10" t="s">
        <v>10</v>
      </c>
      <c r="D4" s="10" t="s">
        <v>11</v>
      </c>
      <c r="E4" s="10" t="s">
        <v>12</v>
      </c>
      <c r="F4" s="10" t="s">
        <v>13</v>
      </c>
      <c r="G4" s="12">
        <f>F2</f>
        <v>8</v>
      </c>
      <c r="H4" s="13">
        <v>8</v>
      </c>
    </row>
    <row r="5" spans="1:9" ht="115.2" x14ac:dyDescent="0.3">
      <c r="A5" s="10"/>
      <c r="B5" s="11" t="s">
        <v>14</v>
      </c>
      <c r="C5" s="10" t="s">
        <v>15</v>
      </c>
      <c r="D5" s="10" t="s">
        <v>16</v>
      </c>
      <c r="E5" s="10" t="s">
        <v>17</v>
      </c>
      <c r="F5" s="10" t="s">
        <v>18</v>
      </c>
      <c r="G5" s="12">
        <f>F2</f>
        <v>8</v>
      </c>
      <c r="H5" s="13">
        <v>6</v>
      </c>
      <c r="I5" s="1" t="s">
        <v>71</v>
      </c>
    </row>
    <row r="6" spans="1:9" x14ac:dyDescent="0.3">
      <c r="A6" s="5" t="s">
        <v>19</v>
      </c>
      <c r="B6" s="6" t="s">
        <v>3</v>
      </c>
      <c r="C6" s="7">
        <v>0</v>
      </c>
      <c r="D6" s="7">
        <v>4</v>
      </c>
      <c r="E6" s="7">
        <v>8</v>
      </c>
      <c r="F6" s="7">
        <v>16</v>
      </c>
      <c r="G6" s="7">
        <f>SUM(G7:G8)</f>
        <v>32</v>
      </c>
      <c r="H6" s="8">
        <f>SUM(H7:H8)</f>
        <v>22</v>
      </c>
    </row>
    <row r="7" spans="1:9" ht="129.6" x14ac:dyDescent="0.3">
      <c r="A7" s="10"/>
      <c r="B7" s="14" t="s">
        <v>20</v>
      </c>
      <c r="C7" s="10" t="s">
        <v>21</v>
      </c>
      <c r="D7" s="10" t="s">
        <v>22</v>
      </c>
      <c r="E7" s="10" t="s">
        <v>23</v>
      </c>
      <c r="F7" s="10" t="s">
        <v>24</v>
      </c>
      <c r="G7" s="12">
        <f>F6</f>
        <v>16</v>
      </c>
      <c r="H7" s="13">
        <v>12</v>
      </c>
      <c r="I7" s="1" t="s">
        <v>72</v>
      </c>
    </row>
    <row r="8" spans="1:9" ht="57.6" x14ac:dyDescent="0.3">
      <c r="A8" s="10"/>
      <c r="B8" s="14" t="s">
        <v>25</v>
      </c>
      <c r="D8" s="12" t="s">
        <v>26</v>
      </c>
      <c r="E8" s="12" t="s">
        <v>26</v>
      </c>
      <c r="F8" s="12" t="s">
        <v>26</v>
      </c>
      <c r="G8" s="12">
        <f>F6</f>
        <v>16</v>
      </c>
      <c r="H8" s="13">
        <v>10</v>
      </c>
      <c r="I8" s="1" t="s">
        <v>73</v>
      </c>
    </row>
    <row r="9" spans="1:9" ht="28.8" x14ac:dyDescent="0.3">
      <c r="A9" s="5" t="s">
        <v>27</v>
      </c>
      <c r="B9" s="6" t="s">
        <v>3</v>
      </c>
      <c r="C9" s="7">
        <v>0</v>
      </c>
      <c r="D9" s="7">
        <v>4</v>
      </c>
      <c r="E9" s="7">
        <v>8</v>
      </c>
      <c r="F9" s="7">
        <v>16</v>
      </c>
      <c r="G9" s="7">
        <f>G10+G11</f>
        <v>32</v>
      </c>
      <c r="H9" s="8">
        <f>H10+H11</f>
        <v>30</v>
      </c>
    </row>
    <row r="10" spans="1:9" ht="100.8" x14ac:dyDescent="0.3">
      <c r="A10" s="10" t="s">
        <v>28</v>
      </c>
      <c r="B10" s="11" t="s">
        <v>29</v>
      </c>
      <c r="C10" s="10" t="s">
        <v>30</v>
      </c>
      <c r="D10" s="10" t="s">
        <v>31</v>
      </c>
      <c r="E10" s="10" t="s">
        <v>32</v>
      </c>
      <c r="F10" s="10" t="s">
        <v>33</v>
      </c>
      <c r="G10" s="12">
        <f>F9</f>
        <v>16</v>
      </c>
      <c r="H10" s="13">
        <v>14</v>
      </c>
      <c r="I10" s="1" t="s">
        <v>74</v>
      </c>
    </row>
    <row r="11" spans="1:9" ht="43.2" x14ac:dyDescent="0.3">
      <c r="A11" s="10"/>
      <c r="B11" s="11" t="s">
        <v>34</v>
      </c>
      <c r="C11" s="12" t="s">
        <v>26</v>
      </c>
      <c r="D11" s="12" t="s">
        <v>26</v>
      </c>
      <c r="E11" s="12" t="s">
        <v>26</v>
      </c>
      <c r="F11" s="12" t="s">
        <v>26</v>
      </c>
      <c r="G11" s="12">
        <f>F9</f>
        <v>16</v>
      </c>
      <c r="H11" s="13">
        <v>16</v>
      </c>
      <c r="I11" s="1" t="s">
        <v>75</v>
      </c>
    </row>
    <row r="12" spans="1:9" ht="28.8" x14ac:dyDescent="0.3">
      <c r="A12" s="5" t="s">
        <v>35</v>
      </c>
      <c r="B12" s="6" t="s">
        <v>3</v>
      </c>
      <c r="C12" s="7">
        <v>0</v>
      </c>
      <c r="D12" s="7">
        <v>2</v>
      </c>
      <c r="E12" s="7">
        <v>4</v>
      </c>
      <c r="F12" s="7">
        <v>7</v>
      </c>
      <c r="G12" s="7">
        <f>G13+G14</f>
        <v>14</v>
      </c>
      <c r="H12" s="8">
        <f>H13+H14</f>
        <v>13</v>
      </c>
    </row>
    <row r="13" spans="1:9" ht="43.2" x14ac:dyDescent="0.3">
      <c r="A13" s="10" t="s">
        <v>36</v>
      </c>
      <c r="B13" s="11" t="s">
        <v>37</v>
      </c>
      <c r="C13" s="12" t="s">
        <v>26</v>
      </c>
      <c r="D13" s="12" t="s">
        <v>26</v>
      </c>
      <c r="E13" s="12" t="s">
        <v>26</v>
      </c>
      <c r="F13" s="12" t="s">
        <v>26</v>
      </c>
      <c r="G13" s="12">
        <f>F12</f>
        <v>7</v>
      </c>
      <c r="H13" s="13">
        <v>7</v>
      </c>
      <c r="I13" s="1" t="s">
        <v>58</v>
      </c>
    </row>
    <row r="14" spans="1:9" ht="28.8" x14ac:dyDescent="0.3">
      <c r="A14" s="10"/>
      <c r="B14" s="11" t="s">
        <v>38</v>
      </c>
      <c r="C14" s="12" t="s">
        <v>26</v>
      </c>
      <c r="D14" s="12" t="s">
        <v>26</v>
      </c>
      <c r="E14" s="12" t="s">
        <v>26</v>
      </c>
      <c r="F14" s="12" t="s">
        <v>26</v>
      </c>
      <c r="G14" s="12">
        <f>F12</f>
        <v>7</v>
      </c>
      <c r="H14" s="13">
        <v>6</v>
      </c>
      <c r="I14" s="1" t="s">
        <v>76</v>
      </c>
    </row>
    <row r="15" spans="1:9" x14ac:dyDescent="0.3">
      <c r="A15" s="5" t="s">
        <v>39</v>
      </c>
      <c r="B15" s="6" t="s">
        <v>3</v>
      </c>
      <c r="C15" s="7">
        <v>0</v>
      </c>
      <c r="D15" s="7">
        <v>2</v>
      </c>
      <c r="E15" s="7">
        <v>4</v>
      </c>
      <c r="F15" s="7">
        <v>6</v>
      </c>
      <c r="G15" s="7">
        <f>SUM(G16:G23)</f>
        <v>48</v>
      </c>
      <c r="H15" s="8">
        <f>SUM(H16:H23)</f>
        <v>46</v>
      </c>
    </row>
    <row r="16" spans="1:9" ht="57.6" x14ac:dyDescent="0.3">
      <c r="A16" s="15"/>
      <c r="B16" s="15" t="s">
        <v>40</v>
      </c>
      <c r="C16" s="15" t="s">
        <v>41</v>
      </c>
      <c r="D16" s="15" t="s">
        <v>42</v>
      </c>
      <c r="E16" s="15" t="s">
        <v>43</v>
      </c>
      <c r="F16" s="15" t="s">
        <v>44</v>
      </c>
      <c r="G16" s="12">
        <f>F15</f>
        <v>6</v>
      </c>
      <c r="H16" s="13">
        <v>4</v>
      </c>
      <c r="I16" s="9" t="s">
        <v>77</v>
      </c>
    </row>
    <row r="17" spans="1:8" ht="43.2" x14ac:dyDescent="0.3">
      <c r="A17" s="15" t="s">
        <v>45</v>
      </c>
      <c r="B17" s="15" t="s">
        <v>46</v>
      </c>
      <c r="C17" s="15" t="s">
        <v>47</v>
      </c>
      <c r="D17" s="15" t="s">
        <v>48</v>
      </c>
      <c r="E17" s="15" t="s">
        <v>49</v>
      </c>
      <c r="F17" s="15" t="s">
        <v>50</v>
      </c>
      <c r="G17" s="12">
        <f>F15</f>
        <v>6</v>
      </c>
      <c r="H17" s="13">
        <v>6</v>
      </c>
    </row>
    <row r="18" spans="1:8" ht="43.2" x14ac:dyDescent="0.3">
      <c r="A18" s="15" t="s">
        <v>51</v>
      </c>
      <c r="B18" s="15" t="s">
        <v>52</v>
      </c>
      <c r="C18" s="15" t="s">
        <v>53</v>
      </c>
      <c r="D18" s="15" t="s">
        <v>54</v>
      </c>
      <c r="E18" s="15" t="s">
        <v>55</v>
      </c>
      <c r="F18" s="15" t="s">
        <v>56</v>
      </c>
      <c r="G18" s="12">
        <f>F15</f>
        <v>6</v>
      </c>
      <c r="H18" s="13">
        <v>6</v>
      </c>
    </row>
    <row r="19" spans="1:8" ht="43.2" x14ac:dyDescent="0.3">
      <c r="A19" s="15" t="s">
        <v>51</v>
      </c>
      <c r="B19" s="15" t="s">
        <v>57</v>
      </c>
      <c r="C19" s="15" t="s">
        <v>53</v>
      </c>
      <c r="D19" s="15" t="s">
        <v>54</v>
      </c>
      <c r="E19" s="15" t="s">
        <v>55</v>
      </c>
      <c r="F19" s="15" t="s">
        <v>56</v>
      </c>
      <c r="G19" s="12">
        <f>F15</f>
        <v>6</v>
      </c>
      <c r="H19" s="13">
        <v>6</v>
      </c>
    </row>
    <row r="20" spans="1:8" ht="43.2" x14ac:dyDescent="0.3">
      <c r="A20" s="15" t="s">
        <v>51</v>
      </c>
      <c r="B20" s="15" t="s">
        <v>58</v>
      </c>
      <c r="C20" s="15" t="s">
        <v>53</v>
      </c>
      <c r="D20" s="15" t="s">
        <v>54</v>
      </c>
      <c r="E20" s="15" t="s">
        <v>55</v>
      </c>
      <c r="F20" s="15" t="s">
        <v>56</v>
      </c>
      <c r="G20" s="12">
        <f>F15</f>
        <v>6</v>
      </c>
      <c r="H20" s="13">
        <v>6</v>
      </c>
    </row>
    <row r="21" spans="1:8" ht="43.2" x14ac:dyDescent="0.3">
      <c r="A21" s="15" t="s">
        <v>51</v>
      </c>
      <c r="B21" s="15" t="s">
        <v>59</v>
      </c>
      <c r="C21" s="15" t="s">
        <v>53</v>
      </c>
      <c r="D21" s="15" t="s">
        <v>54</v>
      </c>
      <c r="E21" s="15" t="s">
        <v>55</v>
      </c>
      <c r="F21" s="15" t="s">
        <v>56</v>
      </c>
      <c r="G21" s="12">
        <f>F15</f>
        <v>6</v>
      </c>
      <c r="H21" s="13">
        <v>6</v>
      </c>
    </row>
    <row r="22" spans="1:8" ht="28.8" x14ac:dyDescent="0.3">
      <c r="A22" s="15" t="s">
        <v>51</v>
      </c>
      <c r="B22" s="15" t="s">
        <v>60</v>
      </c>
      <c r="C22" s="15" t="s">
        <v>61</v>
      </c>
      <c r="D22" s="15" t="s">
        <v>62</v>
      </c>
      <c r="E22" s="15" t="s">
        <v>63</v>
      </c>
      <c r="F22" s="15" t="s">
        <v>64</v>
      </c>
      <c r="G22" s="12">
        <f>F15</f>
        <v>6</v>
      </c>
      <c r="H22" s="13">
        <v>6</v>
      </c>
    </row>
    <row r="23" spans="1:8" ht="28.8" x14ac:dyDescent="0.3">
      <c r="A23" s="15"/>
      <c r="B23" s="15" t="s">
        <v>65</v>
      </c>
      <c r="C23" s="15" t="s">
        <v>66</v>
      </c>
      <c r="D23" s="15" t="s">
        <v>67</v>
      </c>
      <c r="E23" s="15" t="s">
        <v>68</v>
      </c>
      <c r="F23" s="15" t="s">
        <v>69</v>
      </c>
      <c r="G23" s="12">
        <f>F15</f>
        <v>6</v>
      </c>
      <c r="H23" s="13">
        <v>6</v>
      </c>
    </row>
    <row r="24" spans="1:8" s="19" customFormat="1" ht="18" x14ac:dyDescent="0.3">
      <c r="A24" s="16" t="s">
        <v>70</v>
      </c>
      <c r="B24" s="16"/>
      <c r="C24" s="16"/>
      <c r="D24" s="16"/>
      <c r="E24" s="16"/>
      <c r="F24" s="16"/>
      <c r="G24" s="17">
        <f>G12+G9+G6+G2+G15</f>
        <v>150</v>
      </c>
      <c r="H24" s="18">
        <f>H12+H9+H6+H2+H15</f>
        <v>133</v>
      </c>
    </row>
  </sheetData>
  <pageMargins left="0.25" right="0.25" top="0.75" bottom="0.75" header="0.3" footer="0.3"/>
  <pageSetup paperSize="9"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Campher</dc:creator>
  <cp:lastModifiedBy>User</cp:lastModifiedBy>
  <dcterms:created xsi:type="dcterms:W3CDTF">2022-06-02T10:53:24Z</dcterms:created>
  <dcterms:modified xsi:type="dcterms:W3CDTF">2022-06-03T12:45:05Z</dcterms:modified>
</cp:coreProperties>
</file>