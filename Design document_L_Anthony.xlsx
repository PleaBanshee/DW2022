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mc:AlternateContent xmlns:mc="http://schemas.openxmlformats.org/markup-compatibility/2006">
    <mc:Choice Requires="x15">
      <x15ac:absPath xmlns:x15ac="http://schemas.microsoft.com/office/spreadsheetml/2010/11/ac" url="C:\Users\Llewellyn\Desktop\Honours Resources\DATA WAREHOUSING\PROJECT\DW2022\Documentation\"/>
    </mc:Choice>
  </mc:AlternateContent>
  <xr:revisionPtr revIDLastSave="0" documentId="13_ncr:1_{0C5E5F2B-7AB8-4B8F-ABD4-7AAC4D5AD2EA}" xr6:coauthVersionLast="47" xr6:coauthVersionMax="47" xr10:uidLastSave="{00000000-0000-0000-0000-000000000000}"/>
  <bookViews>
    <workbookView xWindow="-108" yWindow="-108" windowWidth="23256" windowHeight="12696" tabRatio="930" xr2:uid="{00000000-000D-0000-FFFF-FFFF00000000}"/>
  </bookViews>
  <sheets>
    <sheet name="Index" sheetId="1" r:id="rId1"/>
    <sheet name="Naming Conventions" sheetId="30" r:id="rId2"/>
    <sheet name="Bus Matrix" sheetId="27" r:id="rId3"/>
    <sheet name="AtomicDW" sheetId="37" r:id="rId4"/>
    <sheet name="Stock_Take_Fact" sheetId="29" r:id="rId5"/>
    <sheet name="Date" sheetId="7" r:id="rId6"/>
    <sheet name="Date records" sheetId="8" r:id="rId7"/>
    <sheet name="Material" sheetId="28" r:id="rId8"/>
    <sheet name="Stock_Take_Indicators" sheetId="35" r:id="rId9"/>
    <sheet name="Source Files" sheetId="2" r:id="rId10"/>
    <sheet name="SF_PW_Employees" sheetId="40" r:id="rId11"/>
    <sheet name="SF_PW_Employee_Timesheet" sheetId="42" r:id="rId12"/>
    <sheet name="SF_PW_Customers" sheetId="38" r:id="rId13"/>
    <sheet name="SF_MM_Stock_Take" sheetId="3" r:id="rId14"/>
    <sheet name="Stage1" sheetId="4" r:id="rId15"/>
    <sheet name="S1_PW_Employee_Timesheet" sheetId="44" r:id="rId16"/>
    <sheet name="S1_PW_Employees" sheetId="41" r:id="rId17"/>
    <sheet name="S1_PW_Customer" sheetId="39" r:id="rId18"/>
    <sheet name="S1_MM_Stock_Take" sheetId="31" r:id="rId19"/>
    <sheet name="Stage2" sheetId="32" r:id="rId20"/>
    <sheet name="S2_MM_Material_Group_Lookup" sheetId="33" r:id="rId21"/>
    <sheet name="S2_MM_Material" sheetId="34" r:id="rId22"/>
    <sheet name="S2_MM_Stock_Take" sheetId="36" r:id="rId23"/>
    <sheet name="Process Metadata" sheetId="9" r:id="rId24"/>
  </sheets>
  <externalReferences>
    <externalReference r:id="rId25"/>
  </externalReferences>
  <definedNames>
    <definedName name="_xlnm._FilterDatabase" localSheetId="6" hidden="1">'Date records'!$A$2:$G$1100</definedName>
    <definedName name="_xlnm._FilterDatabase" localSheetId="1" hidden="1">'Naming Conventions'!$A$28:$C$28</definedName>
    <definedName name="_xlnm._FilterDatabase" localSheetId="12" hidden="1">SF_PW_Customers!$A$1:$I$26</definedName>
    <definedName name="LU_DOW" localSheetId="3">#REF!</definedName>
    <definedName name="LU_DOW" localSheetId="18">#REF!</definedName>
    <definedName name="LU_DOW" localSheetId="21">#REF!</definedName>
    <definedName name="LU_DOW" localSheetId="20">#REF!</definedName>
    <definedName name="LU_DOW" localSheetId="22">#REF!</definedName>
    <definedName name="LU_DOW" localSheetId="19">#REF!</definedName>
    <definedName name="LU_DOW" localSheetId="8">#REF!</definedName>
    <definedName name="LU_DOW">#REF!</definedName>
    <definedName name="the_date">'[1]Calendar Day'!$A$31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7" i="8" l="1"/>
  <c r="D737" i="8"/>
  <c r="E737" i="8"/>
  <c r="F737" i="8"/>
  <c r="G737" i="8"/>
  <c r="C738" i="8"/>
  <c r="D738" i="8"/>
  <c r="E738" i="8"/>
  <c r="F738" i="8"/>
  <c r="G738" i="8"/>
  <c r="C739" i="8"/>
  <c r="D739" i="8"/>
  <c r="E739" i="8"/>
  <c r="F739" i="8"/>
  <c r="G739" i="8"/>
  <c r="C740" i="8"/>
  <c r="D740" i="8"/>
  <c r="E740" i="8"/>
  <c r="F740" i="8"/>
  <c r="G740" i="8"/>
  <c r="C741" i="8"/>
  <c r="D741" i="8"/>
  <c r="E741" i="8"/>
  <c r="F741" i="8"/>
  <c r="G741" i="8"/>
  <c r="C742" i="8"/>
  <c r="D742" i="8"/>
  <c r="E742" i="8"/>
  <c r="F742" i="8"/>
  <c r="G742" i="8"/>
  <c r="C743" i="8"/>
  <c r="D743" i="8"/>
  <c r="E743" i="8"/>
  <c r="F743" i="8"/>
  <c r="G743" i="8"/>
  <c r="C744" i="8"/>
  <c r="D744" i="8"/>
  <c r="E744" i="8"/>
  <c r="F744" i="8"/>
  <c r="G744" i="8"/>
  <c r="C745" i="8"/>
  <c r="D745" i="8"/>
  <c r="E745" i="8"/>
  <c r="F745" i="8"/>
  <c r="G745" i="8"/>
  <c r="C746" i="8"/>
  <c r="D746" i="8"/>
  <c r="E746" i="8"/>
  <c r="F746" i="8"/>
  <c r="G746" i="8"/>
  <c r="C747" i="8"/>
  <c r="D747" i="8"/>
  <c r="E747" i="8"/>
  <c r="F747" i="8"/>
  <c r="G747" i="8"/>
  <c r="C748" i="8"/>
  <c r="D748" i="8"/>
  <c r="E748" i="8"/>
  <c r="F748" i="8"/>
  <c r="G748" i="8"/>
  <c r="C749" i="8"/>
  <c r="D749" i="8"/>
  <c r="E749" i="8"/>
  <c r="F749" i="8"/>
  <c r="G749" i="8"/>
  <c r="C750" i="8"/>
  <c r="D750" i="8"/>
  <c r="E750" i="8"/>
  <c r="F750" i="8"/>
  <c r="G750" i="8"/>
  <c r="C751" i="8"/>
  <c r="D751" i="8"/>
  <c r="E751" i="8"/>
  <c r="F751" i="8"/>
  <c r="G751" i="8"/>
  <c r="C752" i="8"/>
  <c r="D752" i="8"/>
  <c r="E752" i="8"/>
  <c r="F752" i="8"/>
  <c r="G752" i="8"/>
  <c r="C753" i="8"/>
  <c r="D753" i="8"/>
  <c r="E753" i="8"/>
  <c r="F753" i="8"/>
  <c r="G753" i="8"/>
  <c r="C754" i="8"/>
  <c r="D754" i="8"/>
  <c r="E754" i="8"/>
  <c r="F754" i="8"/>
  <c r="G754" i="8"/>
  <c r="C755" i="8"/>
  <c r="D755" i="8"/>
  <c r="E755" i="8"/>
  <c r="F755" i="8"/>
  <c r="G755" i="8"/>
  <c r="C756" i="8"/>
  <c r="D756" i="8"/>
  <c r="E756" i="8"/>
  <c r="F756" i="8"/>
  <c r="G756" i="8"/>
  <c r="C757" i="8"/>
  <c r="D757" i="8"/>
  <c r="E757" i="8"/>
  <c r="F757" i="8"/>
  <c r="G757" i="8"/>
  <c r="C758" i="8"/>
  <c r="D758" i="8"/>
  <c r="E758" i="8"/>
  <c r="F758" i="8"/>
  <c r="G758" i="8"/>
  <c r="C759" i="8"/>
  <c r="D759" i="8"/>
  <c r="E759" i="8"/>
  <c r="F759" i="8"/>
  <c r="G759" i="8"/>
  <c r="C760" i="8"/>
  <c r="D760" i="8"/>
  <c r="E760" i="8"/>
  <c r="F760" i="8"/>
  <c r="G760" i="8"/>
  <c r="C761" i="8"/>
  <c r="D761" i="8"/>
  <c r="E761" i="8"/>
  <c r="F761" i="8"/>
  <c r="G761" i="8"/>
  <c r="C762" i="8"/>
  <c r="D762" i="8"/>
  <c r="E762" i="8"/>
  <c r="F762" i="8"/>
  <c r="G762" i="8"/>
  <c r="C763" i="8"/>
  <c r="D763" i="8"/>
  <c r="E763" i="8"/>
  <c r="F763" i="8"/>
  <c r="G763" i="8"/>
  <c r="C764" i="8"/>
  <c r="D764" i="8"/>
  <c r="E764" i="8"/>
  <c r="F764" i="8"/>
  <c r="G764" i="8"/>
  <c r="C765" i="8"/>
  <c r="D765" i="8"/>
  <c r="E765" i="8"/>
  <c r="F765" i="8"/>
  <c r="G765" i="8"/>
  <c r="C766" i="8"/>
  <c r="D766" i="8"/>
  <c r="E766" i="8"/>
  <c r="F766" i="8"/>
  <c r="G766" i="8"/>
  <c r="C767" i="8"/>
  <c r="D767" i="8"/>
  <c r="E767" i="8"/>
  <c r="F767" i="8"/>
  <c r="G767" i="8"/>
  <c r="C768" i="8"/>
  <c r="D768" i="8"/>
  <c r="E768" i="8"/>
  <c r="F768" i="8"/>
  <c r="G768" i="8"/>
  <c r="C769" i="8"/>
  <c r="D769" i="8"/>
  <c r="E769" i="8"/>
  <c r="F769" i="8"/>
  <c r="G769" i="8"/>
  <c r="C770" i="8"/>
  <c r="D770" i="8"/>
  <c r="E770" i="8"/>
  <c r="F770" i="8"/>
  <c r="G770" i="8"/>
  <c r="C771" i="8"/>
  <c r="D771" i="8"/>
  <c r="E771" i="8"/>
  <c r="F771" i="8"/>
  <c r="G771" i="8"/>
  <c r="C772" i="8"/>
  <c r="D772" i="8"/>
  <c r="E772" i="8"/>
  <c r="F772" i="8"/>
  <c r="G772" i="8"/>
  <c r="C773" i="8"/>
  <c r="D773" i="8"/>
  <c r="E773" i="8"/>
  <c r="F773" i="8"/>
  <c r="G773" i="8"/>
  <c r="C774" i="8"/>
  <c r="D774" i="8"/>
  <c r="E774" i="8"/>
  <c r="F774" i="8"/>
  <c r="G774" i="8"/>
  <c r="C775" i="8"/>
  <c r="D775" i="8"/>
  <c r="E775" i="8"/>
  <c r="F775" i="8"/>
  <c r="G775" i="8"/>
  <c r="C776" i="8"/>
  <c r="D776" i="8"/>
  <c r="E776" i="8"/>
  <c r="F776" i="8"/>
  <c r="G776" i="8"/>
  <c r="C777" i="8"/>
  <c r="D777" i="8"/>
  <c r="E777" i="8"/>
  <c r="F777" i="8"/>
  <c r="G777" i="8"/>
  <c r="C778" i="8"/>
  <c r="D778" i="8"/>
  <c r="E778" i="8"/>
  <c r="F778" i="8"/>
  <c r="G778" i="8"/>
  <c r="C779" i="8"/>
  <c r="D779" i="8"/>
  <c r="E779" i="8"/>
  <c r="F779" i="8"/>
  <c r="G779" i="8"/>
  <c r="C780" i="8"/>
  <c r="D780" i="8"/>
  <c r="E780" i="8"/>
  <c r="F780" i="8"/>
  <c r="G780" i="8"/>
  <c r="C781" i="8"/>
  <c r="D781" i="8"/>
  <c r="E781" i="8"/>
  <c r="F781" i="8"/>
  <c r="G781" i="8"/>
  <c r="C782" i="8"/>
  <c r="D782" i="8"/>
  <c r="E782" i="8"/>
  <c r="F782" i="8"/>
  <c r="G782" i="8"/>
  <c r="C783" i="8"/>
  <c r="D783" i="8"/>
  <c r="E783" i="8"/>
  <c r="F783" i="8"/>
  <c r="G783" i="8"/>
  <c r="C784" i="8"/>
  <c r="D784" i="8"/>
  <c r="E784" i="8"/>
  <c r="F784" i="8"/>
  <c r="G784" i="8"/>
  <c r="C785" i="8"/>
  <c r="D785" i="8"/>
  <c r="E785" i="8"/>
  <c r="F785" i="8"/>
  <c r="G785" i="8"/>
  <c r="C786" i="8"/>
  <c r="D786" i="8"/>
  <c r="E786" i="8"/>
  <c r="F786" i="8"/>
  <c r="G786" i="8"/>
  <c r="C787" i="8"/>
  <c r="D787" i="8"/>
  <c r="E787" i="8"/>
  <c r="F787" i="8"/>
  <c r="G787" i="8"/>
  <c r="C788" i="8"/>
  <c r="D788" i="8"/>
  <c r="E788" i="8"/>
  <c r="F788" i="8"/>
  <c r="G788" i="8"/>
  <c r="C789" i="8"/>
  <c r="D789" i="8"/>
  <c r="E789" i="8"/>
  <c r="F789" i="8"/>
  <c r="G789" i="8"/>
  <c r="C790" i="8"/>
  <c r="D790" i="8"/>
  <c r="E790" i="8"/>
  <c r="F790" i="8"/>
  <c r="G790" i="8"/>
  <c r="C791" i="8"/>
  <c r="D791" i="8"/>
  <c r="E791" i="8"/>
  <c r="F791" i="8"/>
  <c r="G791" i="8"/>
  <c r="C792" i="8"/>
  <c r="D792" i="8"/>
  <c r="E792" i="8"/>
  <c r="F792" i="8"/>
  <c r="G792" i="8"/>
  <c r="C793" i="8"/>
  <c r="D793" i="8"/>
  <c r="E793" i="8"/>
  <c r="F793" i="8"/>
  <c r="G793" i="8"/>
  <c r="C794" i="8"/>
  <c r="D794" i="8"/>
  <c r="E794" i="8"/>
  <c r="F794" i="8"/>
  <c r="G794" i="8"/>
  <c r="C795" i="8"/>
  <c r="D795" i="8"/>
  <c r="E795" i="8"/>
  <c r="F795" i="8"/>
  <c r="G795" i="8"/>
  <c r="C796" i="8"/>
  <c r="D796" i="8"/>
  <c r="E796" i="8"/>
  <c r="F796" i="8"/>
  <c r="G796" i="8"/>
  <c r="C797" i="8"/>
  <c r="D797" i="8"/>
  <c r="E797" i="8"/>
  <c r="F797" i="8"/>
  <c r="G797" i="8"/>
  <c r="C798" i="8"/>
  <c r="D798" i="8"/>
  <c r="E798" i="8"/>
  <c r="F798" i="8"/>
  <c r="G798" i="8"/>
  <c r="C799" i="8"/>
  <c r="D799" i="8"/>
  <c r="E799" i="8"/>
  <c r="F799" i="8"/>
  <c r="G799" i="8"/>
  <c r="C800" i="8"/>
  <c r="D800" i="8"/>
  <c r="E800" i="8"/>
  <c r="F800" i="8"/>
  <c r="G800" i="8"/>
  <c r="C801" i="8"/>
  <c r="D801" i="8"/>
  <c r="E801" i="8"/>
  <c r="F801" i="8"/>
  <c r="G801" i="8"/>
  <c r="C802" i="8"/>
  <c r="D802" i="8"/>
  <c r="E802" i="8"/>
  <c r="F802" i="8"/>
  <c r="G802" i="8"/>
  <c r="C803" i="8"/>
  <c r="D803" i="8"/>
  <c r="E803" i="8"/>
  <c r="F803" i="8"/>
  <c r="G803" i="8"/>
  <c r="C804" i="8"/>
  <c r="D804" i="8"/>
  <c r="E804" i="8"/>
  <c r="F804" i="8"/>
  <c r="G804" i="8"/>
  <c r="C805" i="8"/>
  <c r="D805" i="8"/>
  <c r="E805" i="8"/>
  <c r="F805" i="8"/>
  <c r="G805" i="8"/>
  <c r="C806" i="8"/>
  <c r="D806" i="8"/>
  <c r="E806" i="8"/>
  <c r="F806" i="8"/>
  <c r="G806" i="8"/>
  <c r="C807" i="8"/>
  <c r="D807" i="8"/>
  <c r="E807" i="8"/>
  <c r="F807" i="8"/>
  <c r="G807" i="8"/>
  <c r="C808" i="8"/>
  <c r="D808" i="8"/>
  <c r="E808" i="8"/>
  <c r="F808" i="8"/>
  <c r="G808" i="8"/>
  <c r="C809" i="8"/>
  <c r="D809" i="8"/>
  <c r="E809" i="8"/>
  <c r="F809" i="8"/>
  <c r="G809" i="8"/>
  <c r="C810" i="8"/>
  <c r="D810" i="8"/>
  <c r="E810" i="8"/>
  <c r="F810" i="8"/>
  <c r="G810" i="8"/>
  <c r="C811" i="8"/>
  <c r="D811" i="8"/>
  <c r="E811" i="8"/>
  <c r="F811" i="8"/>
  <c r="G811" i="8"/>
  <c r="C812" i="8"/>
  <c r="D812" i="8"/>
  <c r="E812" i="8"/>
  <c r="F812" i="8"/>
  <c r="G812" i="8"/>
  <c r="C813" i="8"/>
  <c r="D813" i="8"/>
  <c r="E813" i="8"/>
  <c r="F813" i="8"/>
  <c r="G813" i="8"/>
  <c r="C814" i="8"/>
  <c r="D814" i="8"/>
  <c r="E814" i="8"/>
  <c r="F814" i="8"/>
  <c r="G814" i="8"/>
  <c r="C815" i="8"/>
  <c r="D815" i="8"/>
  <c r="E815" i="8"/>
  <c r="F815" i="8"/>
  <c r="G815" i="8"/>
  <c r="C816" i="8"/>
  <c r="D816" i="8"/>
  <c r="E816" i="8"/>
  <c r="F816" i="8"/>
  <c r="G816" i="8"/>
  <c r="C817" i="8"/>
  <c r="D817" i="8"/>
  <c r="E817" i="8"/>
  <c r="F817" i="8"/>
  <c r="G817" i="8"/>
  <c r="C818" i="8"/>
  <c r="D818" i="8"/>
  <c r="E818" i="8"/>
  <c r="F818" i="8"/>
  <c r="G818" i="8"/>
  <c r="C819" i="8"/>
  <c r="D819" i="8"/>
  <c r="E819" i="8"/>
  <c r="F819" i="8"/>
  <c r="G819" i="8"/>
  <c r="C820" i="8"/>
  <c r="D820" i="8"/>
  <c r="E820" i="8"/>
  <c r="F820" i="8"/>
  <c r="G820" i="8"/>
  <c r="C821" i="8"/>
  <c r="D821" i="8"/>
  <c r="E821" i="8"/>
  <c r="F821" i="8"/>
  <c r="G821" i="8"/>
  <c r="C822" i="8"/>
  <c r="D822" i="8"/>
  <c r="E822" i="8"/>
  <c r="F822" i="8"/>
  <c r="G822" i="8"/>
  <c r="C823" i="8"/>
  <c r="D823" i="8"/>
  <c r="E823" i="8"/>
  <c r="F823" i="8"/>
  <c r="G823" i="8"/>
  <c r="C824" i="8"/>
  <c r="D824" i="8"/>
  <c r="E824" i="8"/>
  <c r="F824" i="8"/>
  <c r="G824" i="8"/>
  <c r="C825" i="8"/>
  <c r="D825" i="8"/>
  <c r="E825" i="8"/>
  <c r="F825" i="8"/>
  <c r="G825" i="8"/>
  <c r="C826" i="8"/>
  <c r="D826" i="8"/>
  <c r="E826" i="8"/>
  <c r="F826" i="8"/>
  <c r="G826" i="8"/>
  <c r="C827" i="8"/>
  <c r="D827" i="8"/>
  <c r="E827" i="8"/>
  <c r="F827" i="8"/>
  <c r="G827" i="8"/>
  <c r="C828" i="8"/>
  <c r="D828" i="8"/>
  <c r="E828" i="8"/>
  <c r="F828" i="8"/>
  <c r="G828" i="8"/>
  <c r="C829" i="8"/>
  <c r="D829" i="8"/>
  <c r="E829" i="8"/>
  <c r="F829" i="8"/>
  <c r="G829" i="8"/>
  <c r="C830" i="8"/>
  <c r="D830" i="8"/>
  <c r="E830" i="8"/>
  <c r="F830" i="8"/>
  <c r="G830" i="8"/>
  <c r="C831" i="8"/>
  <c r="D831" i="8"/>
  <c r="E831" i="8"/>
  <c r="F831" i="8"/>
  <c r="G831" i="8"/>
  <c r="C832" i="8"/>
  <c r="D832" i="8"/>
  <c r="E832" i="8"/>
  <c r="F832" i="8"/>
  <c r="G832" i="8"/>
  <c r="C833" i="8"/>
  <c r="D833" i="8"/>
  <c r="E833" i="8"/>
  <c r="F833" i="8"/>
  <c r="G833" i="8"/>
  <c r="C834" i="8"/>
  <c r="D834" i="8"/>
  <c r="E834" i="8"/>
  <c r="F834" i="8"/>
  <c r="G834" i="8"/>
  <c r="C835" i="8"/>
  <c r="D835" i="8"/>
  <c r="E835" i="8"/>
  <c r="F835" i="8"/>
  <c r="G835" i="8"/>
  <c r="C836" i="8"/>
  <c r="D836" i="8"/>
  <c r="E836" i="8"/>
  <c r="F836" i="8"/>
  <c r="G836" i="8"/>
  <c r="C837" i="8"/>
  <c r="D837" i="8"/>
  <c r="E837" i="8"/>
  <c r="F837" i="8"/>
  <c r="G837" i="8"/>
  <c r="C838" i="8"/>
  <c r="D838" i="8"/>
  <c r="E838" i="8"/>
  <c r="F838" i="8"/>
  <c r="G838" i="8"/>
  <c r="C839" i="8"/>
  <c r="D839" i="8"/>
  <c r="E839" i="8"/>
  <c r="F839" i="8"/>
  <c r="G839" i="8"/>
  <c r="C840" i="8"/>
  <c r="D840" i="8"/>
  <c r="E840" i="8"/>
  <c r="F840" i="8"/>
  <c r="G840" i="8"/>
  <c r="C841" i="8"/>
  <c r="D841" i="8"/>
  <c r="E841" i="8"/>
  <c r="F841" i="8"/>
  <c r="G841" i="8"/>
  <c r="C842" i="8"/>
  <c r="D842" i="8"/>
  <c r="E842" i="8"/>
  <c r="F842" i="8"/>
  <c r="G842" i="8"/>
  <c r="C843" i="8"/>
  <c r="D843" i="8"/>
  <c r="E843" i="8"/>
  <c r="F843" i="8"/>
  <c r="G843" i="8"/>
  <c r="C844" i="8"/>
  <c r="D844" i="8"/>
  <c r="E844" i="8"/>
  <c r="F844" i="8"/>
  <c r="G844" i="8"/>
  <c r="C845" i="8"/>
  <c r="D845" i="8"/>
  <c r="E845" i="8"/>
  <c r="F845" i="8"/>
  <c r="G845" i="8"/>
  <c r="C846" i="8"/>
  <c r="D846" i="8"/>
  <c r="E846" i="8"/>
  <c r="F846" i="8"/>
  <c r="G846" i="8"/>
  <c r="C847" i="8"/>
  <c r="D847" i="8"/>
  <c r="E847" i="8"/>
  <c r="F847" i="8"/>
  <c r="G847" i="8"/>
  <c r="C848" i="8"/>
  <c r="D848" i="8"/>
  <c r="E848" i="8"/>
  <c r="F848" i="8"/>
  <c r="G848" i="8"/>
  <c r="C849" i="8"/>
  <c r="D849" i="8"/>
  <c r="E849" i="8"/>
  <c r="F849" i="8"/>
  <c r="G849" i="8"/>
  <c r="C850" i="8"/>
  <c r="D850" i="8"/>
  <c r="E850" i="8"/>
  <c r="F850" i="8"/>
  <c r="G850" i="8"/>
  <c r="C851" i="8"/>
  <c r="D851" i="8"/>
  <c r="E851" i="8"/>
  <c r="F851" i="8"/>
  <c r="G851" i="8"/>
  <c r="C852" i="8"/>
  <c r="D852" i="8"/>
  <c r="E852" i="8"/>
  <c r="F852" i="8"/>
  <c r="G852" i="8"/>
  <c r="C853" i="8"/>
  <c r="D853" i="8"/>
  <c r="E853" i="8"/>
  <c r="F853" i="8"/>
  <c r="G853" i="8"/>
  <c r="C854" i="8"/>
  <c r="D854" i="8"/>
  <c r="E854" i="8"/>
  <c r="F854" i="8"/>
  <c r="G854" i="8"/>
  <c r="C855" i="8"/>
  <c r="D855" i="8"/>
  <c r="E855" i="8"/>
  <c r="F855" i="8"/>
  <c r="G855" i="8"/>
  <c r="C856" i="8"/>
  <c r="D856" i="8"/>
  <c r="E856" i="8"/>
  <c r="F856" i="8"/>
  <c r="G856" i="8"/>
  <c r="C857" i="8"/>
  <c r="D857" i="8"/>
  <c r="E857" i="8"/>
  <c r="F857" i="8"/>
  <c r="G857" i="8"/>
  <c r="C858" i="8"/>
  <c r="D858" i="8"/>
  <c r="E858" i="8"/>
  <c r="F858" i="8"/>
  <c r="G858" i="8"/>
  <c r="C859" i="8"/>
  <c r="D859" i="8"/>
  <c r="E859" i="8"/>
  <c r="F859" i="8"/>
  <c r="G859" i="8"/>
  <c r="C860" i="8"/>
  <c r="D860" i="8"/>
  <c r="E860" i="8"/>
  <c r="F860" i="8"/>
  <c r="G860" i="8"/>
  <c r="C861" i="8"/>
  <c r="D861" i="8"/>
  <c r="E861" i="8"/>
  <c r="F861" i="8"/>
  <c r="G861" i="8"/>
  <c r="C862" i="8"/>
  <c r="D862" i="8"/>
  <c r="E862" i="8"/>
  <c r="F862" i="8"/>
  <c r="G862" i="8"/>
  <c r="C863" i="8"/>
  <c r="D863" i="8"/>
  <c r="E863" i="8"/>
  <c r="F863" i="8"/>
  <c r="G863" i="8"/>
  <c r="C864" i="8"/>
  <c r="D864" i="8"/>
  <c r="E864" i="8"/>
  <c r="F864" i="8"/>
  <c r="G864" i="8"/>
  <c r="C865" i="8"/>
  <c r="D865" i="8"/>
  <c r="E865" i="8"/>
  <c r="F865" i="8"/>
  <c r="G865" i="8"/>
  <c r="C866" i="8"/>
  <c r="D866" i="8"/>
  <c r="E866" i="8"/>
  <c r="F866" i="8"/>
  <c r="G866" i="8"/>
  <c r="C867" i="8"/>
  <c r="D867" i="8"/>
  <c r="E867" i="8"/>
  <c r="F867" i="8"/>
  <c r="G867" i="8"/>
  <c r="C868" i="8"/>
  <c r="D868" i="8"/>
  <c r="E868" i="8"/>
  <c r="F868" i="8"/>
  <c r="G868" i="8"/>
  <c r="C869" i="8"/>
  <c r="D869" i="8"/>
  <c r="E869" i="8"/>
  <c r="F869" i="8"/>
  <c r="G869" i="8"/>
  <c r="C870" i="8"/>
  <c r="D870" i="8"/>
  <c r="E870" i="8"/>
  <c r="F870" i="8"/>
  <c r="G870" i="8"/>
  <c r="C871" i="8"/>
  <c r="D871" i="8"/>
  <c r="E871" i="8"/>
  <c r="F871" i="8"/>
  <c r="G871" i="8"/>
  <c r="C872" i="8"/>
  <c r="D872" i="8"/>
  <c r="E872" i="8"/>
  <c r="F872" i="8"/>
  <c r="G872" i="8"/>
  <c r="C873" i="8"/>
  <c r="D873" i="8"/>
  <c r="E873" i="8"/>
  <c r="F873" i="8"/>
  <c r="G873" i="8"/>
  <c r="C874" i="8"/>
  <c r="D874" i="8"/>
  <c r="E874" i="8"/>
  <c r="F874" i="8"/>
  <c r="G874" i="8"/>
  <c r="C875" i="8"/>
  <c r="D875" i="8"/>
  <c r="E875" i="8"/>
  <c r="F875" i="8"/>
  <c r="G875" i="8"/>
  <c r="C876" i="8"/>
  <c r="D876" i="8"/>
  <c r="E876" i="8"/>
  <c r="F876" i="8"/>
  <c r="G876" i="8"/>
  <c r="C877" i="8"/>
  <c r="D877" i="8"/>
  <c r="E877" i="8"/>
  <c r="F877" i="8"/>
  <c r="G877" i="8"/>
  <c r="C878" i="8"/>
  <c r="D878" i="8"/>
  <c r="E878" i="8"/>
  <c r="F878" i="8"/>
  <c r="G878" i="8"/>
  <c r="C879" i="8"/>
  <c r="D879" i="8"/>
  <c r="E879" i="8"/>
  <c r="F879" i="8"/>
  <c r="G879" i="8"/>
  <c r="C880" i="8"/>
  <c r="D880" i="8"/>
  <c r="E880" i="8"/>
  <c r="F880" i="8"/>
  <c r="G880" i="8"/>
  <c r="C881" i="8"/>
  <c r="D881" i="8"/>
  <c r="E881" i="8"/>
  <c r="F881" i="8"/>
  <c r="G881" i="8"/>
  <c r="C882" i="8"/>
  <c r="D882" i="8"/>
  <c r="E882" i="8"/>
  <c r="F882" i="8"/>
  <c r="G882" i="8"/>
  <c r="C883" i="8"/>
  <c r="D883" i="8"/>
  <c r="E883" i="8"/>
  <c r="F883" i="8"/>
  <c r="G883" i="8"/>
  <c r="C884" i="8"/>
  <c r="D884" i="8"/>
  <c r="E884" i="8"/>
  <c r="F884" i="8"/>
  <c r="G884" i="8"/>
  <c r="C885" i="8"/>
  <c r="D885" i="8"/>
  <c r="E885" i="8"/>
  <c r="F885" i="8"/>
  <c r="G885" i="8"/>
  <c r="C886" i="8"/>
  <c r="D886" i="8"/>
  <c r="E886" i="8"/>
  <c r="F886" i="8"/>
  <c r="G886" i="8"/>
  <c r="C887" i="8"/>
  <c r="D887" i="8"/>
  <c r="E887" i="8"/>
  <c r="F887" i="8"/>
  <c r="G887" i="8"/>
  <c r="C888" i="8"/>
  <c r="D888" i="8"/>
  <c r="E888" i="8"/>
  <c r="F888" i="8"/>
  <c r="G888" i="8"/>
  <c r="C889" i="8"/>
  <c r="D889" i="8"/>
  <c r="E889" i="8"/>
  <c r="F889" i="8"/>
  <c r="G889" i="8"/>
  <c r="C890" i="8"/>
  <c r="D890" i="8"/>
  <c r="E890" i="8"/>
  <c r="F890" i="8"/>
  <c r="G890" i="8"/>
  <c r="C891" i="8"/>
  <c r="D891" i="8"/>
  <c r="E891" i="8"/>
  <c r="F891" i="8"/>
  <c r="G891" i="8"/>
  <c r="C892" i="8"/>
  <c r="D892" i="8"/>
  <c r="E892" i="8"/>
  <c r="F892" i="8"/>
  <c r="G892" i="8"/>
  <c r="C893" i="8"/>
  <c r="D893" i="8"/>
  <c r="E893" i="8"/>
  <c r="F893" i="8"/>
  <c r="G893" i="8"/>
  <c r="C894" i="8"/>
  <c r="D894" i="8"/>
  <c r="E894" i="8"/>
  <c r="F894" i="8"/>
  <c r="G894" i="8"/>
  <c r="C895" i="8"/>
  <c r="D895" i="8"/>
  <c r="E895" i="8"/>
  <c r="F895" i="8"/>
  <c r="G895" i="8"/>
  <c r="C896" i="8"/>
  <c r="D896" i="8"/>
  <c r="E896" i="8"/>
  <c r="F896" i="8"/>
  <c r="G896" i="8"/>
  <c r="C897" i="8"/>
  <c r="D897" i="8"/>
  <c r="E897" i="8"/>
  <c r="F897" i="8"/>
  <c r="G897" i="8"/>
  <c r="C898" i="8"/>
  <c r="D898" i="8"/>
  <c r="E898" i="8"/>
  <c r="F898" i="8"/>
  <c r="G898" i="8"/>
  <c r="C899" i="8"/>
  <c r="D899" i="8"/>
  <c r="E899" i="8"/>
  <c r="F899" i="8"/>
  <c r="G899" i="8"/>
  <c r="C900" i="8"/>
  <c r="D900" i="8"/>
  <c r="E900" i="8"/>
  <c r="F900" i="8"/>
  <c r="G900" i="8"/>
  <c r="C901" i="8"/>
  <c r="D901" i="8"/>
  <c r="E901" i="8"/>
  <c r="F901" i="8"/>
  <c r="G901" i="8"/>
  <c r="C902" i="8"/>
  <c r="D902" i="8"/>
  <c r="E902" i="8"/>
  <c r="F902" i="8"/>
  <c r="G902" i="8"/>
  <c r="C903" i="8"/>
  <c r="D903" i="8"/>
  <c r="E903" i="8"/>
  <c r="F903" i="8"/>
  <c r="G903" i="8"/>
  <c r="C904" i="8"/>
  <c r="D904" i="8"/>
  <c r="E904" i="8"/>
  <c r="F904" i="8"/>
  <c r="G904" i="8"/>
  <c r="C905" i="8"/>
  <c r="D905" i="8"/>
  <c r="E905" i="8"/>
  <c r="F905" i="8"/>
  <c r="G905" i="8"/>
  <c r="C906" i="8"/>
  <c r="D906" i="8"/>
  <c r="E906" i="8"/>
  <c r="F906" i="8"/>
  <c r="G906" i="8"/>
  <c r="C907" i="8"/>
  <c r="D907" i="8"/>
  <c r="E907" i="8"/>
  <c r="F907" i="8"/>
  <c r="G907" i="8"/>
  <c r="C908" i="8"/>
  <c r="D908" i="8"/>
  <c r="E908" i="8"/>
  <c r="F908" i="8"/>
  <c r="G908" i="8"/>
  <c r="C909" i="8"/>
  <c r="D909" i="8"/>
  <c r="E909" i="8"/>
  <c r="F909" i="8"/>
  <c r="G909" i="8"/>
  <c r="C910" i="8"/>
  <c r="D910" i="8"/>
  <c r="E910" i="8"/>
  <c r="F910" i="8"/>
  <c r="G910" i="8"/>
  <c r="C911" i="8"/>
  <c r="D911" i="8"/>
  <c r="E911" i="8"/>
  <c r="F911" i="8"/>
  <c r="G911" i="8"/>
  <c r="C912" i="8"/>
  <c r="D912" i="8"/>
  <c r="E912" i="8"/>
  <c r="F912" i="8"/>
  <c r="G912" i="8"/>
  <c r="C913" i="8"/>
  <c r="D913" i="8"/>
  <c r="E913" i="8"/>
  <c r="F913" i="8"/>
  <c r="G913" i="8"/>
  <c r="C914" i="8"/>
  <c r="D914" i="8"/>
  <c r="E914" i="8"/>
  <c r="F914" i="8"/>
  <c r="G914" i="8"/>
  <c r="C915" i="8"/>
  <c r="D915" i="8"/>
  <c r="E915" i="8"/>
  <c r="F915" i="8"/>
  <c r="G915" i="8"/>
  <c r="C916" i="8"/>
  <c r="D916" i="8"/>
  <c r="E916" i="8"/>
  <c r="F916" i="8"/>
  <c r="G916" i="8"/>
  <c r="C917" i="8"/>
  <c r="D917" i="8"/>
  <c r="E917" i="8"/>
  <c r="F917" i="8"/>
  <c r="G917" i="8"/>
  <c r="C918" i="8"/>
  <c r="D918" i="8"/>
  <c r="E918" i="8"/>
  <c r="F918" i="8"/>
  <c r="G918" i="8"/>
  <c r="C919" i="8"/>
  <c r="D919" i="8"/>
  <c r="E919" i="8"/>
  <c r="F919" i="8"/>
  <c r="G919" i="8"/>
  <c r="C920" i="8"/>
  <c r="D920" i="8"/>
  <c r="E920" i="8"/>
  <c r="F920" i="8"/>
  <c r="G920" i="8"/>
  <c r="C921" i="8"/>
  <c r="D921" i="8"/>
  <c r="E921" i="8"/>
  <c r="F921" i="8"/>
  <c r="G921" i="8"/>
  <c r="C922" i="8"/>
  <c r="D922" i="8"/>
  <c r="E922" i="8"/>
  <c r="F922" i="8"/>
  <c r="G922" i="8"/>
  <c r="C923" i="8"/>
  <c r="D923" i="8"/>
  <c r="E923" i="8"/>
  <c r="F923" i="8"/>
  <c r="G923" i="8"/>
  <c r="C924" i="8"/>
  <c r="D924" i="8"/>
  <c r="E924" i="8"/>
  <c r="F924" i="8"/>
  <c r="G924" i="8"/>
  <c r="C925" i="8"/>
  <c r="D925" i="8"/>
  <c r="E925" i="8"/>
  <c r="F925" i="8"/>
  <c r="G925" i="8"/>
  <c r="C926" i="8"/>
  <c r="D926" i="8"/>
  <c r="E926" i="8"/>
  <c r="F926" i="8"/>
  <c r="G926" i="8"/>
  <c r="C927" i="8"/>
  <c r="D927" i="8"/>
  <c r="E927" i="8"/>
  <c r="F927" i="8"/>
  <c r="G927" i="8"/>
  <c r="C928" i="8"/>
  <c r="D928" i="8"/>
  <c r="E928" i="8"/>
  <c r="F928" i="8"/>
  <c r="G928" i="8"/>
  <c r="C929" i="8"/>
  <c r="D929" i="8"/>
  <c r="E929" i="8"/>
  <c r="F929" i="8"/>
  <c r="G929" i="8"/>
  <c r="C930" i="8"/>
  <c r="D930" i="8"/>
  <c r="E930" i="8"/>
  <c r="F930" i="8"/>
  <c r="G930" i="8"/>
  <c r="C931" i="8"/>
  <c r="D931" i="8"/>
  <c r="E931" i="8"/>
  <c r="F931" i="8"/>
  <c r="G931" i="8"/>
  <c r="C932" i="8"/>
  <c r="D932" i="8"/>
  <c r="E932" i="8"/>
  <c r="F932" i="8"/>
  <c r="G932" i="8"/>
  <c r="C933" i="8"/>
  <c r="D933" i="8"/>
  <c r="E933" i="8"/>
  <c r="F933" i="8"/>
  <c r="G933" i="8"/>
  <c r="C934" i="8"/>
  <c r="D934" i="8"/>
  <c r="E934" i="8"/>
  <c r="F934" i="8"/>
  <c r="G934" i="8"/>
  <c r="C935" i="8"/>
  <c r="D935" i="8"/>
  <c r="E935" i="8"/>
  <c r="F935" i="8"/>
  <c r="G935" i="8"/>
  <c r="C936" i="8"/>
  <c r="D936" i="8"/>
  <c r="E936" i="8"/>
  <c r="F936" i="8"/>
  <c r="G936" i="8"/>
  <c r="C937" i="8"/>
  <c r="D937" i="8"/>
  <c r="E937" i="8"/>
  <c r="F937" i="8"/>
  <c r="G937" i="8"/>
  <c r="C938" i="8"/>
  <c r="D938" i="8"/>
  <c r="E938" i="8"/>
  <c r="F938" i="8"/>
  <c r="G938" i="8"/>
  <c r="C939" i="8"/>
  <c r="D939" i="8"/>
  <c r="E939" i="8"/>
  <c r="F939" i="8"/>
  <c r="G939" i="8"/>
  <c r="C940" i="8"/>
  <c r="D940" i="8"/>
  <c r="E940" i="8"/>
  <c r="F940" i="8"/>
  <c r="G940" i="8"/>
  <c r="C941" i="8"/>
  <c r="D941" i="8"/>
  <c r="E941" i="8"/>
  <c r="F941" i="8"/>
  <c r="G941" i="8"/>
  <c r="C942" i="8"/>
  <c r="D942" i="8"/>
  <c r="E942" i="8"/>
  <c r="F942" i="8"/>
  <c r="G942" i="8"/>
  <c r="C943" i="8"/>
  <c r="D943" i="8"/>
  <c r="E943" i="8"/>
  <c r="F943" i="8"/>
  <c r="G943" i="8"/>
  <c r="C944" i="8"/>
  <c r="D944" i="8"/>
  <c r="E944" i="8"/>
  <c r="F944" i="8"/>
  <c r="G944" i="8"/>
  <c r="C945" i="8"/>
  <c r="D945" i="8"/>
  <c r="E945" i="8"/>
  <c r="F945" i="8"/>
  <c r="G945" i="8"/>
  <c r="C946" i="8"/>
  <c r="D946" i="8"/>
  <c r="E946" i="8"/>
  <c r="F946" i="8"/>
  <c r="G946" i="8"/>
  <c r="C947" i="8"/>
  <c r="D947" i="8"/>
  <c r="E947" i="8"/>
  <c r="F947" i="8"/>
  <c r="G947" i="8"/>
  <c r="C948" i="8"/>
  <c r="D948" i="8"/>
  <c r="E948" i="8"/>
  <c r="F948" i="8"/>
  <c r="G948" i="8"/>
  <c r="C949" i="8"/>
  <c r="D949" i="8"/>
  <c r="E949" i="8"/>
  <c r="F949" i="8"/>
  <c r="G949" i="8"/>
  <c r="C950" i="8"/>
  <c r="D950" i="8"/>
  <c r="E950" i="8"/>
  <c r="F950" i="8"/>
  <c r="G950" i="8"/>
  <c r="C951" i="8"/>
  <c r="D951" i="8"/>
  <c r="E951" i="8"/>
  <c r="F951" i="8"/>
  <c r="G951" i="8"/>
  <c r="C952" i="8"/>
  <c r="D952" i="8"/>
  <c r="E952" i="8"/>
  <c r="F952" i="8"/>
  <c r="G952" i="8"/>
  <c r="C953" i="8"/>
  <c r="D953" i="8"/>
  <c r="E953" i="8"/>
  <c r="F953" i="8"/>
  <c r="G953" i="8"/>
  <c r="C954" i="8"/>
  <c r="D954" i="8"/>
  <c r="E954" i="8"/>
  <c r="F954" i="8"/>
  <c r="G954" i="8"/>
  <c r="C955" i="8"/>
  <c r="D955" i="8"/>
  <c r="E955" i="8"/>
  <c r="F955" i="8"/>
  <c r="G955" i="8"/>
  <c r="C956" i="8"/>
  <c r="D956" i="8"/>
  <c r="E956" i="8"/>
  <c r="F956" i="8"/>
  <c r="G956" i="8"/>
  <c r="C957" i="8"/>
  <c r="D957" i="8"/>
  <c r="E957" i="8"/>
  <c r="F957" i="8"/>
  <c r="G957" i="8"/>
  <c r="C958" i="8"/>
  <c r="D958" i="8"/>
  <c r="E958" i="8"/>
  <c r="F958" i="8"/>
  <c r="G958" i="8"/>
  <c r="C959" i="8"/>
  <c r="D959" i="8"/>
  <c r="E959" i="8"/>
  <c r="F959" i="8"/>
  <c r="G959" i="8"/>
  <c r="C960" i="8"/>
  <c r="D960" i="8"/>
  <c r="E960" i="8"/>
  <c r="F960" i="8"/>
  <c r="G960" i="8"/>
  <c r="C961" i="8"/>
  <c r="D961" i="8"/>
  <c r="E961" i="8"/>
  <c r="F961" i="8"/>
  <c r="G961" i="8"/>
  <c r="C962" i="8"/>
  <c r="D962" i="8"/>
  <c r="E962" i="8"/>
  <c r="F962" i="8"/>
  <c r="G962" i="8"/>
  <c r="C963" i="8"/>
  <c r="D963" i="8"/>
  <c r="E963" i="8"/>
  <c r="F963" i="8"/>
  <c r="G963" i="8"/>
  <c r="C964" i="8"/>
  <c r="D964" i="8"/>
  <c r="E964" i="8"/>
  <c r="F964" i="8"/>
  <c r="G964" i="8"/>
  <c r="C965" i="8"/>
  <c r="D965" i="8"/>
  <c r="E965" i="8"/>
  <c r="F965" i="8"/>
  <c r="G965" i="8"/>
  <c r="C966" i="8"/>
  <c r="D966" i="8"/>
  <c r="E966" i="8"/>
  <c r="F966" i="8"/>
  <c r="G966" i="8"/>
  <c r="C967" i="8"/>
  <c r="D967" i="8"/>
  <c r="E967" i="8"/>
  <c r="F967" i="8"/>
  <c r="G967" i="8"/>
  <c r="C968" i="8"/>
  <c r="D968" i="8"/>
  <c r="E968" i="8"/>
  <c r="F968" i="8"/>
  <c r="G968" i="8"/>
  <c r="C969" i="8"/>
  <c r="D969" i="8"/>
  <c r="E969" i="8"/>
  <c r="F969" i="8"/>
  <c r="G969" i="8"/>
  <c r="C970" i="8"/>
  <c r="D970" i="8"/>
  <c r="E970" i="8"/>
  <c r="F970" i="8"/>
  <c r="G970" i="8"/>
  <c r="C971" i="8"/>
  <c r="D971" i="8"/>
  <c r="E971" i="8"/>
  <c r="F971" i="8"/>
  <c r="G971" i="8"/>
  <c r="C972" i="8"/>
  <c r="D972" i="8"/>
  <c r="E972" i="8"/>
  <c r="F972" i="8"/>
  <c r="G972" i="8"/>
  <c r="C973" i="8"/>
  <c r="D973" i="8"/>
  <c r="E973" i="8"/>
  <c r="F973" i="8"/>
  <c r="G973" i="8"/>
  <c r="C974" i="8"/>
  <c r="D974" i="8"/>
  <c r="E974" i="8"/>
  <c r="F974" i="8"/>
  <c r="G974" i="8"/>
  <c r="C975" i="8"/>
  <c r="D975" i="8"/>
  <c r="E975" i="8"/>
  <c r="F975" i="8"/>
  <c r="G975" i="8"/>
  <c r="C976" i="8"/>
  <c r="D976" i="8"/>
  <c r="E976" i="8"/>
  <c r="F976" i="8"/>
  <c r="G976" i="8"/>
  <c r="C977" i="8"/>
  <c r="D977" i="8"/>
  <c r="E977" i="8"/>
  <c r="F977" i="8"/>
  <c r="G977" i="8"/>
  <c r="C978" i="8"/>
  <c r="D978" i="8"/>
  <c r="E978" i="8"/>
  <c r="F978" i="8"/>
  <c r="G978" i="8"/>
  <c r="C979" i="8"/>
  <c r="D979" i="8"/>
  <c r="E979" i="8"/>
  <c r="F979" i="8"/>
  <c r="G979" i="8"/>
  <c r="C980" i="8"/>
  <c r="D980" i="8"/>
  <c r="E980" i="8"/>
  <c r="F980" i="8"/>
  <c r="G980" i="8"/>
  <c r="C981" i="8"/>
  <c r="D981" i="8"/>
  <c r="E981" i="8"/>
  <c r="F981" i="8"/>
  <c r="G981" i="8"/>
  <c r="C982" i="8"/>
  <c r="D982" i="8"/>
  <c r="E982" i="8"/>
  <c r="F982" i="8"/>
  <c r="G982" i="8"/>
  <c r="C983" i="8"/>
  <c r="D983" i="8"/>
  <c r="E983" i="8"/>
  <c r="F983" i="8"/>
  <c r="G983" i="8"/>
  <c r="C984" i="8"/>
  <c r="D984" i="8"/>
  <c r="E984" i="8"/>
  <c r="F984" i="8"/>
  <c r="G984" i="8"/>
  <c r="C985" i="8"/>
  <c r="D985" i="8"/>
  <c r="E985" i="8"/>
  <c r="F985" i="8"/>
  <c r="G985" i="8"/>
  <c r="C986" i="8"/>
  <c r="D986" i="8"/>
  <c r="E986" i="8"/>
  <c r="F986" i="8"/>
  <c r="G986" i="8"/>
  <c r="C987" i="8"/>
  <c r="D987" i="8"/>
  <c r="E987" i="8"/>
  <c r="F987" i="8"/>
  <c r="G987" i="8"/>
  <c r="C988" i="8"/>
  <c r="D988" i="8"/>
  <c r="E988" i="8"/>
  <c r="F988" i="8"/>
  <c r="G988" i="8"/>
  <c r="C989" i="8"/>
  <c r="D989" i="8"/>
  <c r="E989" i="8"/>
  <c r="F989" i="8"/>
  <c r="G989" i="8"/>
  <c r="C990" i="8"/>
  <c r="D990" i="8"/>
  <c r="E990" i="8"/>
  <c r="F990" i="8"/>
  <c r="G990" i="8"/>
  <c r="C991" i="8"/>
  <c r="D991" i="8"/>
  <c r="E991" i="8"/>
  <c r="F991" i="8"/>
  <c r="G991" i="8"/>
  <c r="C992" i="8"/>
  <c r="D992" i="8"/>
  <c r="E992" i="8"/>
  <c r="F992" i="8"/>
  <c r="G992" i="8"/>
  <c r="C993" i="8"/>
  <c r="D993" i="8"/>
  <c r="E993" i="8"/>
  <c r="F993" i="8"/>
  <c r="G993" i="8"/>
  <c r="C994" i="8"/>
  <c r="D994" i="8"/>
  <c r="E994" i="8"/>
  <c r="F994" i="8"/>
  <c r="G994" i="8"/>
  <c r="C995" i="8"/>
  <c r="D995" i="8"/>
  <c r="E995" i="8"/>
  <c r="F995" i="8"/>
  <c r="G995" i="8"/>
  <c r="C996" i="8"/>
  <c r="D996" i="8"/>
  <c r="E996" i="8"/>
  <c r="F996" i="8"/>
  <c r="G996" i="8"/>
  <c r="C997" i="8"/>
  <c r="D997" i="8"/>
  <c r="E997" i="8"/>
  <c r="F997" i="8"/>
  <c r="G997" i="8"/>
  <c r="C998" i="8"/>
  <c r="D998" i="8"/>
  <c r="E998" i="8"/>
  <c r="F998" i="8"/>
  <c r="G998" i="8"/>
  <c r="C999" i="8"/>
  <c r="D999" i="8"/>
  <c r="E999" i="8"/>
  <c r="F999" i="8"/>
  <c r="G999" i="8"/>
  <c r="C1000" i="8"/>
  <c r="D1000" i="8"/>
  <c r="E1000" i="8"/>
  <c r="F1000" i="8"/>
  <c r="G1000" i="8"/>
  <c r="C1001" i="8"/>
  <c r="D1001" i="8"/>
  <c r="E1001" i="8"/>
  <c r="F1001" i="8"/>
  <c r="G1001" i="8"/>
  <c r="C1002" i="8"/>
  <c r="D1002" i="8"/>
  <c r="E1002" i="8"/>
  <c r="F1002" i="8"/>
  <c r="G1002" i="8"/>
  <c r="C1003" i="8"/>
  <c r="D1003" i="8"/>
  <c r="E1003" i="8"/>
  <c r="F1003" i="8"/>
  <c r="G1003" i="8"/>
  <c r="C1004" i="8"/>
  <c r="D1004" i="8"/>
  <c r="E1004" i="8"/>
  <c r="F1004" i="8"/>
  <c r="G1004" i="8"/>
  <c r="C1005" i="8"/>
  <c r="D1005" i="8"/>
  <c r="E1005" i="8"/>
  <c r="F1005" i="8"/>
  <c r="G1005" i="8"/>
  <c r="C1006" i="8"/>
  <c r="D1006" i="8"/>
  <c r="E1006" i="8"/>
  <c r="F1006" i="8"/>
  <c r="G1006" i="8"/>
  <c r="C1007" i="8"/>
  <c r="D1007" i="8"/>
  <c r="E1007" i="8"/>
  <c r="F1007" i="8"/>
  <c r="G1007" i="8"/>
  <c r="C1008" i="8"/>
  <c r="D1008" i="8"/>
  <c r="E1008" i="8"/>
  <c r="F1008" i="8"/>
  <c r="G1008" i="8"/>
  <c r="C1009" i="8"/>
  <c r="D1009" i="8"/>
  <c r="E1009" i="8"/>
  <c r="F1009" i="8"/>
  <c r="G1009" i="8"/>
  <c r="C1010" i="8"/>
  <c r="D1010" i="8"/>
  <c r="E1010" i="8"/>
  <c r="F1010" i="8"/>
  <c r="G1010" i="8"/>
  <c r="C1011" i="8"/>
  <c r="D1011" i="8"/>
  <c r="E1011" i="8"/>
  <c r="F1011" i="8"/>
  <c r="G1011" i="8"/>
  <c r="C1012" i="8"/>
  <c r="D1012" i="8"/>
  <c r="E1012" i="8"/>
  <c r="F1012" i="8"/>
  <c r="G1012" i="8"/>
  <c r="C1013" i="8"/>
  <c r="D1013" i="8"/>
  <c r="E1013" i="8"/>
  <c r="F1013" i="8"/>
  <c r="G1013" i="8"/>
  <c r="C1014" i="8"/>
  <c r="D1014" i="8"/>
  <c r="E1014" i="8"/>
  <c r="F1014" i="8"/>
  <c r="G1014" i="8"/>
  <c r="C1015" i="8"/>
  <c r="D1015" i="8"/>
  <c r="E1015" i="8"/>
  <c r="F1015" i="8"/>
  <c r="G1015" i="8"/>
  <c r="C1016" i="8"/>
  <c r="D1016" i="8"/>
  <c r="E1016" i="8"/>
  <c r="F1016" i="8"/>
  <c r="G1016" i="8"/>
  <c r="C1017" i="8"/>
  <c r="D1017" i="8"/>
  <c r="E1017" i="8"/>
  <c r="F1017" i="8"/>
  <c r="G1017" i="8"/>
  <c r="C1018" i="8"/>
  <c r="D1018" i="8"/>
  <c r="E1018" i="8"/>
  <c r="F1018" i="8"/>
  <c r="G1018" i="8"/>
  <c r="C1019" i="8"/>
  <c r="D1019" i="8"/>
  <c r="E1019" i="8"/>
  <c r="F1019" i="8"/>
  <c r="G1019" i="8"/>
  <c r="C1020" i="8"/>
  <c r="D1020" i="8"/>
  <c r="E1020" i="8"/>
  <c r="F1020" i="8"/>
  <c r="G1020" i="8"/>
  <c r="C1021" i="8"/>
  <c r="D1021" i="8"/>
  <c r="E1021" i="8"/>
  <c r="F1021" i="8"/>
  <c r="G1021" i="8"/>
  <c r="C1022" i="8"/>
  <c r="D1022" i="8"/>
  <c r="E1022" i="8"/>
  <c r="F1022" i="8"/>
  <c r="G1022" i="8"/>
  <c r="C1023" i="8"/>
  <c r="D1023" i="8"/>
  <c r="E1023" i="8"/>
  <c r="F1023" i="8"/>
  <c r="G1023" i="8"/>
  <c r="C1024" i="8"/>
  <c r="D1024" i="8"/>
  <c r="E1024" i="8"/>
  <c r="F1024" i="8"/>
  <c r="G1024" i="8"/>
  <c r="C1025" i="8"/>
  <c r="D1025" i="8"/>
  <c r="E1025" i="8"/>
  <c r="F1025" i="8"/>
  <c r="G1025" i="8"/>
  <c r="C1026" i="8"/>
  <c r="D1026" i="8"/>
  <c r="E1026" i="8"/>
  <c r="F1026" i="8"/>
  <c r="G1026" i="8"/>
  <c r="C1027" i="8"/>
  <c r="D1027" i="8"/>
  <c r="E1027" i="8"/>
  <c r="F1027" i="8"/>
  <c r="G1027" i="8"/>
  <c r="C1028" i="8"/>
  <c r="D1028" i="8"/>
  <c r="E1028" i="8"/>
  <c r="F1028" i="8"/>
  <c r="G1028" i="8"/>
  <c r="C1029" i="8"/>
  <c r="D1029" i="8"/>
  <c r="E1029" i="8"/>
  <c r="F1029" i="8"/>
  <c r="G1029" i="8"/>
  <c r="C1030" i="8"/>
  <c r="D1030" i="8"/>
  <c r="E1030" i="8"/>
  <c r="F1030" i="8"/>
  <c r="G1030" i="8"/>
  <c r="C1031" i="8"/>
  <c r="D1031" i="8"/>
  <c r="E1031" i="8"/>
  <c r="F1031" i="8"/>
  <c r="G1031" i="8"/>
  <c r="C1032" i="8"/>
  <c r="D1032" i="8"/>
  <c r="E1032" i="8"/>
  <c r="F1032" i="8"/>
  <c r="G1032" i="8"/>
  <c r="C1033" i="8"/>
  <c r="D1033" i="8"/>
  <c r="E1033" i="8"/>
  <c r="F1033" i="8"/>
  <c r="G1033" i="8"/>
  <c r="C1034" i="8"/>
  <c r="D1034" i="8"/>
  <c r="E1034" i="8"/>
  <c r="F1034" i="8"/>
  <c r="G1034" i="8"/>
  <c r="C1035" i="8"/>
  <c r="D1035" i="8"/>
  <c r="E1035" i="8"/>
  <c r="F1035" i="8"/>
  <c r="G1035" i="8"/>
  <c r="C1036" i="8"/>
  <c r="D1036" i="8"/>
  <c r="E1036" i="8"/>
  <c r="F1036" i="8"/>
  <c r="G1036" i="8"/>
  <c r="C1037" i="8"/>
  <c r="D1037" i="8"/>
  <c r="E1037" i="8"/>
  <c r="F1037" i="8"/>
  <c r="G1037" i="8"/>
  <c r="C1038" i="8"/>
  <c r="D1038" i="8"/>
  <c r="E1038" i="8"/>
  <c r="F1038" i="8"/>
  <c r="G1038" i="8"/>
  <c r="C1039" i="8"/>
  <c r="D1039" i="8"/>
  <c r="E1039" i="8"/>
  <c r="F1039" i="8"/>
  <c r="G1039" i="8"/>
  <c r="C1040" i="8"/>
  <c r="D1040" i="8"/>
  <c r="E1040" i="8"/>
  <c r="F1040" i="8"/>
  <c r="G1040" i="8"/>
  <c r="C1041" i="8"/>
  <c r="D1041" i="8"/>
  <c r="E1041" i="8"/>
  <c r="F1041" i="8"/>
  <c r="G1041" i="8"/>
  <c r="C1042" i="8"/>
  <c r="D1042" i="8"/>
  <c r="E1042" i="8"/>
  <c r="F1042" i="8"/>
  <c r="G1042" i="8"/>
  <c r="C1043" i="8"/>
  <c r="D1043" i="8"/>
  <c r="E1043" i="8"/>
  <c r="F1043" i="8"/>
  <c r="G1043" i="8"/>
  <c r="C1044" i="8"/>
  <c r="D1044" i="8"/>
  <c r="E1044" i="8"/>
  <c r="F1044" i="8"/>
  <c r="G1044" i="8"/>
  <c r="C1045" i="8"/>
  <c r="D1045" i="8"/>
  <c r="E1045" i="8"/>
  <c r="F1045" i="8"/>
  <c r="G1045" i="8"/>
  <c r="C1046" i="8"/>
  <c r="D1046" i="8"/>
  <c r="E1046" i="8"/>
  <c r="F1046" i="8"/>
  <c r="G1046" i="8"/>
  <c r="C1047" i="8"/>
  <c r="D1047" i="8"/>
  <c r="E1047" i="8"/>
  <c r="F1047" i="8"/>
  <c r="G1047" i="8"/>
  <c r="C1048" i="8"/>
  <c r="D1048" i="8"/>
  <c r="E1048" i="8"/>
  <c r="F1048" i="8"/>
  <c r="G1048" i="8"/>
  <c r="C1049" i="8"/>
  <c r="D1049" i="8"/>
  <c r="E1049" i="8"/>
  <c r="F1049" i="8"/>
  <c r="G1049" i="8"/>
  <c r="C1050" i="8"/>
  <c r="D1050" i="8"/>
  <c r="E1050" i="8"/>
  <c r="F1050" i="8"/>
  <c r="G1050" i="8"/>
  <c r="C1051" i="8"/>
  <c r="D1051" i="8"/>
  <c r="E1051" i="8"/>
  <c r="F1051" i="8"/>
  <c r="G1051" i="8"/>
  <c r="C1052" i="8"/>
  <c r="D1052" i="8"/>
  <c r="E1052" i="8"/>
  <c r="F1052" i="8"/>
  <c r="G1052" i="8"/>
  <c r="C1053" i="8"/>
  <c r="D1053" i="8"/>
  <c r="E1053" i="8"/>
  <c r="F1053" i="8"/>
  <c r="G1053" i="8"/>
  <c r="C1054" i="8"/>
  <c r="D1054" i="8"/>
  <c r="E1054" i="8"/>
  <c r="F1054" i="8"/>
  <c r="G1054" i="8"/>
  <c r="C1055" i="8"/>
  <c r="D1055" i="8"/>
  <c r="E1055" i="8"/>
  <c r="F1055" i="8"/>
  <c r="G1055" i="8"/>
  <c r="C1056" i="8"/>
  <c r="D1056" i="8"/>
  <c r="E1056" i="8"/>
  <c r="F1056" i="8"/>
  <c r="G1056" i="8"/>
  <c r="C1057" i="8"/>
  <c r="D1057" i="8"/>
  <c r="E1057" i="8"/>
  <c r="F1057" i="8"/>
  <c r="G1057" i="8"/>
  <c r="C1058" i="8"/>
  <c r="D1058" i="8"/>
  <c r="E1058" i="8"/>
  <c r="F1058" i="8"/>
  <c r="G1058" i="8"/>
  <c r="C1059" i="8"/>
  <c r="D1059" i="8"/>
  <c r="E1059" i="8"/>
  <c r="F1059" i="8"/>
  <c r="G1059" i="8"/>
  <c r="C1060" i="8"/>
  <c r="D1060" i="8"/>
  <c r="E1060" i="8"/>
  <c r="F1060" i="8"/>
  <c r="G1060" i="8"/>
  <c r="C1061" i="8"/>
  <c r="D1061" i="8"/>
  <c r="E1061" i="8"/>
  <c r="F1061" i="8"/>
  <c r="G1061" i="8"/>
  <c r="C1062" i="8"/>
  <c r="D1062" i="8"/>
  <c r="E1062" i="8"/>
  <c r="F1062" i="8"/>
  <c r="G1062" i="8"/>
  <c r="C1063" i="8"/>
  <c r="D1063" i="8"/>
  <c r="E1063" i="8"/>
  <c r="F1063" i="8"/>
  <c r="G1063" i="8"/>
  <c r="C1064" i="8"/>
  <c r="D1064" i="8"/>
  <c r="E1064" i="8"/>
  <c r="F1064" i="8"/>
  <c r="G1064" i="8"/>
  <c r="C1065" i="8"/>
  <c r="D1065" i="8"/>
  <c r="E1065" i="8"/>
  <c r="F1065" i="8"/>
  <c r="G1065" i="8"/>
  <c r="C1066" i="8"/>
  <c r="D1066" i="8"/>
  <c r="E1066" i="8"/>
  <c r="F1066" i="8"/>
  <c r="G1066" i="8"/>
  <c r="C1067" i="8"/>
  <c r="D1067" i="8"/>
  <c r="E1067" i="8"/>
  <c r="F1067" i="8"/>
  <c r="G1067" i="8"/>
  <c r="C1068" i="8"/>
  <c r="D1068" i="8"/>
  <c r="E1068" i="8"/>
  <c r="F1068" i="8"/>
  <c r="G1068" i="8"/>
  <c r="C1069" i="8"/>
  <c r="D1069" i="8"/>
  <c r="E1069" i="8"/>
  <c r="F1069" i="8"/>
  <c r="G1069" i="8"/>
  <c r="C1070" i="8"/>
  <c r="D1070" i="8"/>
  <c r="E1070" i="8"/>
  <c r="F1070" i="8"/>
  <c r="G1070" i="8"/>
  <c r="C1071" i="8"/>
  <c r="D1071" i="8"/>
  <c r="E1071" i="8"/>
  <c r="F1071" i="8"/>
  <c r="G1071" i="8"/>
  <c r="C1072" i="8"/>
  <c r="D1072" i="8"/>
  <c r="E1072" i="8"/>
  <c r="F1072" i="8"/>
  <c r="G1072" i="8"/>
  <c r="C1073" i="8"/>
  <c r="D1073" i="8"/>
  <c r="E1073" i="8"/>
  <c r="F1073" i="8"/>
  <c r="G1073" i="8"/>
  <c r="C1074" i="8"/>
  <c r="D1074" i="8"/>
  <c r="E1074" i="8"/>
  <c r="F1074" i="8"/>
  <c r="G1074" i="8"/>
  <c r="C1075" i="8"/>
  <c r="D1075" i="8"/>
  <c r="E1075" i="8"/>
  <c r="F1075" i="8"/>
  <c r="G1075" i="8"/>
  <c r="C1076" i="8"/>
  <c r="D1076" i="8"/>
  <c r="E1076" i="8"/>
  <c r="F1076" i="8"/>
  <c r="G1076" i="8"/>
  <c r="C1077" i="8"/>
  <c r="D1077" i="8"/>
  <c r="E1077" i="8"/>
  <c r="F1077" i="8"/>
  <c r="G1077" i="8"/>
  <c r="C1078" i="8"/>
  <c r="D1078" i="8"/>
  <c r="E1078" i="8"/>
  <c r="F1078" i="8"/>
  <c r="G1078" i="8"/>
  <c r="C1079" i="8"/>
  <c r="D1079" i="8"/>
  <c r="E1079" i="8"/>
  <c r="F1079" i="8"/>
  <c r="G1079" i="8"/>
  <c r="C1080" i="8"/>
  <c r="D1080" i="8"/>
  <c r="E1080" i="8"/>
  <c r="F1080" i="8"/>
  <c r="G1080" i="8"/>
  <c r="C1081" i="8"/>
  <c r="D1081" i="8"/>
  <c r="E1081" i="8"/>
  <c r="F1081" i="8"/>
  <c r="G1081" i="8"/>
  <c r="C1082" i="8"/>
  <c r="D1082" i="8"/>
  <c r="E1082" i="8"/>
  <c r="F1082" i="8"/>
  <c r="G1082" i="8"/>
  <c r="C1083" i="8"/>
  <c r="D1083" i="8"/>
  <c r="E1083" i="8"/>
  <c r="F1083" i="8"/>
  <c r="G1083" i="8"/>
  <c r="C1084" i="8"/>
  <c r="D1084" i="8"/>
  <c r="E1084" i="8"/>
  <c r="F1084" i="8"/>
  <c r="G1084" i="8"/>
  <c r="C1085" i="8"/>
  <c r="D1085" i="8"/>
  <c r="E1085" i="8"/>
  <c r="F1085" i="8"/>
  <c r="G1085" i="8"/>
  <c r="C1086" i="8"/>
  <c r="D1086" i="8"/>
  <c r="E1086" i="8"/>
  <c r="F1086" i="8"/>
  <c r="G1086" i="8"/>
  <c r="C1087" i="8"/>
  <c r="D1087" i="8"/>
  <c r="E1087" i="8"/>
  <c r="F1087" i="8"/>
  <c r="G1087" i="8"/>
  <c r="C1088" i="8"/>
  <c r="D1088" i="8"/>
  <c r="E1088" i="8"/>
  <c r="F1088" i="8"/>
  <c r="G1088" i="8"/>
  <c r="C1089" i="8"/>
  <c r="D1089" i="8"/>
  <c r="E1089" i="8"/>
  <c r="F1089" i="8"/>
  <c r="G1089" i="8"/>
  <c r="C1090" i="8"/>
  <c r="D1090" i="8"/>
  <c r="E1090" i="8"/>
  <c r="F1090" i="8"/>
  <c r="G1090" i="8"/>
  <c r="C1091" i="8"/>
  <c r="D1091" i="8"/>
  <c r="E1091" i="8"/>
  <c r="F1091" i="8"/>
  <c r="G1091" i="8"/>
  <c r="C1092" i="8"/>
  <c r="D1092" i="8"/>
  <c r="E1092" i="8"/>
  <c r="F1092" i="8"/>
  <c r="G1092" i="8"/>
  <c r="C1093" i="8"/>
  <c r="D1093" i="8"/>
  <c r="E1093" i="8"/>
  <c r="F1093" i="8"/>
  <c r="G1093" i="8"/>
  <c r="C1094" i="8"/>
  <c r="D1094" i="8"/>
  <c r="E1094" i="8"/>
  <c r="F1094" i="8"/>
  <c r="G1094" i="8"/>
  <c r="C1095" i="8"/>
  <c r="D1095" i="8"/>
  <c r="E1095" i="8"/>
  <c r="F1095" i="8"/>
  <c r="G1095" i="8"/>
  <c r="C1096" i="8"/>
  <c r="D1096" i="8"/>
  <c r="E1096" i="8"/>
  <c r="F1096" i="8"/>
  <c r="G1096" i="8"/>
  <c r="C1097" i="8"/>
  <c r="D1097" i="8"/>
  <c r="E1097" i="8"/>
  <c r="F1097" i="8"/>
  <c r="G1097" i="8"/>
  <c r="C1098" i="8"/>
  <c r="D1098" i="8"/>
  <c r="E1098" i="8"/>
  <c r="F1098" i="8"/>
  <c r="G1098" i="8"/>
  <c r="C1099" i="8"/>
  <c r="D1099" i="8"/>
  <c r="E1099" i="8"/>
  <c r="F1099" i="8"/>
  <c r="G1099" i="8"/>
  <c r="A737" i="8"/>
  <c r="A738" i="8"/>
  <c r="A739" i="8"/>
  <c r="A740" i="8"/>
  <c r="A741" i="8"/>
  <c r="A742" i="8"/>
  <c r="A743" i="8"/>
  <c r="A744" i="8"/>
  <c r="A745" i="8"/>
  <c r="A746" i="8"/>
  <c r="A747" i="8"/>
  <c r="A748" i="8"/>
  <c r="A749" i="8"/>
  <c r="A750" i="8"/>
  <c r="A751" i="8"/>
  <c r="A752" i="8"/>
  <c r="A753" i="8"/>
  <c r="A754" i="8"/>
  <c r="A755" i="8"/>
  <c r="A756" i="8"/>
  <c r="A757" i="8"/>
  <c r="A758" i="8"/>
  <c r="A759" i="8"/>
  <c r="A760" i="8"/>
  <c r="A761" i="8"/>
  <c r="A762" i="8"/>
  <c r="A763" i="8"/>
  <c r="A764" i="8"/>
  <c r="A765" i="8"/>
  <c r="A766" i="8"/>
  <c r="A767" i="8"/>
  <c r="A768" i="8"/>
  <c r="A769" i="8"/>
  <c r="A770" i="8"/>
  <c r="A771" i="8"/>
  <c r="A772" i="8"/>
  <c r="A773" i="8"/>
  <c r="A774" i="8"/>
  <c r="A775" i="8"/>
  <c r="A776" i="8"/>
  <c r="A777" i="8"/>
  <c r="A778" i="8"/>
  <c r="A779" i="8"/>
  <c r="A780" i="8"/>
  <c r="A781" i="8"/>
  <c r="A782" i="8"/>
  <c r="A783" i="8"/>
  <c r="A784" i="8"/>
  <c r="A785" i="8"/>
  <c r="A786" i="8"/>
  <c r="A787" i="8"/>
  <c r="A788" i="8"/>
  <c r="A789" i="8"/>
  <c r="A790" i="8"/>
  <c r="A791" i="8"/>
  <c r="A792" i="8"/>
  <c r="A793" i="8"/>
  <c r="A794" i="8"/>
  <c r="A795" i="8"/>
  <c r="A796" i="8"/>
  <c r="A797" i="8"/>
  <c r="A798" i="8"/>
  <c r="A799" i="8"/>
  <c r="A800" i="8"/>
  <c r="A801" i="8"/>
  <c r="A802" i="8"/>
  <c r="A803" i="8"/>
  <c r="A804" i="8"/>
  <c r="A805" i="8"/>
  <c r="A806" i="8"/>
  <c r="A807" i="8"/>
  <c r="A808" i="8"/>
  <c r="A809" i="8"/>
  <c r="A810" i="8"/>
  <c r="A811" i="8"/>
  <c r="A812" i="8"/>
  <c r="A813" i="8"/>
  <c r="A814" i="8"/>
  <c r="A815" i="8"/>
  <c r="A816" i="8"/>
  <c r="A817" i="8"/>
  <c r="A818" i="8"/>
  <c r="A819" i="8"/>
  <c r="A820" i="8"/>
  <c r="A821" i="8"/>
  <c r="A822" i="8"/>
  <c r="A823" i="8"/>
  <c r="A824" i="8"/>
  <c r="A825" i="8"/>
  <c r="A826" i="8"/>
  <c r="A827" i="8"/>
  <c r="A828" i="8"/>
  <c r="A829" i="8"/>
  <c r="A830" i="8"/>
  <c r="A831" i="8"/>
  <c r="A832" i="8"/>
  <c r="A833" i="8"/>
  <c r="A834" i="8"/>
  <c r="A835" i="8"/>
  <c r="A836" i="8"/>
  <c r="A837" i="8"/>
  <c r="A838" i="8"/>
  <c r="A839" i="8"/>
  <c r="A840" i="8"/>
  <c r="A841" i="8"/>
  <c r="A842" i="8"/>
  <c r="A843" i="8"/>
  <c r="A844" i="8"/>
  <c r="A845" i="8"/>
  <c r="A846" i="8"/>
  <c r="A847" i="8"/>
  <c r="A848" i="8"/>
  <c r="A849" i="8"/>
  <c r="A850" i="8"/>
  <c r="A851" i="8"/>
  <c r="A852" i="8"/>
  <c r="A853" i="8"/>
  <c r="A854" i="8"/>
  <c r="A855" i="8"/>
  <c r="A856" i="8"/>
  <c r="A857" i="8"/>
  <c r="A858" i="8"/>
  <c r="A859" i="8"/>
  <c r="A860" i="8"/>
  <c r="A861" i="8"/>
  <c r="A862" i="8"/>
  <c r="A863" i="8"/>
  <c r="A864" i="8"/>
  <c r="A865" i="8"/>
  <c r="A866" i="8"/>
  <c r="A867" i="8"/>
  <c r="A868" i="8"/>
  <c r="A869" i="8"/>
  <c r="A870" i="8"/>
  <c r="A871" i="8"/>
  <c r="A872" i="8"/>
  <c r="A873" i="8"/>
  <c r="A874" i="8"/>
  <c r="A875" i="8"/>
  <c r="A876" i="8"/>
  <c r="A877" i="8"/>
  <c r="A878" i="8"/>
  <c r="A879" i="8"/>
  <c r="A880" i="8"/>
  <c r="A881" i="8"/>
  <c r="A882" i="8"/>
  <c r="A883" i="8"/>
  <c r="A884" i="8"/>
  <c r="A885" i="8"/>
  <c r="A886" i="8"/>
  <c r="A887" i="8"/>
  <c r="A888" i="8"/>
  <c r="A889" i="8"/>
  <c r="A890" i="8"/>
  <c r="A891" i="8"/>
  <c r="A892" i="8"/>
  <c r="A893" i="8"/>
  <c r="A894" i="8"/>
  <c r="A895" i="8"/>
  <c r="A896" i="8"/>
  <c r="A897" i="8"/>
  <c r="A898" i="8"/>
  <c r="A899" i="8"/>
  <c r="A900" i="8"/>
  <c r="A901" i="8"/>
  <c r="A902" i="8"/>
  <c r="A903" i="8"/>
  <c r="A904" i="8"/>
  <c r="A905" i="8"/>
  <c r="A906" i="8"/>
  <c r="A907" i="8"/>
  <c r="A908" i="8"/>
  <c r="A909" i="8"/>
  <c r="A910" i="8"/>
  <c r="A911" i="8"/>
  <c r="A912" i="8"/>
  <c r="A913" i="8"/>
  <c r="A914" i="8"/>
  <c r="A915" i="8"/>
  <c r="A916" i="8"/>
  <c r="A917" i="8"/>
  <c r="A918" i="8"/>
  <c r="A919" i="8"/>
  <c r="A920" i="8"/>
  <c r="A921" i="8"/>
  <c r="A922" i="8"/>
  <c r="A923" i="8"/>
  <c r="A924" i="8"/>
  <c r="A925" i="8"/>
  <c r="A926" i="8"/>
  <c r="A927" i="8"/>
  <c r="A928" i="8"/>
  <c r="A929" i="8"/>
  <c r="A930" i="8"/>
  <c r="A931" i="8"/>
  <c r="A932" i="8"/>
  <c r="A933" i="8"/>
  <c r="A934" i="8"/>
  <c r="A935" i="8"/>
  <c r="A936" i="8"/>
  <c r="A937" i="8"/>
  <c r="A938" i="8"/>
  <c r="A939" i="8"/>
  <c r="A940" i="8"/>
  <c r="A941" i="8"/>
  <c r="A942" i="8"/>
  <c r="A943" i="8"/>
  <c r="A944" i="8"/>
  <c r="A945" i="8"/>
  <c r="A946" i="8"/>
  <c r="A947" i="8"/>
  <c r="A948" i="8"/>
  <c r="A949" i="8"/>
  <c r="A950" i="8"/>
  <c r="A951" i="8"/>
  <c r="A952" i="8"/>
  <c r="A953" i="8"/>
  <c r="A954" i="8"/>
  <c r="A955" i="8"/>
  <c r="A956" i="8"/>
  <c r="A957" i="8"/>
  <c r="A958" i="8"/>
  <c r="A959" i="8"/>
  <c r="A960" i="8"/>
  <c r="A961" i="8"/>
  <c r="A962" i="8"/>
  <c r="A963" i="8"/>
  <c r="A964" i="8"/>
  <c r="A965" i="8"/>
  <c r="A966" i="8"/>
  <c r="A967" i="8"/>
  <c r="A968" i="8"/>
  <c r="A969" i="8"/>
  <c r="A970" i="8"/>
  <c r="A971" i="8"/>
  <c r="A972" i="8"/>
  <c r="A973" i="8"/>
  <c r="A974" i="8"/>
  <c r="A975" i="8"/>
  <c r="A976" i="8"/>
  <c r="A977" i="8"/>
  <c r="A978" i="8"/>
  <c r="A979" i="8"/>
  <c r="A980" i="8"/>
  <c r="A981" i="8"/>
  <c r="A982" i="8"/>
  <c r="A983" i="8"/>
  <c r="A984" i="8"/>
  <c r="A985" i="8"/>
  <c r="A986" i="8"/>
  <c r="A987" i="8"/>
  <c r="A988" i="8"/>
  <c r="A989" i="8"/>
  <c r="A990" i="8"/>
  <c r="A991" i="8"/>
  <c r="A992" i="8"/>
  <c r="A993" i="8"/>
  <c r="A994" i="8"/>
  <c r="A995" i="8"/>
  <c r="A996" i="8"/>
  <c r="A997" i="8"/>
  <c r="A998" i="8"/>
  <c r="A999" i="8"/>
  <c r="A1000" i="8"/>
  <c r="A1001" i="8"/>
  <c r="A1002" i="8"/>
  <c r="A1003" i="8"/>
  <c r="A1004" i="8"/>
  <c r="A1005" i="8"/>
  <c r="A1006" i="8"/>
  <c r="A1007" i="8"/>
  <c r="A1008" i="8"/>
  <c r="A1009" i="8"/>
  <c r="A1010" i="8"/>
  <c r="A1011" i="8"/>
  <c r="A1012" i="8"/>
  <c r="A1013" i="8"/>
  <c r="A1014" i="8"/>
  <c r="A1015" i="8"/>
  <c r="A1016" i="8"/>
  <c r="A1017" i="8"/>
  <c r="A1018" i="8"/>
  <c r="A1019" i="8"/>
  <c r="A1020" i="8"/>
  <c r="A1021" i="8"/>
  <c r="A1022" i="8"/>
  <c r="A1023" i="8"/>
  <c r="A1024" i="8"/>
  <c r="A1025" i="8"/>
  <c r="A1026" i="8"/>
  <c r="A1027" i="8"/>
  <c r="A1028" i="8"/>
  <c r="A1029" i="8"/>
  <c r="A1030" i="8"/>
  <c r="A1031" i="8"/>
  <c r="A1032" i="8"/>
  <c r="A1033" i="8"/>
  <c r="A1034" i="8"/>
  <c r="A1035" i="8"/>
  <c r="A1036" i="8"/>
  <c r="A1037" i="8"/>
  <c r="A1038" i="8"/>
  <c r="A1039" i="8"/>
  <c r="A1040" i="8"/>
  <c r="A1041" i="8"/>
  <c r="A1042" i="8"/>
  <c r="A1043" i="8"/>
  <c r="A1044" i="8"/>
  <c r="A1045" i="8"/>
  <c r="A1046" i="8"/>
  <c r="A1047" i="8"/>
  <c r="A1048" i="8"/>
  <c r="A1049" i="8"/>
  <c r="A1050" i="8"/>
  <c r="A1051" i="8"/>
  <c r="A1052" i="8"/>
  <c r="A1053" i="8"/>
  <c r="A1054" i="8"/>
  <c r="A1055" i="8"/>
  <c r="A1056" i="8"/>
  <c r="A1057" i="8"/>
  <c r="A1058" i="8"/>
  <c r="A1059" i="8"/>
  <c r="A1060" i="8"/>
  <c r="A1061" i="8"/>
  <c r="A1062" i="8"/>
  <c r="A1063" i="8"/>
  <c r="A1064" i="8"/>
  <c r="A1065" i="8"/>
  <c r="A1066" i="8"/>
  <c r="A1067" i="8"/>
  <c r="A1068" i="8"/>
  <c r="A1069" i="8"/>
  <c r="A1070" i="8"/>
  <c r="A1071" i="8"/>
  <c r="A1072" i="8"/>
  <c r="A1073" i="8"/>
  <c r="A1074" i="8"/>
  <c r="A1075" i="8"/>
  <c r="A1076" i="8"/>
  <c r="A1077" i="8"/>
  <c r="A1078" i="8"/>
  <c r="A1079" i="8"/>
  <c r="A1080" i="8"/>
  <c r="A1081" i="8"/>
  <c r="A1082" i="8"/>
  <c r="A1083" i="8"/>
  <c r="A1084" i="8"/>
  <c r="A1085" i="8"/>
  <c r="A1086" i="8"/>
  <c r="A1087" i="8"/>
  <c r="A1088" i="8"/>
  <c r="A1089" i="8"/>
  <c r="A1090" i="8"/>
  <c r="A1091" i="8"/>
  <c r="A1092" i="8"/>
  <c r="A1093" i="8"/>
  <c r="A1094" i="8"/>
  <c r="A1095" i="8"/>
  <c r="A1096" i="8"/>
  <c r="A1097" i="8"/>
  <c r="A1098" i="8"/>
  <c r="A1099" i="8"/>
  <c r="G736" i="8"/>
  <c r="F736" i="8"/>
  <c r="E736" i="8"/>
  <c r="D736" i="8"/>
  <c r="C736" i="8"/>
  <c r="G735" i="8"/>
  <c r="F735" i="8"/>
  <c r="E735" i="8"/>
  <c r="D735" i="8"/>
  <c r="C735" i="8"/>
  <c r="A736" i="8"/>
  <c r="A735" i="8"/>
  <c r="A734" i="8" l="1"/>
  <c r="C734" i="8"/>
  <c r="D734" i="8"/>
  <c r="E734" i="8"/>
  <c r="F734" i="8"/>
  <c r="G734" i="8"/>
  <c r="G1100" i="8" l="1"/>
  <c r="F1100" i="8"/>
  <c r="E1100" i="8"/>
  <c r="D1100" i="8"/>
  <c r="A1100" i="8"/>
  <c r="G733" i="8"/>
  <c r="F733" i="8"/>
  <c r="E733" i="8"/>
  <c r="D733" i="8"/>
  <c r="C733" i="8"/>
  <c r="A733" i="8"/>
  <c r="G732" i="8"/>
  <c r="F732" i="8"/>
  <c r="E732" i="8"/>
  <c r="D732" i="8"/>
  <c r="C732" i="8"/>
  <c r="A732" i="8"/>
  <c r="G731" i="8"/>
  <c r="F731" i="8"/>
  <c r="E731" i="8"/>
  <c r="D731" i="8"/>
  <c r="C731" i="8"/>
  <c r="A731" i="8"/>
  <c r="G730" i="8"/>
  <c r="F730" i="8"/>
  <c r="E730" i="8"/>
  <c r="D730" i="8"/>
  <c r="C730" i="8"/>
  <c r="A730" i="8"/>
  <c r="G729" i="8"/>
  <c r="F729" i="8"/>
  <c r="E729" i="8"/>
  <c r="D729" i="8"/>
  <c r="C729" i="8"/>
  <c r="A729" i="8"/>
  <c r="G728" i="8"/>
  <c r="F728" i="8"/>
  <c r="E728" i="8"/>
  <c r="D728" i="8"/>
  <c r="C728" i="8"/>
  <c r="A728" i="8"/>
  <c r="G727" i="8"/>
  <c r="F727" i="8"/>
  <c r="E727" i="8"/>
  <c r="D727" i="8"/>
  <c r="C727" i="8"/>
  <c r="A727" i="8"/>
  <c r="G726" i="8"/>
  <c r="F726" i="8"/>
  <c r="E726" i="8"/>
  <c r="D726" i="8"/>
  <c r="C726" i="8"/>
  <c r="A726" i="8"/>
  <c r="G725" i="8"/>
  <c r="F725" i="8"/>
  <c r="E725" i="8"/>
  <c r="D725" i="8"/>
  <c r="C725" i="8"/>
  <c r="A725" i="8"/>
  <c r="G724" i="8"/>
  <c r="F724" i="8"/>
  <c r="E724" i="8"/>
  <c r="D724" i="8"/>
  <c r="C724" i="8"/>
  <c r="A724" i="8"/>
  <c r="G723" i="8"/>
  <c r="F723" i="8"/>
  <c r="E723" i="8"/>
  <c r="D723" i="8"/>
  <c r="C723" i="8"/>
  <c r="A723" i="8"/>
  <c r="G722" i="8"/>
  <c r="F722" i="8"/>
  <c r="E722" i="8"/>
  <c r="D722" i="8"/>
  <c r="C722" i="8"/>
  <c r="A722" i="8"/>
  <c r="G721" i="8"/>
  <c r="F721" i="8"/>
  <c r="E721" i="8"/>
  <c r="D721" i="8"/>
  <c r="C721" i="8"/>
  <c r="A721" i="8"/>
  <c r="G720" i="8"/>
  <c r="F720" i="8"/>
  <c r="E720" i="8"/>
  <c r="D720" i="8"/>
  <c r="C720" i="8"/>
  <c r="A720" i="8"/>
  <c r="G719" i="8"/>
  <c r="F719" i="8"/>
  <c r="E719" i="8"/>
  <c r="D719" i="8"/>
  <c r="C719" i="8"/>
  <c r="A719" i="8"/>
  <c r="G718" i="8"/>
  <c r="F718" i="8"/>
  <c r="E718" i="8"/>
  <c r="D718" i="8"/>
  <c r="C718" i="8"/>
  <c r="A718" i="8"/>
  <c r="G717" i="8"/>
  <c r="F717" i="8"/>
  <c r="E717" i="8"/>
  <c r="D717" i="8"/>
  <c r="C717" i="8"/>
  <c r="A717" i="8"/>
  <c r="G716" i="8"/>
  <c r="F716" i="8"/>
  <c r="E716" i="8"/>
  <c r="D716" i="8"/>
  <c r="C716" i="8"/>
  <c r="A716" i="8"/>
  <c r="G715" i="8"/>
  <c r="F715" i="8"/>
  <c r="E715" i="8"/>
  <c r="D715" i="8"/>
  <c r="C715" i="8"/>
  <c r="A715" i="8"/>
  <c r="G714" i="8"/>
  <c r="F714" i="8"/>
  <c r="E714" i="8"/>
  <c r="D714" i="8"/>
  <c r="C714" i="8"/>
  <c r="A714" i="8"/>
  <c r="G713" i="8"/>
  <c r="F713" i="8"/>
  <c r="E713" i="8"/>
  <c r="D713" i="8"/>
  <c r="C713" i="8"/>
  <c r="A713" i="8"/>
  <c r="G712" i="8"/>
  <c r="F712" i="8"/>
  <c r="E712" i="8"/>
  <c r="D712" i="8"/>
  <c r="C712" i="8"/>
  <c r="A712" i="8"/>
  <c r="G711" i="8"/>
  <c r="F711" i="8"/>
  <c r="E711" i="8"/>
  <c r="D711" i="8"/>
  <c r="C711" i="8"/>
  <c r="A711" i="8"/>
  <c r="G710" i="8"/>
  <c r="F710" i="8"/>
  <c r="E710" i="8"/>
  <c r="D710" i="8"/>
  <c r="C710" i="8"/>
  <c r="A710" i="8"/>
  <c r="G709" i="8"/>
  <c r="F709" i="8"/>
  <c r="E709" i="8"/>
  <c r="D709" i="8"/>
  <c r="C709" i="8"/>
  <c r="A709" i="8"/>
  <c r="G708" i="8"/>
  <c r="F708" i="8"/>
  <c r="E708" i="8"/>
  <c r="D708" i="8"/>
  <c r="C708" i="8"/>
  <c r="A708" i="8"/>
  <c r="G707" i="8"/>
  <c r="F707" i="8"/>
  <c r="E707" i="8"/>
  <c r="D707" i="8"/>
  <c r="C707" i="8"/>
  <c r="A707" i="8"/>
  <c r="G706" i="8"/>
  <c r="F706" i="8"/>
  <c r="E706" i="8"/>
  <c r="D706" i="8"/>
  <c r="C706" i="8"/>
  <c r="A706" i="8"/>
  <c r="G705" i="8"/>
  <c r="F705" i="8"/>
  <c r="E705" i="8"/>
  <c r="D705" i="8"/>
  <c r="C705" i="8"/>
  <c r="A705" i="8"/>
  <c r="G704" i="8"/>
  <c r="F704" i="8"/>
  <c r="E704" i="8"/>
  <c r="D704" i="8"/>
  <c r="C704" i="8"/>
  <c r="A704" i="8"/>
  <c r="G703" i="8"/>
  <c r="F703" i="8"/>
  <c r="E703" i="8"/>
  <c r="D703" i="8"/>
  <c r="C703" i="8"/>
  <c r="A703" i="8"/>
  <c r="G702" i="8"/>
  <c r="F702" i="8"/>
  <c r="E702" i="8"/>
  <c r="D702" i="8"/>
  <c r="C702" i="8"/>
  <c r="A702" i="8"/>
  <c r="G701" i="8"/>
  <c r="F701" i="8"/>
  <c r="E701" i="8"/>
  <c r="D701" i="8"/>
  <c r="C701" i="8"/>
  <c r="A701" i="8"/>
  <c r="G700" i="8"/>
  <c r="F700" i="8"/>
  <c r="E700" i="8"/>
  <c r="D700" i="8"/>
  <c r="C700" i="8"/>
  <c r="A700" i="8"/>
  <c r="G699" i="8"/>
  <c r="F699" i="8"/>
  <c r="E699" i="8"/>
  <c r="D699" i="8"/>
  <c r="C699" i="8"/>
  <c r="A699" i="8"/>
  <c r="G698" i="8"/>
  <c r="F698" i="8"/>
  <c r="E698" i="8"/>
  <c r="D698" i="8"/>
  <c r="C698" i="8"/>
  <c r="A698" i="8"/>
  <c r="G697" i="8"/>
  <c r="F697" i="8"/>
  <c r="E697" i="8"/>
  <c r="D697" i="8"/>
  <c r="C697" i="8"/>
  <c r="A697" i="8"/>
  <c r="G696" i="8"/>
  <c r="F696" i="8"/>
  <c r="E696" i="8"/>
  <c r="D696" i="8"/>
  <c r="C696" i="8"/>
  <c r="A696" i="8"/>
  <c r="G695" i="8"/>
  <c r="F695" i="8"/>
  <c r="E695" i="8"/>
  <c r="D695" i="8"/>
  <c r="C695" i="8"/>
  <c r="A695" i="8"/>
  <c r="G694" i="8"/>
  <c r="F694" i="8"/>
  <c r="E694" i="8"/>
  <c r="D694" i="8"/>
  <c r="C694" i="8"/>
  <c r="A694" i="8"/>
  <c r="G693" i="8"/>
  <c r="F693" i="8"/>
  <c r="E693" i="8"/>
  <c r="D693" i="8"/>
  <c r="C693" i="8"/>
  <c r="A693" i="8"/>
  <c r="G692" i="8"/>
  <c r="F692" i="8"/>
  <c r="E692" i="8"/>
  <c r="D692" i="8"/>
  <c r="C692" i="8"/>
  <c r="A692" i="8"/>
  <c r="G691" i="8"/>
  <c r="F691" i="8"/>
  <c r="E691" i="8"/>
  <c r="D691" i="8"/>
  <c r="C691" i="8"/>
  <c r="A691" i="8"/>
  <c r="G690" i="8"/>
  <c r="F690" i="8"/>
  <c r="E690" i="8"/>
  <c r="D690" i="8"/>
  <c r="C690" i="8"/>
  <c r="A690" i="8"/>
  <c r="G689" i="8"/>
  <c r="F689" i="8"/>
  <c r="E689" i="8"/>
  <c r="D689" i="8"/>
  <c r="C689" i="8"/>
  <c r="A689" i="8"/>
  <c r="G688" i="8"/>
  <c r="F688" i="8"/>
  <c r="E688" i="8"/>
  <c r="D688" i="8"/>
  <c r="C688" i="8"/>
  <c r="A688" i="8"/>
  <c r="G687" i="8"/>
  <c r="F687" i="8"/>
  <c r="E687" i="8"/>
  <c r="D687" i="8"/>
  <c r="C687" i="8"/>
  <c r="A687" i="8"/>
  <c r="G686" i="8"/>
  <c r="F686" i="8"/>
  <c r="E686" i="8"/>
  <c r="D686" i="8"/>
  <c r="C686" i="8"/>
  <c r="A686" i="8"/>
  <c r="G685" i="8"/>
  <c r="F685" i="8"/>
  <c r="E685" i="8"/>
  <c r="D685" i="8"/>
  <c r="C685" i="8"/>
  <c r="A685" i="8"/>
  <c r="G684" i="8"/>
  <c r="F684" i="8"/>
  <c r="E684" i="8"/>
  <c r="D684" i="8"/>
  <c r="C684" i="8"/>
  <c r="A684" i="8"/>
  <c r="G683" i="8"/>
  <c r="F683" i="8"/>
  <c r="E683" i="8"/>
  <c r="D683" i="8"/>
  <c r="C683" i="8"/>
  <c r="A683" i="8"/>
  <c r="G682" i="8"/>
  <c r="F682" i="8"/>
  <c r="E682" i="8"/>
  <c r="D682" i="8"/>
  <c r="C682" i="8"/>
  <c r="A682" i="8"/>
  <c r="G681" i="8"/>
  <c r="F681" i="8"/>
  <c r="E681" i="8"/>
  <c r="D681" i="8"/>
  <c r="C681" i="8"/>
  <c r="A681" i="8"/>
  <c r="G680" i="8"/>
  <c r="F680" i="8"/>
  <c r="E680" i="8"/>
  <c r="D680" i="8"/>
  <c r="C680" i="8"/>
  <c r="A680" i="8"/>
  <c r="G679" i="8"/>
  <c r="F679" i="8"/>
  <c r="E679" i="8"/>
  <c r="D679" i="8"/>
  <c r="C679" i="8"/>
  <c r="A679" i="8"/>
  <c r="G678" i="8"/>
  <c r="F678" i="8"/>
  <c r="E678" i="8"/>
  <c r="D678" i="8"/>
  <c r="C678" i="8"/>
  <c r="A678" i="8"/>
  <c r="G677" i="8"/>
  <c r="F677" i="8"/>
  <c r="E677" i="8"/>
  <c r="D677" i="8"/>
  <c r="C677" i="8"/>
  <c r="A677" i="8"/>
  <c r="G676" i="8"/>
  <c r="F676" i="8"/>
  <c r="E676" i="8"/>
  <c r="D676" i="8"/>
  <c r="C676" i="8"/>
  <c r="A676" i="8"/>
  <c r="G675" i="8"/>
  <c r="F675" i="8"/>
  <c r="E675" i="8"/>
  <c r="D675" i="8"/>
  <c r="C675" i="8"/>
  <c r="A675" i="8"/>
  <c r="G674" i="8"/>
  <c r="F674" i="8"/>
  <c r="E674" i="8"/>
  <c r="D674" i="8"/>
  <c r="C674" i="8"/>
  <c r="A674" i="8"/>
  <c r="G673" i="8"/>
  <c r="F673" i="8"/>
  <c r="E673" i="8"/>
  <c r="D673" i="8"/>
  <c r="C673" i="8"/>
  <c r="A673" i="8"/>
  <c r="G672" i="8"/>
  <c r="F672" i="8"/>
  <c r="E672" i="8"/>
  <c r="D672" i="8"/>
  <c r="C672" i="8"/>
  <c r="A672" i="8"/>
  <c r="G671" i="8"/>
  <c r="F671" i="8"/>
  <c r="E671" i="8"/>
  <c r="D671" i="8"/>
  <c r="C671" i="8"/>
  <c r="A671" i="8"/>
  <c r="G670" i="8"/>
  <c r="F670" i="8"/>
  <c r="E670" i="8"/>
  <c r="D670" i="8"/>
  <c r="C670" i="8"/>
  <c r="A670" i="8"/>
  <c r="G669" i="8"/>
  <c r="F669" i="8"/>
  <c r="E669" i="8"/>
  <c r="D669" i="8"/>
  <c r="C669" i="8"/>
  <c r="A669" i="8"/>
  <c r="G668" i="8"/>
  <c r="F668" i="8"/>
  <c r="E668" i="8"/>
  <c r="D668" i="8"/>
  <c r="C668" i="8"/>
  <c r="A668" i="8"/>
  <c r="G667" i="8"/>
  <c r="F667" i="8"/>
  <c r="E667" i="8"/>
  <c r="D667" i="8"/>
  <c r="C667" i="8"/>
  <c r="A667" i="8"/>
  <c r="G666" i="8"/>
  <c r="F666" i="8"/>
  <c r="E666" i="8"/>
  <c r="D666" i="8"/>
  <c r="C666" i="8"/>
  <c r="A666" i="8"/>
  <c r="G665" i="8"/>
  <c r="F665" i="8"/>
  <c r="E665" i="8"/>
  <c r="D665" i="8"/>
  <c r="C665" i="8"/>
  <c r="A665" i="8"/>
  <c r="G664" i="8"/>
  <c r="F664" i="8"/>
  <c r="E664" i="8"/>
  <c r="D664" i="8"/>
  <c r="C664" i="8"/>
  <c r="A664" i="8"/>
  <c r="G663" i="8"/>
  <c r="F663" i="8"/>
  <c r="E663" i="8"/>
  <c r="D663" i="8"/>
  <c r="C663" i="8"/>
  <c r="A663" i="8"/>
  <c r="G662" i="8"/>
  <c r="F662" i="8"/>
  <c r="E662" i="8"/>
  <c r="D662" i="8"/>
  <c r="C662" i="8"/>
  <c r="A662" i="8"/>
  <c r="G661" i="8"/>
  <c r="F661" i="8"/>
  <c r="E661" i="8"/>
  <c r="D661" i="8"/>
  <c r="C661" i="8"/>
  <c r="A661" i="8"/>
  <c r="G660" i="8"/>
  <c r="F660" i="8"/>
  <c r="E660" i="8"/>
  <c r="D660" i="8"/>
  <c r="C660" i="8"/>
  <c r="A660" i="8"/>
  <c r="G659" i="8"/>
  <c r="F659" i="8"/>
  <c r="E659" i="8"/>
  <c r="D659" i="8"/>
  <c r="C659" i="8"/>
  <c r="A659" i="8"/>
  <c r="G658" i="8"/>
  <c r="F658" i="8"/>
  <c r="E658" i="8"/>
  <c r="D658" i="8"/>
  <c r="C658" i="8"/>
  <c r="A658" i="8"/>
  <c r="G657" i="8"/>
  <c r="F657" i="8"/>
  <c r="E657" i="8"/>
  <c r="D657" i="8"/>
  <c r="C657" i="8"/>
  <c r="A657" i="8"/>
  <c r="G656" i="8"/>
  <c r="F656" i="8"/>
  <c r="E656" i="8"/>
  <c r="D656" i="8"/>
  <c r="C656" i="8"/>
  <c r="A656" i="8"/>
  <c r="G655" i="8"/>
  <c r="F655" i="8"/>
  <c r="E655" i="8"/>
  <c r="D655" i="8"/>
  <c r="C655" i="8"/>
  <c r="A655" i="8"/>
  <c r="G654" i="8"/>
  <c r="F654" i="8"/>
  <c r="E654" i="8"/>
  <c r="D654" i="8"/>
  <c r="C654" i="8"/>
  <c r="A654" i="8"/>
  <c r="G653" i="8"/>
  <c r="F653" i="8"/>
  <c r="E653" i="8"/>
  <c r="D653" i="8"/>
  <c r="C653" i="8"/>
  <c r="A653" i="8"/>
  <c r="G652" i="8"/>
  <c r="F652" i="8"/>
  <c r="E652" i="8"/>
  <c r="D652" i="8"/>
  <c r="C652" i="8"/>
  <c r="A652" i="8"/>
  <c r="G651" i="8"/>
  <c r="F651" i="8"/>
  <c r="E651" i="8"/>
  <c r="D651" i="8"/>
  <c r="C651" i="8"/>
  <c r="A651" i="8"/>
  <c r="G650" i="8"/>
  <c r="F650" i="8"/>
  <c r="E650" i="8"/>
  <c r="D650" i="8"/>
  <c r="C650" i="8"/>
  <c r="A650" i="8"/>
  <c r="G649" i="8"/>
  <c r="F649" i="8"/>
  <c r="E649" i="8"/>
  <c r="D649" i="8"/>
  <c r="C649" i="8"/>
  <c r="A649" i="8"/>
  <c r="G648" i="8"/>
  <c r="F648" i="8"/>
  <c r="E648" i="8"/>
  <c r="D648" i="8"/>
  <c r="C648" i="8"/>
  <c r="A648" i="8"/>
  <c r="G647" i="8"/>
  <c r="F647" i="8"/>
  <c r="E647" i="8"/>
  <c r="D647" i="8"/>
  <c r="C647" i="8"/>
  <c r="A647" i="8"/>
  <c r="G646" i="8"/>
  <c r="F646" i="8"/>
  <c r="E646" i="8"/>
  <c r="D646" i="8"/>
  <c r="C646" i="8"/>
  <c r="A646" i="8"/>
  <c r="G645" i="8"/>
  <c r="F645" i="8"/>
  <c r="E645" i="8"/>
  <c r="D645" i="8"/>
  <c r="C645" i="8"/>
  <c r="A645" i="8"/>
  <c r="G644" i="8"/>
  <c r="F644" i="8"/>
  <c r="E644" i="8"/>
  <c r="D644" i="8"/>
  <c r="C644" i="8"/>
  <c r="A644" i="8"/>
  <c r="G643" i="8"/>
  <c r="F643" i="8"/>
  <c r="E643" i="8"/>
  <c r="D643" i="8"/>
  <c r="C643" i="8"/>
  <c r="A643" i="8"/>
  <c r="G642" i="8"/>
  <c r="F642" i="8"/>
  <c r="E642" i="8"/>
  <c r="D642" i="8"/>
  <c r="C642" i="8"/>
  <c r="A642" i="8"/>
  <c r="G641" i="8"/>
  <c r="F641" i="8"/>
  <c r="E641" i="8"/>
  <c r="D641" i="8"/>
  <c r="C641" i="8"/>
  <c r="A641" i="8"/>
  <c r="G640" i="8"/>
  <c r="F640" i="8"/>
  <c r="E640" i="8"/>
  <c r="D640" i="8"/>
  <c r="C640" i="8"/>
  <c r="A640" i="8"/>
  <c r="G639" i="8"/>
  <c r="F639" i="8"/>
  <c r="E639" i="8"/>
  <c r="D639" i="8"/>
  <c r="C639" i="8"/>
  <c r="A639" i="8"/>
  <c r="G638" i="8"/>
  <c r="F638" i="8"/>
  <c r="E638" i="8"/>
  <c r="D638" i="8"/>
  <c r="C638" i="8"/>
  <c r="A638" i="8"/>
  <c r="G637" i="8"/>
  <c r="F637" i="8"/>
  <c r="E637" i="8"/>
  <c r="D637" i="8"/>
  <c r="C637" i="8"/>
  <c r="A637" i="8"/>
  <c r="G636" i="8"/>
  <c r="F636" i="8"/>
  <c r="E636" i="8"/>
  <c r="D636" i="8"/>
  <c r="C636" i="8"/>
  <c r="A636" i="8"/>
  <c r="G635" i="8"/>
  <c r="F635" i="8"/>
  <c r="E635" i="8"/>
  <c r="D635" i="8"/>
  <c r="C635" i="8"/>
  <c r="A635" i="8"/>
  <c r="G634" i="8"/>
  <c r="F634" i="8"/>
  <c r="E634" i="8"/>
  <c r="D634" i="8"/>
  <c r="C634" i="8"/>
  <c r="A634" i="8"/>
  <c r="G633" i="8"/>
  <c r="F633" i="8"/>
  <c r="E633" i="8"/>
  <c r="D633" i="8"/>
  <c r="C633" i="8"/>
  <c r="A633" i="8"/>
  <c r="G632" i="8"/>
  <c r="F632" i="8"/>
  <c r="E632" i="8"/>
  <c r="D632" i="8"/>
  <c r="C632" i="8"/>
  <c r="A632" i="8"/>
  <c r="G631" i="8"/>
  <c r="F631" i="8"/>
  <c r="E631" i="8"/>
  <c r="D631" i="8"/>
  <c r="C631" i="8"/>
  <c r="A631" i="8"/>
  <c r="G630" i="8"/>
  <c r="F630" i="8"/>
  <c r="E630" i="8"/>
  <c r="D630" i="8"/>
  <c r="C630" i="8"/>
  <c r="A630" i="8"/>
  <c r="G629" i="8"/>
  <c r="F629" i="8"/>
  <c r="E629" i="8"/>
  <c r="D629" i="8"/>
  <c r="C629" i="8"/>
  <c r="A629" i="8"/>
  <c r="G628" i="8"/>
  <c r="F628" i="8"/>
  <c r="E628" i="8"/>
  <c r="D628" i="8"/>
  <c r="C628" i="8"/>
  <c r="A628" i="8"/>
  <c r="G627" i="8"/>
  <c r="F627" i="8"/>
  <c r="E627" i="8"/>
  <c r="D627" i="8"/>
  <c r="C627" i="8"/>
  <c r="A627" i="8"/>
  <c r="G626" i="8"/>
  <c r="F626" i="8"/>
  <c r="E626" i="8"/>
  <c r="D626" i="8"/>
  <c r="C626" i="8"/>
  <c r="A626" i="8"/>
  <c r="G625" i="8"/>
  <c r="F625" i="8"/>
  <c r="E625" i="8"/>
  <c r="D625" i="8"/>
  <c r="C625" i="8"/>
  <c r="A625" i="8"/>
  <c r="G624" i="8"/>
  <c r="F624" i="8"/>
  <c r="E624" i="8"/>
  <c r="D624" i="8"/>
  <c r="C624" i="8"/>
  <c r="A624" i="8"/>
  <c r="G623" i="8"/>
  <c r="F623" i="8"/>
  <c r="E623" i="8"/>
  <c r="D623" i="8"/>
  <c r="C623" i="8"/>
  <c r="A623" i="8"/>
  <c r="G622" i="8"/>
  <c r="F622" i="8"/>
  <c r="E622" i="8"/>
  <c r="D622" i="8"/>
  <c r="C622" i="8"/>
  <c r="A622" i="8"/>
  <c r="G621" i="8"/>
  <c r="F621" i="8"/>
  <c r="E621" i="8"/>
  <c r="D621" i="8"/>
  <c r="C621" i="8"/>
  <c r="A621" i="8"/>
  <c r="G620" i="8"/>
  <c r="F620" i="8"/>
  <c r="E620" i="8"/>
  <c r="D620" i="8"/>
  <c r="C620" i="8"/>
  <c r="A620" i="8"/>
  <c r="G619" i="8"/>
  <c r="F619" i="8"/>
  <c r="E619" i="8"/>
  <c r="D619" i="8"/>
  <c r="C619" i="8"/>
  <c r="A619" i="8"/>
  <c r="G618" i="8"/>
  <c r="F618" i="8"/>
  <c r="E618" i="8"/>
  <c r="D618" i="8"/>
  <c r="C618" i="8"/>
  <c r="A618" i="8"/>
  <c r="G617" i="8"/>
  <c r="F617" i="8"/>
  <c r="E617" i="8"/>
  <c r="D617" i="8"/>
  <c r="C617" i="8"/>
  <c r="A617" i="8"/>
  <c r="G616" i="8"/>
  <c r="F616" i="8"/>
  <c r="E616" i="8"/>
  <c r="D616" i="8"/>
  <c r="C616" i="8"/>
  <c r="A616" i="8"/>
  <c r="G615" i="8"/>
  <c r="F615" i="8"/>
  <c r="E615" i="8"/>
  <c r="D615" i="8"/>
  <c r="C615" i="8"/>
  <c r="A615" i="8"/>
  <c r="G614" i="8"/>
  <c r="F614" i="8"/>
  <c r="E614" i="8"/>
  <c r="D614" i="8"/>
  <c r="C614" i="8"/>
  <c r="A614" i="8"/>
  <c r="G613" i="8"/>
  <c r="F613" i="8"/>
  <c r="E613" i="8"/>
  <c r="D613" i="8"/>
  <c r="C613" i="8"/>
  <c r="A613" i="8"/>
  <c r="G612" i="8"/>
  <c r="F612" i="8"/>
  <c r="E612" i="8"/>
  <c r="D612" i="8"/>
  <c r="C612" i="8"/>
  <c r="A612" i="8"/>
  <c r="G611" i="8"/>
  <c r="F611" i="8"/>
  <c r="E611" i="8"/>
  <c r="D611" i="8"/>
  <c r="C611" i="8"/>
  <c r="A611" i="8"/>
  <c r="G610" i="8"/>
  <c r="F610" i="8"/>
  <c r="E610" i="8"/>
  <c r="D610" i="8"/>
  <c r="C610" i="8"/>
  <c r="A610" i="8"/>
  <c r="G609" i="8"/>
  <c r="F609" i="8"/>
  <c r="E609" i="8"/>
  <c r="D609" i="8"/>
  <c r="C609" i="8"/>
  <c r="A609" i="8"/>
  <c r="G608" i="8"/>
  <c r="F608" i="8"/>
  <c r="E608" i="8"/>
  <c r="D608" i="8"/>
  <c r="C608" i="8"/>
  <c r="A608" i="8"/>
  <c r="G607" i="8"/>
  <c r="F607" i="8"/>
  <c r="E607" i="8"/>
  <c r="D607" i="8"/>
  <c r="C607" i="8"/>
  <c r="A607" i="8"/>
  <c r="G606" i="8"/>
  <c r="F606" i="8"/>
  <c r="E606" i="8"/>
  <c r="D606" i="8"/>
  <c r="C606" i="8"/>
  <c r="A606" i="8"/>
  <c r="G605" i="8"/>
  <c r="F605" i="8"/>
  <c r="E605" i="8"/>
  <c r="D605" i="8"/>
  <c r="C605" i="8"/>
  <c r="A605" i="8"/>
  <c r="G604" i="8"/>
  <c r="F604" i="8"/>
  <c r="E604" i="8"/>
  <c r="D604" i="8"/>
  <c r="C604" i="8"/>
  <c r="A604" i="8"/>
  <c r="G603" i="8"/>
  <c r="F603" i="8"/>
  <c r="E603" i="8"/>
  <c r="D603" i="8"/>
  <c r="C603" i="8"/>
  <c r="A603" i="8"/>
  <c r="G602" i="8"/>
  <c r="F602" i="8"/>
  <c r="E602" i="8"/>
  <c r="D602" i="8"/>
  <c r="C602" i="8"/>
  <c r="A602" i="8"/>
  <c r="G601" i="8"/>
  <c r="F601" i="8"/>
  <c r="E601" i="8"/>
  <c r="D601" i="8"/>
  <c r="C601" i="8"/>
  <c r="A601" i="8"/>
  <c r="G600" i="8"/>
  <c r="F600" i="8"/>
  <c r="E600" i="8"/>
  <c r="D600" i="8"/>
  <c r="C600" i="8"/>
  <c r="A600" i="8"/>
  <c r="G599" i="8"/>
  <c r="F599" i="8"/>
  <c r="E599" i="8"/>
  <c r="D599" i="8"/>
  <c r="C599" i="8"/>
  <c r="A599" i="8"/>
  <c r="G598" i="8"/>
  <c r="F598" i="8"/>
  <c r="E598" i="8"/>
  <c r="D598" i="8"/>
  <c r="C598" i="8"/>
  <c r="A598" i="8"/>
  <c r="G597" i="8"/>
  <c r="F597" i="8"/>
  <c r="E597" i="8"/>
  <c r="D597" i="8"/>
  <c r="C597" i="8"/>
  <c r="A597" i="8"/>
  <c r="G596" i="8"/>
  <c r="F596" i="8"/>
  <c r="E596" i="8"/>
  <c r="D596" i="8"/>
  <c r="C596" i="8"/>
  <c r="A596" i="8"/>
  <c r="G595" i="8"/>
  <c r="F595" i="8"/>
  <c r="E595" i="8"/>
  <c r="D595" i="8"/>
  <c r="C595" i="8"/>
  <c r="A595" i="8"/>
  <c r="G594" i="8"/>
  <c r="F594" i="8"/>
  <c r="E594" i="8"/>
  <c r="D594" i="8"/>
  <c r="C594" i="8"/>
  <c r="A594" i="8"/>
  <c r="G593" i="8"/>
  <c r="F593" i="8"/>
  <c r="E593" i="8"/>
  <c r="D593" i="8"/>
  <c r="C593" i="8"/>
  <c r="A593" i="8"/>
  <c r="G592" i="8"/>
  <c r="F592" i="8"/>
  <c r="E592" i="8"/>
  <c r="D592" i="8"/>
  <c r="C592" i="8"/>
  <c r="A592" i="8"/>
  <c r="G591" i="8"/>
  <c r="F591" i="8"/>
  <c r="E591" i="8"/>
  <c r="D591" i="8"/>
  <c r="C591" i="8"/>
  <c r="A591" i="8"/>
  <c r="G590" i="8"/>
  <c r="F590" i="8"/>
  <c r="E590" i="8"/>
  <c r="D590" i="8"/>
  <c r="C590" i="8"/>
  <c r="A590" i="8"/>
  <c r="G589" i="8"/>
  <c r="F589" i="8"/>
  <c r="E589" i="8"/>
  <c r="D589" i="8"/>
  <c r="C589" i="8"/>
  <c r="A589" i="8"/>
  <c r="G588" i="8"/>
  <c r="F588" i="8"/>
  <c r="E588" i="8"/>
  <c r="D588" i="8"/>
  <c r="C588" i="8"/>
  <c r="A588" i="8"/>
  <c r="G587" i="8"/>
  <c r="F587" i="8"/>
  <c r="E587" i="8"/>
  <c r="D587" i="8"/>
  <c r="C587" i="8"/>
  <c r="A587" i="8"/>
  <c r="G586" i="8"/>
  <c r="F586" i="8"/>
  <c r="E586" i="8"/>
  <c r="D586" i="8"/>
  <c r="C586" i="8"/>
  <c r="A586" i="8"/>
  <c r="G585" i="8"/>
  <c r="F585" i="8"/>
  <c r="E585" i="8"/>
  <c r="D585" i="8"/>
  <c r="C585" i="8"/>
  <c r="A585" i="8"/>
  <c r="G584" i="8"/>
  <c r="F584" i="8"/>
  <c r="E584" i="8"/>
  <c r="D584" i="8"/>
  <c r="C584" i="8"/>
  <c r="A584" i="8"/>
  <c r="G583" i="8"/>
  <c r="F583" i="8"/>
  <c r="E583" i="8"/>
  <c r="D583" i="8"/>
  <c r="C583" i="8"/>
  <c r="A583" i="8"/>
  <c r="G582" i="8"/>
  <c r="F582" i="8"/>
  <c r="E582" i="8"/>
  <c r="D582" i="8"/>
  <c r="C582" i="8"/>
  <c r="A582" i="8"/>
  <c r="G581" i="8"/>
  <c r="F581" i="8"/>
  <c r="E581" i="8"/>
  <c r="D581" i="8"/>
  <c r="C581" i="8"/>
  <c r="A581" i="8"/>
  <c r="G580" i="8"/>
  <c r="F580" i="8"/>
  <c r="E580" i="8"/>
  <c r="D580" i="8"/>
  <c r="C580" i="8"/>
  <c r="A580" i="8"/>
  <c r="G579" i="8"/>
  <c r="F579" i="8"/>
  <c r="E579" i="8"/>
  <c r="D579" i="8"/>
  <c r="C579" i="8"/>
  <c r="A579" i="8"/>
  <c r="G578" i="8"/>
  <c r="F578" i="8"/>
  <c r="E578" i="8"/>
  <c r="D578" i="8"/>
  <c r="C578" i="8"/>
  <c r="A578" i="8"/>
  <c r="G577" i="8"/>
  <c r="F577" i="8"/>
  <c r="E577" i="8"/>
  <c r="D577" i="8"/>
  <c r="C577" i="8"/>
  <c r="A577" i="8"/>
  <c r="G576" i="8"/>
  <c r="F576" i="8"/>
  <c r="E576" i="8"/>
  <c r="D576" i="8"/>
  <c r="C576" i="8"/>
  <c r="A576" i="8"/>
  <c r="G575" i="8"/>
  <c r="F575" i="8"/>
  <c r="E575" i="8"/>
  <c r="D575" i="8"/>
  <c r="C575" i="8"/>
  <c r="A575" i="8"/>
  <c r="G574" i="8"/>
  <c r="F574" i="8"/>
  <c r="E574" i="8"/>
  <c r="D574" i="8"/>
  <c r="C574" i="8"/>
  <c r="A574" i="8"/>
  <c r="G573" i="8"/>
  <c r="F573" i="8"/>
  <c r="E573" i="8"/>
  <c r="D573" i="8"/>
  <c r="C573" i="8"/>
  <c r="A573" i="8"/>
  <c r="G572" i="8"/>
  <c r="F572" i="8"/>
  <c r="E572" i="8"/>
  <c r="D572" i="8"/>
  <c r="C572" i="8"/>
  <c r="A572" i="8"/>
  <c r="G571" i="8"/>
  <c r="F571" i="8"/>
  <c r="E571" i="8"/>
  <c r="D571" i="8"/>
  <c r="C571" i="8"/>
  <c r="A571" i="8"/>
  <c r="G570" i="8"/>
  <c r="F570" i="8"/>
  <c r="E570" i="8"/>
  <c r="D570" i="8"/>
  <c r="C570" i="8"/>
  <c r="A570" i="8"/>
  <c r="G569" i="8"/>
  <c r="F569" i="8"/>
  <c r="E569" i="8"/>
  <c r="D569" i="8"/>
  <c r="C569" i="8"/>
  <c r="A569" i="8"/>
  <c r="G568" i="8"/>
  <c r="F568" i="8"/>
  <c r="E568" i="8"/>
  <c r="D568" i="8"/>
  <c r="C568" i="8"/>
  <c r="A568" i="8"/>
  <c r="G567" i="8"/>
  <c r="F567" i="8"/>
  <c r="E567" i="8"/>
  <c r="D567" i="8"/>
  <c r="C567" i="8"/>
  <c r="A567" i="8"/>
  <c r="G566" i="8"/>
  <c r="F566" i="8"/>
  <c r="E566" i="8"/>
  <c r="D566" i="8"/>
  <c r="C566" i="8"/>
  <c r="A566" i="8"/>
  <c r="G565" i="8"/>
  <c r="F565" i="8"/>
  <c r="E565" i="8"/>
  <c r="D565" i="8"/>
  <c r="C565" i="8"/>
  <c r="A565" i="8"/>
  <c r="G564" i="8"/>
  <c r="F564" i="8"/>
  <c r="E564" i="8"/>
  <c r="D564" i="8"/>
  <c r="C564" i="8"/>
  <c r="A564" i="8"/>
  <c r="G563" i="8"/>
  <c r="F563" i="8"/>
  <c r="E563" i="8"/>
  <c r="D563" i="8"/>
  <c r="C563" i="8"/>
  <c r="A563" i="8"/>
  <c r="G562" i="8"/>
  <c r="F562" i="8"/>
  <c r="E562" i="8"/>
  <c r="D562" i="8"/>
  <c r="C562" i="8"/>
  <c r="A562" i="8"/>
  <c r="G561" i="8"/>
  <c r="F561" i="8"/>
  <c r="E561" i="8"/>
  <c r="D561" i="8"/>
  <c r="C561" i="8"/>
  <c r="A561" i="8"/>
  <c r="G560" i="8"/>
  <c r="F560" i="8"/>
  <c r="E560" i="8"/>
  <c r="D560" i="8"/>
  <c r="C560" i="8"/>
  <c r="A560" i="8"/>
  <c r="G559" i="8"/>
  <c r="F559" i="8"/>
  <c r="E559" i="8"/>
  <c r="D559" i="8"/>
  <c r="C559" i="8"/>
  <c r="A559" i="8"/>
  <c r="G558" i="8"/>
  <c r="F558" i="8"/>
  <c r="E558" i="8"/>
  <c r="D558" i="8"/>
  <c r="C558" i="8"/>
  <c r="A558" i="8"/>
  <c r="G557" i="8"/>
  <c r="F557" i="8"/>
  <c r="E557" i="8"/>
  <c r="D557" i="8"/>
  <c r="C557" i="8"/>
  <c r="A557" i="8"/>
  <c r="G556" i="8"/>
  <c r="F556" i="8"/>
  <c r="E556" i="8"/>
  <c r="D556" i="8"/>
  <c r="C556" i="8"/>
  <c r="A556" i="8"/>
  <c r="G555" i="8"/>
  <c r="F555" i="8"/>
  <c r="E555" i="8"/>
  <c r="D555" i="8"/>
  <c r="C555" i="8"/>
  <c r="A555" i="8"/>
  <c r="G554" i="8"/>
  <c r="F554" i="8"/>
  <c r="E554" i="8"/>
  <c r="D554" i="8"/>
  <c r="C554" i="8"/>
  <c r="A554" i="8"/>
  <c r="G553" i="8"/>
  <c r="F553" i="8"/>
  <c r="E553" i="8"/>
  <c r="D553" i="8"/>
  <c r="C553" i="8"/>
  <c r="A553" i="8"/>
  <c r="G552" i="8"/>
  <c r="F552" i="8"/>
  <c r="E552" i="8"/>
  <c r="D552" i="8"/>
  <c r="C552" i="8"/>
  <c r="A552" i="8"/>
  <c r="G551" i="8"/>
  <c r="F551" i="8"/>
  <c r="E551" i="8"/>
  <c r="D551" i="8"/>
  <c r="C551" i="8"/>
  <c r="A551" i="8"/>
  <c r="G550" i="8"/>
  <c r="F550" i="8"/>
  <c r="E550" i="8"/>
  <c r="D550" i="8"/>
  <c r="C550" i="8"/>
  <c r="A550" i="8"/>
  <c r="G549" i="8"/>
  <c r="F549" i="8"/>
  <c r="E549" i="8"/>
  <c r="D549" i="8"/>
  <c r="C549" i="8"/>
  <c r="A549" i="8"/>
  <c r="G548" i="8"/>
  <c r="F548" i="8"/>
  <c r="E548" i="8"/>
  <c r="D548" i="8"/>
  <c r="C548" i="8"/>
  <c r="A548" i="8"/>
  <c r="G547" i="8"/>
  <c r="F547" i="8"/>
  <c r="E547" i="8"/>
  <c r="D547" i="8"/>
  <c r="C547" i="8"/>
  <c r="A547" i="8"/>
  <c r="G546" i="8"/>
  <c r="F546" i="8"/>
  <c r="E546" i="8"/>
  <c r="D546" i="8"/>
  <c r="C546" i="8"/>
  <c r="A546" i="8"/>
  <c r="G545" i="8"/>
  <c r="F545" i="8"/>
  <c r="E545" i="8"/>
  <c r="D545" i="8"/>
  <c r="C545" i="8"/>
  <c r="A545" i="8"/>
  <c r="G544" i="8"/>
  <c r="F544" i="8"/>
  <c r="E544" i="8"/>
  <c r="D544" i="8"/>
  <c r="C544" i="8"/>
  <c r="A544" i="8"/>
  <c r="G543" i="8"/>
  <c r="F543" i="8"/>
  <c r="E543" i="8"/>
  <c r="D543" i="8"/>
  <c r="C543" i="8"/>
  <c r="A543" i="8"/>
  <c r="G542" i="8"/>
  <c r="F542" i="8"/>
  <c r="E542" i="8"/>
  <c r="D542" i="8"/>
  <c r="C542" i="8"/>
  <c r="A542" i="8"/>
  <c r="G541" i="8"/>
  <c r="F541" i="8"/>
  <c r="E541" i="8"/>
  <c r="D541" i="8"/>
  <c r="C541" i="8"/>
  <c r="A541" i="8"/>
  <c r="G540" i="8"/>
  <c r="F540" i="8"/>
  <c r="E540" i="8"/>
  <c r="D540" i="8"/>
  <c r="C540" i="8"/>
  <c r="A540" i="8"/>
  <c r="G539" i="8"/>
  <c r="F539" i="8"/>
  <c r="E539" i="8"/>
  <c r="D539" i="8"/>
  <c r="C539" i="8"/>
  <c r="A539" i="8"/>
  <c r="G538" i="8"/>
  <c r="F538" i="8"/>
  <c r="E538" i="8"/>
  <c r="D538" i="8"/>
  <c r="C538" i="8"/>
  <c r="A538" i="8"/>
  <c r="G537" i="8"/>
  <c r="F537" i="8"/>
  <c r="E537" i="8"/>
  <c r="D537" i="8"/>
  <c r="C537" i="8"/>
  <c r="A537" i="8"/>
  <c r="G536" i="8"/>
  <c r="F536" i="8"/>
  <c r="E536" i="8"/>
  <c r="D536" i="8"/>
  <c r="C536" i="8"/>
  <c r="A536" i="8"/>
  <c r="G535" i="8"/>
  <c r="F535" i="8"/>
  <c r="E535" i="8"/>
  <c r="D535" i="8"/>
  <c r="C535" i="8"/>
  <c r="A535" i="8"/>
  <c r="G534" i="8"/>
  <c r="F534" i="8"/>
  <c r="E534" i="8"/>
  <c r="D534" i="8"/>
  <c r="C534" i="8"/>
  <c r="A534" i="8"/>
  <c r="G533" i="8"/>
  <c r="F533" i="8"/>
  <c r="E533" i="8"/>
  <c r="D533" i="8"/>
  <c r="C533" i="8"/>
  <c r="A533" i="8"/>
  <c r="G532" i="8"/>
  <c r="F532" i="8"/>
  <c r="E532" i="8"/>
  <c r="D532" i="8"/>
  <c r="C532" i="8"/>
  <c r="A532" i="8"/>
  <c r="G531" i="8"/>
  <c r="F531" i="8"/>
  <c r="E531" i="8"/>
  <c r="D531" i="8"/>
  <c r="C531" i="8"/>
  <c r="A531" i="8"/>
  <c r="G530" i="8"/>
  <c r="F530" i="8"/>
  <c r="E530" i="8"/>
  <c r="D530" i="8"/>
  <c r="C530" i="8"/>
  <c r="A530" i="8"/>
  <c r="G529" i="8"/>
  <c r="F529" i="8"/>
  <c r="E529" i="8"/>
  <c r="D529" i="8"/>
  <c r="C529" i="8"/>
  <c r="A529" i="8"/>
  <c r="G528" i="8"/>
  <c r="F528" i="8"/>
  <c r="E528" i="8"/>
  <c r="D528" i="8"/>
  <c r="C528" i="8"/>
  <c r="A528" i="8"/>
  <c r="G527" i="8"/>
  <c r="F527" i="8"/>
  <c r="E527" i="8"/>
  <c r="D527" i="8"/>
  <c r="C527" i="8"/>
  <c r="A527" i="8"/>
  <c r="G526" i="8"/>
  <c r="F526" i="8"/>
  <c r="E526" i="8"/>
  <c r="D526" i="8"/>
  <c r="C526" i="8"/>
  <c r="A526" i="8"/>
  <c r="G525" i="8"/>
  <c r="F525" i="8"/>
  <c r="E525" i="8"/>
  <c r="D525" i="8"/>
  <c r="C525" i="8"/>
  <c r="A525" i="8"/>
  <c r="G524" i="8"/>
  <c r="F524" i="8"/>
  <c r="E524" i="8"/>
  <c r="D524" i="8"/>
  <c r="C524" i="8"/>
  <c r="A524" i="8"/>
  <c r="G523" i="8"/>
  <c r="F523" i="8"/>
  <c r="E523" i="8"/>
  <c r="D523" i="8"/>
  <c r="C523" i="8"/>
  <c r="A523" i="8"/>
  <c r="G522" i="8"/>
  <c r="F522" i="8"/>
  <c r="E522" i="8"/>
  <c r="D522" i="8"/>
  <c r="C522" i="8"/>
  <c r="A522" i="8"/>
  <c r="G521" i="8"/>
  <c r="F521" i="8"/>
  <c r="E521" i="8"/>
  <c r="D521" i="8"/>
  <c r="C521" i="8"/>
  <c r="A521" i="8"/>
  <c r="G520" i="8"/>
  <c r="F520" i="8"/>
  <c r="E520" i="8"/>
  <c r="D520" i="8"/>
  <c r="C520" i="8"/>
  <c r="A520" i="8"/>
  <c r="G519" i="8"/>
  <c r="F519" i="8"/>
  <c r="E519" i="8"/>
  <c r="D519" i="8"/>
  <c r="C519" i="8"/>
  <c r="A519" i="8"/>
  <c r="G518" i="8"/>
  <c r="F518" i="8"/>
  <c r="E518" i="8"/>
  <c r="D518" i="8"/>
  <c r="C518" i="8"/>
  <c r="A518" i="8"/>
  <c r="G517" i="8"/>
  <c r="F517" i="8"/>
  <c r="E517" i="8"/>
  <c r="D517" i="8"/>
  <c r="C517" i="8"/>
  <c r="A517" i="8"/>
  <c r="G516" i="8"/>
  <c r="F516" i="8"/>
  <c r="E516" i="8"/>
  <c r="D516" i="8"/>
  <c r="C516" i="8"/>
  <c r="A516" i="8"/>
  <c r="G515" i="8"/>
  <c r="F515" i="8"/>
  <c r="E515" i="8"/>
  <c r="D515" i="8"/>
  <c r="C515" i="8"/>
  <c r="A515" i="8"/>
  <c r="G514" i="8"/>
  <c r="F514" i="8"/>
  <c r="E514" i="8"/>
  <c r="D514" i="8"/>
  <c r="C514" i="8"/>
  <c r="A514" i="8"/>
  <c r="G513" i="8"/>
  <c r="F513" i="8"/>
  <c r="E513" i="8"/>
  <c r="D513" i="8"/>
  <c r="C513" i="8"/>
  <c r="A513" i="8"/>
  <c r="G512" i="8"/>
  <c r="F512" i="8"/>
  <c r="E512" i="8"/>
  <c r="D512" i="8"/>
  <c r="C512" i="8"/>
  <c r="A512" i="8"/>
  <c r="G511" i="8"/>
  <c r="F511" i="8"/>
  <c r="E511" i="8"/>
  <c r="D511" i="8"/>
  <c r="C511" i="8"/>
  <c r="A511" i="8"/>
  <c r="G510" i="8"/>
  <c r="F510" i="8"/>
  <c r="E510" i="8"/>
  <c r="D510" i="8"/>
  <c r="C510" i="8"/>
  <c r="A510" i="8"/>
  <c r="G509" i="8"/>
  <c r="F509" i="8"/>
  <c r="E509" i="8"/>
  <c r="D509" i="8"/>
  <c r="C509" i="8"/>
  <c r="A509" i="8"/>
  <c r="G508" i="8"/>
  <c r="F508" i="8"/>
  <c r="E508" i="8"/>
  <c r="D508" i="8"/>
  <c r="C508" i="8"/>
  <c r="A508" i="8"/>
  <c r="G507" i="8"/>
  <c r="F507" i="8"/>
  <c r="E507" i="8"/>
  <c r="D507" i="8"/>
  <c r="C507" i="8"/>
  <c r="A507" i="8"/>
  <c r="G506" i="8"/>
  <c r="F506" i="8"/>
  <c r="E506" i="8"/>
  <c r="D506" i="8"/>
  <c r="C506" i="8"/>
  <c r="A506" i="8"/>
  <c r="G505" i="8"/>
  <c r="F505" i="8"/>
  <c r="E505" i="8"/>
  <c r="D505" i="8"/>
  <c r="C505" i="8"/>
  <c r="A505" i="8"/>
  <c r="G504" i="8"/>
  <c r="F504" i="8"/>
  <c r="E504" i="8"/>
  <c r="D504" i="8"/>
  <c r="C504" i="8"/>
  <c r="A504" i="8"/>
  <c r="G503" i="8"/>
  <c r="F503" i="8"/>
  <c r="E503" i="8"/>
  <c r="D503" i="8"/>
  <c r="C503" i="8"/>
  <c r="A503" i="8"/>
  <c r="G502" i="8"/>
  <c r="F502" i="8"/>
  <c r="E502" i="8"/>
  <c r="D502" i="8"/>
  <c r="C502" i="8"/>
  <c r="A502" i="8"/>
  <c r="G501" i="8"/>
  <c r="F501" i="8"/>
  <c r="E501" i="8"/>
  <c r="D501" i="8"/>
  <c r="C501" i="8"/>
  <c r="A501" i="8"/>
  <c r="G500" i="8"/>
  <c r="F500" i="8"/>
  <c r="E500" i="8"/>
  <c r="D500" i="8"/>
  <c r="C500" i="8"/>
  <c r="A500" i="8"/>
  <c r="G499" i="8"/>
  <c r="F499" i="8"/>
  <c r="E499" i="8"/>
  <c r="D499" i="8"/>
  <c r="C499" i="8"/>
  <c r="A499" i="8"/>
  <c r="G498" i="8"/>
  <c r="F498" i="8"/>
  <c r="E498" i="8"/>
  <c r="D498" i="8"/>
  <c r="C498" i="8"/>
  <c r="A498" i="8"/>
  <c r="G497" i="8"/>
  <c r="F497" i="8"/>
  <c r="E497" i="8"/>
  <c r="D497" i="8"/>
  <c r="C497" i="8"/>
  <c r="A497" i="8"/>
  <c r="G496" i="8"/>
  <c r="F496" i="8"/>
  <c r="E496" i="8"/>
  <c r="D496" i="8"/>
  <c r="C496" i="8"/>
  <c r="A496" i="8"/>
  <c r="G495" i="8"/>
  <c r="F495" i="8"/>
  <c r="E495" i="8"/>
  <c r="D495" i="8"/>
  <c r="C495" i="8"/>
  <c r="A495" i="8"/>
  <c r="G494" i="8"/>
  <c r="F494" i="8"/>
  <c r="E494" i="8"/>
  <c r="D494" i="8"/>
  <c r="C494" i="8"/>
  <c r="A494" i="8"/>
  <c r="G493" i="8"/>
  <c r="F493" i="8"/>
  <c r="E493" i="8"/>
  <c r="D493" i="8"/>
  <c r="C493" i="8"/>
  <c r="A493" i="8"/>
  <c r="G492" i="8"/>
  <c r="F492" i="8"/>
  <c r="E492" i="8"/>
  <c r="D492" i="8"/>
  <c r="C492" i="8"/>
  <c r="A492" i="8"/>
  <c r="G491" i="8"/>
  <c r="F491" i="8"/>
  <c r="E491" i="8"/>
  <c r="D491" i="8"/>
  <c r="C491" i="8"/>
  <c r="A491" i="8"/>
  <c r="G490" i="8"/>
  <c r="F490" i="8"/>
  <c r="E490" i="8"/>
  <c r="D490" i="8"/>
  <c r="C490" i="8"/>
  <c r="A490" i="8"/>
  <c r="G489" i="8"/>
  <c r="F489" i="8"/>
  <c r="E489" i="8"/>
  <c r="D489" i="8"/>
  <c r="C489" i="8"/>
  <c r="A489" i="8"/>
  <c r="G488" i="8"/>
  <c r="F488" i="8"/>
  <c r="E488" i="8"/>
  <c r="D488" i="8"/>
  <c r="C488" i="8"/>
  <c r="A488" i="8"/>
  <c r="G487" i="8"/>
  <c r="F487" i="8"/>
  <c r="E487" i="8"/>
  <c r="D487" i="8"/>
  <c r="C487" i="8"/>
  <c r="A487" i="8"/>
  <c r="G486" i="8"/>
  <c r="F486" i="8"/>
  <c r="E486" i="8"/>
  <c r="D486" i="8"/>
  <c r="C486" i="8"/>
  <c r="A486" i="8"/>
  <c r="G485" i="8"/>
  <c r="F485" i="8"/>
  <c r="E485" i="8"/>
  <c r="D485" i="8"/>
  <c r="C485" i="8"/>
  <c r="A485" i="8"/>
  <c r="G484" i="8"/>
  <c r="F484" i="8"/>
  <c r="E484" i="8"/>
  <c r="D484" i="8"/>
  <c r="C484" i="8"/>
  <c r="A484" i="8"/>
  <c r="G483" i="8"/>
  <c r="F483" i="8"/>
  <c r="E483" i="8"/>
  <c r="D483" i="8"/>
  <c r="C483" i="8"/>
  <c r="A483" i="8"/>
  <c r="G482" i="8"/>
  <c r="F482" i="8"/>
  <c r="E482" i="8"/>
  <c r="D482" i="8"/>
  <c r="C482" i="8"/>
  <c r="A482" i="8"/>
  <c r="G481" i="8"/>
  <c r="F481" i="8"/>
  <c r="E481" i="8"/>
  <c r="D481" i="8"/>
  <c r="C481" i="8"/>
  <c r="A481" i="8"/>
  <c r="G480" i="8"/>
  <c r="F480" i="8"/>
  <c r="E480" i="8"/>
  <c r="D480" i="8"/>
  <c r="C480" i="8"/>
  <c r="A480" i="8"/>
  <c r="G479" i="8"/>
  <c r="F479" i="8"/>
  <c r="E479" i="8"/>
  <c r="D479" i="8"/>
  <c r="C479" i="8"/>
  <c r="A479" i="8"/>
  <c r="G478" i="8"/>
  <c r="F478" i="8"/>
  <c r="E478" i="8"/>
  <c r="D478" i="8"/>
  <c r="C478" i="8"/>
  <c r="A478" i="8"/>
  <c r="G477" i="8"/>
  <c r="F477" i="8"/>
  <c r="E477" i="8"/>
  <c r="D477" i="8"/>
  <c r="C477" i="8"/>
  <c r="A477" i="8"/>
  <c r="G476" i="8"/>
  <c r="F476" i="8"/>
  <c r="E476" i="8"/>
  <c r="D476" i="8"/>
  <c r="C476" i="8"/>
  <c r="A476" i="8"/>
  <c r="G475" i="8"/>
  <c r="F475" i="8"/>
  <c r="E475" i="8"/>
  <c r="D475" i="8"/>
  <c r="C475" i="8"/>
  <c r="A475" i="8"/>
  <c r="G474" i="8"/>
  <c r="F474" i="8"/>
  <c r="E474" i="8"/>
  <c r="D474" i="8"/>
  <c r="C474" i="8"/>
  <c r="A474" i="8"/>
  <c r="G473" i="8"/>
  <c r="F473" i="8"/>
  <c r="E473" i="8"/>
  <c r="D473" i="8"/>
  <c r="C473" i="8"/>
  <c r="A473" i="8"/>
  <c r="G472" i="8"/>
  <c r="F472" i="8"/>
  <c r="E472" i="8"/>
  <c r="D472" i="8"/>
  <c r="C472" i="8"/>
  <c r="A472" i="8"/>
  <c r="G471" i="8"/>
  <c r="F471" i="8"/>
  <c r="E471" i="8"/>
  <c r="D471" i="8"/>
  <c r="C471" i="8"/>
  <c r="A471" i="8"/>
  <c r="G470" i="8"/>
  <c r="F470" i="8"/>
  <c r="E470" i="8"/>
  <c r="D470" i="8"/>
  <c r="C470" i="8"/>
  <c r="A470" i="8"/>
  <c r="G469" i="8"/>
  <c r="F469" i="8"/>
  <c r="E469" i="8"/>
  <c r="D469" i="8"/>
  <c r="C469" i="8"/>
  <c r="A469" i="8"/>
  <c r="G468" i="8"/>
  <c r="F468" i="8"/>
  <c r="E468" i="8"/>
  <c r="D468" i="8"/>
  <c r="C468" i="8"/>
  <c r="A468" i="8"/>
  <c r="G467" i="8"/>
  <c r="F467" i="8"/>
  <c r="E467" i="8"/>
  <c r="D467" i="8"/>
  <c r="C467" i="8"/>
  <c r="A467" i="8"/>
  <c r="G466" i="8"/>
  <c r="F466" i="8"/>
  <c r="E466" i="8"/>
  <c r="D466" i="8"/>
  <c r="C466" i="8"/>
  <c r="A466" i="8"/>
  <c r="G465" i="8"/>
  <c r="F465" i="8"/>
  <c r="E465" i="8"/>
  <c r="D465" i="8"/>
  <c r="C465" i="8"/>
  <c r="A465" i="8"/>
  <c r="G464" i="8"/>
  <c r="F464" i="8"/>
  <c r="E464" i="8"/>
  <c r="D464" i="8"/>
  <c r="C464" i="8"/>
  <c r="A464" i="8"/>
  <c r="G463" i="8"/>
  <c r="F463" i="8"/>
  <c r="E463" i="8"/>
  <c r="D463" i="8"/>
  <c r="C463" i="8"/>
  <c r="A463" i="8"/>
  <c r="G462" i="8"/>
  <c r="F462" i="8"/>
  <c r="E462" i="8"/>
  <c r="D462" i="8"/>
  <c r="C462" i="8"/>
  <c r="A462" i="8"/>
  <c r="G461" i="8"/>
  <c r="F461" i="8"/>
  <c r="E461" i="8"/>
  <c r="D461" i="8"/>
  <c r="C461" i="8"/>
  <c r="A461" i="8"/>
  <c r="G460" i="8"/>
  <c r="F460" i="8"/>
  <c r="E460" i="8"/>
  <c r="D460" i="8"/>
  <c r="C460" i="8"/>
  <c r="A460" i="8"/>
  <c r="G459" i="8"/>
  <c r="F459" i="8"/>
  <c r="E459" i="8"/>
  <c r="D459" i="8"/>
  <c r="C459" i="8"/>
  <c r="A459" i="8"/>
  <c r="G458" i="8"/>
  <c r="F458" i="8"/>
  <c r="E458" i="8"/>
  <c r="D458" i="8"/>
  <c r="C458" i="8"/>
  <c r="A458" i="8"/>
  <c r="G457" i="8"/>
  <c r="F457" i="8"/>
  <c r="E457" i="8"/>
  <c r="D457" i="8"/>
  <c r="C457" i="8"/>
  <c r="A457" i="8"/>
  <c r="G456" i="8"/>
  <c r="F456" i="8"/>
  <c r="E456" i="8"/>
  <c r="D456" i="8"/>
  <c r="C456" i="8"/>
  <c r="A456" i="8"/>
  <c r="G455" i="8"/>
  <c r="F455" i="8"/>
  <c r="E455" i="8"/>
  <c r="D455" i="8"/>
  <c r="C455" i="8"/>
  <c r="A455" i="8"/>
  <c r="G454" i="8"/>
  <c r="F454" i="8"/>
  <c r="E454" i="8"/>
  <c r="D454" i="8"/>
  <c r="C454" i="8"/>
  <c r="A454" i="8"/>
  <c r="G453" i="8"/>
  <c r="F453" i="8"/>
  <c r="E453" i="8"/>
  <c r="D453" i="8"/>
  <c r="C453" i="8"/>
  <c r="A453" i="8"/>
  <c r="G452" i="8"/>
  <c r="F452" i="8"/>
  <c r="E452" i="8"/>
  <c r="D452" i="8"/>
  <c r="C452" i="8"/>
  <c r="A452" i="8"/>
  <c r="G451" i="8"/>
  <c r="F451" i="8"/>
  <c r="E451" i="8"/>
  <c r="D451" i="8"/>
  <c r="C451" i="8"/>
  <c r="A451" i="8"/>
  <c r="G450" i="8"/>
  <c r="F450" i="8"/>
  <c r="E450" i="8"/>
  <c r="D450" i="8"/>
  <c r="C450" i="8"/>
  <c r="A450" i="8"/>
  <c r="G449" i="8"/>
  <c r="F449" i="8"/>
  <c r="E449" i="8"/>
  <c r="D449" i="8"/>
  <c r="C449" i="8"/>
  <c r="A449" i="8"/>
  <c r="G448" i="8"/>
  <c r="F448" i="8"/>
  <c r="E448" i="8"/>
  <c r="D448" i="8"/>
  <c r="C448" i="8"/>
  <c r="A448" i="8"/>
  <c r="G447" i="8"/>
  <c r="F447" i="8"/>
  <c r="E447" i="8"/>
  <c r="D447" i="8"/>
  <c r="C447" i="8"/>
  <c r="A447" i="8"/>
  <c r="G446" i="8"/>
  <c r="F446" i="8"/>
  <c r="E446" i="8"/>
  <c r="D446" i="8"/>
  <c r="C446" i="8"/>
  <c r="A446" i="8"/>
  <c r="G445" i="8"/>
  <c r="F445" i="8"/>
  <c r="E445" i="8"/>
  <c r="D445" i="8"/>
  <c r="C445" i="8"/>
  <c r="A445" i="8"/>
  <c r="G444" i="8"/>
  <c r="F444" i="8"/>
  <c r="E444" i="8"/>
  <c r="D444" i="8"/>
  <c r="C444" i="8"/>
  <c r="A444" i="8"/>
  <c r="G443" i="8"/>
  <c r="F443" i="8"/>
  <c r="E443" i="8"/>
  <c r="D443" i="8"/>
  <c r="C443" i="8"/>
  <c r="A443" i="8"/>
  <c r="G442" i="8"/>
  <c r="F442" i="8"/>
  <c r="E442" i="8"/>
  <c r="D442" i="8"/>
  <c r="C442" i="8"/>
  <c r="A442" i="8"/>
  <c r="G441" i="8"/>
  <c r="F441" i="8"/>
  <c r="E441" i="8"/>
  <c r="D441" i="8"/>
  <c r="C441" i="8"/>
  <c r="A441" i="8"/>
  <c r="G440" i="8"/>
  <c r="F440" i="8"/>
  <c r="E440" i="8"/>
  <c r="D440" i="8"/>
  <c r="C440" i="8"/>
  <c r="A440" i="8"/>
  <c r="G439" i="8"/>
  <c r="F439" i="8"/>
  <c r="E439" i="8"/>
  <c r="D439" i="8"/>
  <c r="C439" i="8"/>
  <c r="A439" i="8"/>
  <c r="G438" i="8"/>
  <c r="F438" i="8"/>
  <c r="E438" i="8"/>
  <c r="D438" i="8"/>
  <c r="C438" i="8"/>
  <c r="A438" i="8"/>
  <c r="G437" i="8"/>
  <c r="F437" i="8"/>
  <c r="E437" i="8"/>
  <c r="D437" i="8"/>
  <c r="C437" i="8"/>
  <c r="A437" i="8"/>
  <c r="G436" i="8"/>
  <c r="F436" i="8"/>
  <c r="E436" i="8"/>
  <c r="D436" i="8"/>
  <c r="C436" i="8"/>
  <c r="A436" i="8"/>
  <c r="G435" i="8"/>
  <c r="F435" i="8"/>
  <c r="E435" i="8"/>
  <c r="D435" i="8"/>
  <c r="C435" i="8"/>
  <c r="A435" i="8"/>
  <c r="G434" i="8"/>
  <c r="F434" i="8"/>
  <c r="E434" i="8"/>
  <c r="D434" i="8"/>
  <c r="C434" i="8"/>
  <c r="A434" i="8"/>
  <c r="G433" i="8"/>
  <c r="F433" i="8"/>
  <c r="E433" i="8"/>
  <c r="D433" i="8"/>
  <c r="C433" i="8"/>
  <c r="A433" i="8"/>
  <c r="G432" i="8"/>
  <c r="F432" i="8"/>
  <c r="E432" i="8"/>
  <c r="D432" i="8"/>
  <c r="C432" i="8"/>
  <c r="A432" i="8"/>
  <c r="G431" i="8"/>
  <c r="F431" i="8"/>
  <c r="E431" i="8"/>
  <c r="D431" i="8"/>
  <c r="C431" i="8"/>
  <c r="A431" i="8"/>
  <c r="G430" i="8"/>
  <c r="F430" i="8"/>
  <c r="E430" i="8"/>
  <c r="D430" i="8"/>
  <c r="C430" i="8"/>
  <c r="A430" i="8"/>
  <c r="G429" i="8"/>
  <c r="F429" i="8"/>
  <c r="E429" i="8"/>
  <c r="D429" i="8"/>
  <c r="C429" i="8"/>
  <c r="A429" i="8"/>
  <c r="G428" i="8"/>
  <c r="F428" i="8"/>
  <c r="E428" i="8"/>
  <c r="D428" i="8"/>
  <c r="C428" i="8"/>
  <c r="A428" i="8"/>
  <c r="G427" i="8"/>
  <c r="F427" i="8"/>
  <c r="E427" i="8"/>
  <c r="D427" i="8"/>
  <c r="C427" i="8"/>
  <c r="A427" i="8"/>
  <c r="G426" i="8"/>
  <c r="F426" i="8"/>
  <c r="E426" i="8"/>
  <c r="D426" i="8"/>
  <c r="C426" i="8"/>
  <c r="A426" i="8"/>
  <c r="G425" i="8"/>
  <c r="F425" i="8"/>
  <c r="E425" i="8"/>
  <c r="D425" i="8"/>
  <c r="C425" i="8"/>
  <c r="A425" i="8"/>
  <c r="G424" i="8"/>
  <c r="F424" i="8"/>
  <c r="E424" i="8"/>
  <c r="D424" i="8"/>
  <c r="C424" i="8"/>
  <c r="A424" i="8"/>
  <c r="G423" i="8"/>
  <c r="F423" i="8"/>
  <c r="E423" i="8"/>
  <c r="D423" i="8"/>
  <c r="C423" i="8"/>
  <c r="A423" i="8"/>
  <c r="G422" i="8"/>
  <c r="F422" i="8"/>
  <c r="E422" i="8"/>
  <c r="D422" i="8"/>
  <c r="C422" i="8"/>
  <c r="A422" i="8"/>
  <c r="G421" i="8"/>
  <c r="F421" i="8"/>
  <c r="E421" i="8"/>
  <c r="D421" i="8"/>
  <c r="C421" i="8"/>
  <c r="A421" i="8"/>
  <c r="G420" i="8"/>
  <c r="F420" i="8"/>
  <c r="E420" i="8"/>
  <c r="D420" i="8"/>
  <c r="C420" i="8"/>
  <c r="A420" i="8"/>
  <c r="G419" i="8"/>
  <c r="F419" i="8"/>
  <c r="E419" i="8"/>
  <c r="D419" i="8"/>
  <c r="C419" i="8"/>
  <c r="A419" i="8"/>
  <c r="G418" i="8"/>
  <c r="F418" i="8"/>
  <c r="E418" i="8"/>
  <c r="D418" i="8"/>
  <c r="C418" i="8"/>
  <c r="A418" i="8"/>
  <c r="G417" i="8"/>
  <c r="F417" i="8"/>
  <c r="E417" i="8"/>
  <c r="D417" i="8"/>
  <c r="C417" i="8"/>
  <c r="A417" i="8"/>
  <c r="G416" i="8"/>
  <c r="F416" i="8"/>
  <c r="E416" i="8"/>
  <c r="D416" i="8"/>
  <c r="C416" i="8"/>
  <c r="A416" i="8"/>
  <c r="G415" i="8"/>
  <c r="F415" i="8"/>
  <c r="E415" i="8"/>
  <c r="D415" i="8"/>
  <c r="C415" i="8"/>
  <c r="A415" i="8"/>
  <c r="G414" i="8"/>
  <c r="F414" i="8"/>
  <c r="E414" i="8"/>
  <c r="D414" i="8"/>
  <c r="C414" i="8"/>
  <c r="A414" i="8"/>
  <c r="G413" i="8"/>
  <c r="F413" i="8"/>
  <c r="E413" i="8"/>
  <c r="D413" i="8"/>
  <c r="C413" i="8"/>
  <c r="A413" i="8"/>
  <c r="G412" i="8"/>
  <c r="F412" i="8"/>
  <c r="E412" i="8"/>
  <c r="D412" i="8"/>
  <c r="C412" i="8"/>
  <c r="A412" i="8"/>
  <c r="G411" i="8"/>
  <c r="F411" i="8"/>
  <c r="E411" i="8"/>
  <c r="D411" i="8"/>
  <c r="C411" i="8"/>
  <c r="A411" i="8"/>
  <c r="G410" i="8"/>
  <c r="F410" i="8"/>
  <c r="E410" i="8"/>
  <c r="D410" i="8"/>
  <c r="C410" i="8"/>
  <c r="A410" i="8"/>
  <c r="G409" i="8"/>
  <c r="F409" i="8"/>
  <c r="E409" i="8"/>
  <c r="D409" i="8"/>
  <c r="C409" i="8"/>
  <c r="A409" i="8"/>
  <c r="G408" i="8"/>
  <c r="F408" i="8"/>
  <c r="E408" i="8"/>
  <c r="D408" i="8"/>
  <c r="C408" i="8"/>
  <c r="A408" i="8"/>
  <c r="G407" i="8"/>
  <c r="F407" i="8"/>
  <c r="E407" i="8"/>
  <c r="D407" i="8"/>
  <c r="C407" i="8"/>
  <c r="A407" i="8"/>
  <c r="G406" i="8"/>
  <c r="F406" i="8"/>
  <c r="E406" i="8"/>
  <c r="D406" i="8"/>
  <c r="C406" i="8"/>
  <c r="A406" i="8"/>
  <c r="G405" i="8"/>
  <c r="F405" i="8"/>
  <c r="E405" i="8"/>
  <c r="D405" i="8"/>
  <c r="C405" i="8"/>
  <c r="A405" i="8"/>
  <c r="G404" i="8"/>
  <c r="F404" i="8"/>
  <c r="E404" i="8"/>
  <c r="D404" i="8"/>
  <c r="C404" i="8"/>
  <c r="A404" i="8"/>
  <c r="G403" i="8"/>
  <c r="F403" i="8"/>
  <c r="E403" i="8"/>
  <c r="D403" i="8"/>
  <c r="C403" i="8"/>
  <c r="A403" i="8"/>
  <c r="G402" i="8"/>
  <c r="F402" i="8"/>
  <c r="E402" i="8"/>
  <c r="D402" i="8"/>
  <c r="C402" i="8"/>
  <c r="A402" i="8"/>
  <c r="G401" i="8"/>
  <c r="F401" i="8"/>
  <c r="E401" i="8"/>
  <c r="D401" i="8"/>
  <c r="C401" i="8"/>
  <c r="A401" i="8"/>
  <c r="G400" i="8"/>
  <c r="F400" i="8"/>
  <c r="E400" i="8"/>
  <c r="D400" i="8"/>
  <c r="C400" i="8"/>
  <c r="A400" i="8"/>
  <c r="G399" i="8"/>
  <c r="F399" i="8"/>
  <c r="E399" i="8"/>
  <c r="D399" i="8"/>
  <c r="C399" i="8"/>
  <c r="A399" i="8"/>
  <c r="G398" i="8"/>
  <c r="F398" i="8"/>
  <c r="E398" i="8"/>
  <c r="D398" i="8"/>
  <c r="C398" i="8"/>
  <c r="A398" i="8"/>
  <c r="G397" i="8"/>
  <c r="F397" i="8"/>
  <c r="E397" i="8"/>
  <c r="D397" i="8"/>
  <c r="C397" i="8"/>
  <c r="A397" i="8"/>
  <c r="G396" i="8"/>
  <c r="F396" i="8"/>
  <c r="E396" i="8"/>
  <c r="D396" i="8"/>
  <c r="C396" i="8"/>
  <c r="A396" i="8"/>
  <c r="G395" i="8"/>
  <c r="F395" i="8"/>
  <c r="E395" i="8"/>
  <c r="D395" i="8"/>
  <c r="C395" i="8"/>
  <c r="A395" i="8"/>
  <c r="G394" i="8"/>
  <c r="F394" i="8"/>
  <c r="E394" i="8"/>
  <c r="D394" i="8"/>
  <c r="C394" i="8"/>
  <c r="A394" i="8"/>
  <c r="G393" i="8"/>
  <c r="F393" i="8"/>
  <c r="E393" i="8"/>
  <c r="D393" i="8"/>
  <c r="C393" i="8"/>
  <c r="A393" i="8"/>
  <c r="G392" i="8"/>
  <c r="F392" i="8"/>
  <c r="E392" i="8"/>
  <c r="D392" i="8"/>
  <c r="C392" i="8"/>
  <c r="A392" i="8"/>
  <c r="G391" i="8"/>
  <c r="F391" i="8"/>
  <c r="E391" i="8"/>
  <c r="D391" i="8"/>
  <c r="C391" i="8"/>
  <c r="A391" i="8"/>
  <c r="G390" i="8"/>
  <c r="F390" i="8"/>
  <c r="E390" i="8"/>
  <c r="D390" i="8"/>
  <c r="C390" i="8"/>
  <c r="A390" i="8"/>
  <c r="G389" i="8"/>
  <c r="F389" i="8"/>
  <c r="E389" i="8"/>
  <c r="D389" i="8"/>
  <c r="C389" i="8"/>
  <c r="A389" i="8"/>
  <c r="G388" i="8"/>
  <c r="F388" i="8"/>
  <c r="E388" i="8"/>
  <c r="D388" i="8"/>
  <c r="C388" i="8"/>
  <c r="A388" i="8"/>
  <c r="G387" i="8"/>
  <c r="F387" i="8"/>
  <c r="E387" i="8"/>
  <c r="D387" i="8"/>
  <c r="C387" i="8"/>
  <c r="A387" i="8"/>
  <c r="G386" i="8"/>
  <c r="F386" i="8"/>
  <c r="E386" i="8"/>
  <c r="D386" i="8"/>
  <c r="C386" i="8"/>
  <c r="A386" i="8"/>
  <c r="G385" i="8"/>
  <c r="F385" i="8"/>
  <c r="E385" i="8"/>
  <c r="D385" i="8"/>
  <c r="C385" i="8"/>
  <c r="A385" i="8"/>
  <c r="G384" i="8"/>
  <c r="F384" i="8"/>
  <c r="E384" i="8"/>
  <c r="D384" i="8"/>
  <c r="C384" i="8"/>
  <c r="A384" i="8"/>
  <c r="G383" i="8"/>
  <c r="F383" i="8"/>
  <c r="E383" i="8"/>
  <c r="D383" i="8"/>
  <c r="C383" i="8"/>
  <c r="A383" i="8"/>
  <c r="G382" i="8"/>
  <c r="F382" i="8"/>
  <c r="E382" i="8"/>
  <c r="D382" i="8"/>
  <c r="C382" i="8"/>
  <c r="A382" i="8"/>
  <c r="G381" i="8"/>
  <c r="F381" i="8"/>
  <c r="E381" i="8"/>
  <c r="D381" i="8"/>
  <c r="C381" i="8"/>
  <c r="A381" i="8"/>
  <c r="G380" i="8"/>
  <c r="F380" i="8"/>
  <c r="E380" i="8"/>
  <c r="D380" i="8"/>
  <c r="C380" i="8"/>
  <c r="A380" i="8"/>
  <c r="G379" i="8"/>
  <c r="F379" i="8"/>
  <c r="E379" i="8"/>
  <c r="D379" i="8"/>
  <c r="C379" i="8"/>
  <c r="A379" i="8"/>
  <c r="G378" i="8"/>
  <c r="F378" i="8"/>
  <c r="E378" i="8"/>
  <c r="D378" i="8"/>
  <c r="C378" i="8"/>
  <c r="A378" i="8"/>
  <c r="G377" i="8"/>
  <c r="F377" i="8"/>
  <c r="E377" i="8"/>
  <c r="D377" i="8"/>
  <c r="C377" i="8"/>
  <c r="A377" i="8"/>
  <c r="G376" i="8"/>
  <c r="F376" i="8"/>
  <c r="E376" i="8"/>
  <c r="D376" i="8"/>
  <c r="C376" i="8"/>
  <c r="A376" i="8"/>
  <c r="G375" i="8"/>
  <c r="F375" i="8"/>
  <c r="E375" i="8"/>
  <c r="D375" i="8"/>
  <c r="C375" i="8"/>
  <c r="A375" i="8"/>
  <c r="G374" i="8"/>
  <c r="F374" i="8"/>
  <c r="E374" i="8"/>
  <c r="D374" i="8"/>
  <c r="C374" i="8"/>
  <c r="A374" i="8"/>
  <c r="G373" i="8"/>
  <c r="F373" i="8"/>
  <c r="E373" i="8"/>
  <c r="D373" i="8"/>
  <c r="C373" i="8"/>
  <c r="A373" i="8"/>
  <c r="G372" i="8"/>
  <c r="F372" i="8"/>
  <c r="E372" i="8"/>
  <c r="D372" i="8"/>
  <c r="C372" i="8"/>
  <c r="A372" i="8"/>
  <c r="G371" i="8"/>
  <c r="F371" i="8"/>
  <c r="E371" i="8"/>
  <c r="D371" i="8"/>
  <c r="C371" i="8"/>
  <c r="A371" i="8"/>
  <c r="G370" i="8"/>
  <c r="F370" i="8"/>
  <c r="E370" i="8"/>
  <c r="D370" i="8"/>
  <c r="C370" i="8"/>
  <c r="A370" i="8"/>
  <c r="G369" i="8"/>
  <c r="F369" i="8"/>
  <c r="E369" i="8"/>
  <c r="D369" i="8"/>
  <c r="C369" i="8"/>
  <c r="A369" i="8"/>
  <c r="G368" i="8"/>
  <c r="F368" i="8"/>
  <c r="E368" i="8"/>
  <c r="D368" i="8"/>
  <c r="C368" i="8"/>
  <c r="A368" i="8"/>
  <c r="G367" i="8"/>
  <c r="F367" i="8"/>
  <c r="E367" i="8"/>
  <c r="D367" i="8"/>
  <c r="C367" i="8"/>
  <c r="A367" i="8"/>
  <c r="G366" i="8"/>
  <c r="F366" i="8"/>
  <c r="E366" i="8"/>
  <c r="D366" i="8"/>
  <c r="C366" i="8"/>
  <c r="A366" i="8"/>
  <c r="G365" i="8"/>
  <c r="F365" i="8"/>
  <c r="E365" i="8"/>
  <c r="D365" i="8"/>
  <c r="C365" i="8"/>
  <c r="A365" i="8"/>
  <c r="G364" i="8"/>
  <c r="F364" i="8"/>
  <c r="E364" i="8"/>
  <c r="D364" i="8"/>
  <c r="C364" i="8"/>
  <c r="A364" i="8"/>
  <c r="G363" i="8"/>
  <c r="F363" i="8"/>
  <c r="E363" i="8"/>
  <c r="D363" i="8"/>
  <c r="C363" i="8"/>
  <c r="A363" i="8"/>
  <c r="G362" i="8"/>
  <c r="F362" i="8"/>
  <c r="E362" i="8"/>
  <c r="D362" i="8"/>
  <c r="C362" i="8"/>
  <c r="A362" i="8"/>
  <c r="G361" i="8"/>
  <c r="F361" i="8"/>
  <c r="E361" i="8"/>
  <c r="D361" i="8"/>
  <c r="C361" i="8"/>
  <c r="A361" i="8"/>
  <c r="G360" i="8"/>
  <c r="F360" i="8"/>
  <c r="E360" i="8"/>
  <c r="D360" i="8"/>
  <c r="C360" i="8"/>
  <c r="A360" i="8"/>
  <c r="G359" i="8"/>
  <c r="F359" i="8"/>
  <c r="E359" i="8"/>
  <c r="D359" i="8"/>
  <c r="C359" i="8"/>
  <c r="A359" i="8"/>
  <c r="G358" i="8"/>
  <c r="F358" i="8"/>
  <c r="E358" i="8"/>
  <c r="D358" i="8"/>
  <c r="C358" i="8"/>
  <c r="A358" i="8"/>
  <c r="G357" i="8"/>
  <c r="F357" i="8"/>
  <c r="E357" i="8"/>
  <c r="D357" i="8"/>
  <c r="C357" i="8"/>
  <c r="A357" i="8"/>
  <c r="G356" i="8"/>
  <c r="F356" i="8"/>
  <c r="E356" i="8"/>
  <c r="D356" i="8"/>
  <c r="C356" i="8"/>
  <c r="A356" i="8"/>
  <c r="G355" i="8"/>
  <c r="F355" i="8"/>
  <c r="E355" i="8"/>
  <c r="D355" i="8"/>
  <c r="C355" i="8"/>
  <c r="A355" i="8"/>
  <c r="G354" i="8"/>
  <c r="F354" i="8"/>
  <c r="E354" i="8"/>
  <c r="D354" i="8"/>
  <c r="C354" i="8"/>
  <c r="A354" i="8"/>
  <c r="G353" i="8"/>
  <c r="F353" i="8"/>
  <c r="E353" i="8"/>
  <c r="D353" i="8"/>
  <c r="C353" i="8"/>
  <c r="A353" i="8"/>
  <c r="G352" i="8"/>
  <c r="F352" i="8"/>
  <c r="E352" i="8"/>
  <c r="D352" i="8"/>
  <c r="C352" i="8"/>
  <c r="A352" i="8"/>
  <c r="G351" i="8"/>
  <c r="F351" i="8"/>
  <c r="E351" i="8"/>
  <c r="D351" i="8"/>
  <c r="C351" i="8"/>
  <c r="A351" i="8"/>
  <c r="G350" i="8"/>
  <c r="F350" i="8"/>
  <c r="E350" i="8"/>
  <c r="D350" i="8"/>
  <c r="C350" i="8"/>
  <c r="A350" i="8"/>
  <c r="G349" i="8"/>
  <c r="F349" i="8"/>
  <c r="E349" i="8"/>
  <c r="D349" i="8"/>
  <c r="C349" i="8"/>
  <c r="A349" i="8"/>
  <c r="G348" i="8"/>
  <c r="F348" i="8"/>
  <c r="E348" i="8"/>
  <c r="D348" i="8"/>
  <c r="C348" i="8"/>
  <c r="A348" i="8"/>
  <c r="G347" i="8"/>
  <c r="F347" i="8"/>
  <c r="E347" i="8"/>
  <c r="D347" i="8"/>
  <c r="C347" i="8"/>
  <c r="A347" i="8"/>
  <c r="G346" i="8"/>
  <c r="F346" i="8"/>
  <c r="E346" i="8"/>
  <c r="D346" i="8"/>
  <c r="C346" i="8"/>
  <c r="A346" i="8"/>
  <c r="G345" i="8"/>
  <c r="F345" i="8"/>
  <c r="E345" i="8"/>
  <c r="D345" i="8"/>
  <c r="C345" i="8"/>
  <c r="A345" i="8"/>
  <c r="G344" i="8"/>
  <c r="F344" i="8"/>
  <c r="E344" i="8"/>
  <c r="D344" i="8"/>
  <c r="C344" i="8"/>
  <c r="A344" i="8"/>
  <c r="G343" i="8"/>
  <c r="F343" i="8"/>
  <c r="E343" i="8"/>
  <c r="D343" i="8"/>
  <c r="C343" i="8"/>
  <c r="A343" i="8"/>
  <c r="G342" i="8"/>
  <c r="F342" i="8"/>
  <c r="E342" i="8"/>
  <c r="D342" i="8"/>
  <c r="C342" i="8"/>
  <c r="A342" i="8"/>
  <c r="G341" i="8"/>
  <c r="F341" i="8"/>
  <c r="E341" i="8"/>
  <c r="D341" i="8"/>
  <c r="C341" i="8"/>
  <c r="A341" i="8"/>
  <c r="G340" i="8"/>
  <c r="F340" i="8"/>
  <c r="E340" i="8"/>
  <c r="D340" i="8"/>
  <c r="C340" i="8"/>
  <c r="A340" i="8"/>
  <c r="G339" i="8"/>
  <c r="F339" i="8"/>
  <c r="E339" i="8"/>
  <c r="D339" i="8"/>
  <c r="C339" i="8"/>
  <c r="A339" i="8"/>
  <c r="G338" i="8"/>
  <c r="F338" i="8"/>
  <c r="E338" i="8"/>
  <c r="D338" i="8"/>
  <c r="C338" i="8"/>
  <c r="A338" i="8"/>
  <c r="G337" i="8"/>
  <c r="F337" i="8"/>
  <c r="E337" i="8"/>
  <c r="D337" i="8"/>
  <c r="C337" i="8"/>
  <c r="A337" i="8"/>
  <c r="G336" i="8"/>
  <c r="F336" i="8"/>
  <c r="E336" i="8"/>
  <c r="D336" i="8"/>
  <c r="C336" i="8"/>
  <c r="A336" i="8"/>
  <c r="G335" i="8"/>
  <c r="F335" i="8"/>
  <c r="E335" i="8"/>
  <c r="D335" i="8"/>
  <c r="C335" i="8"/>
  <c r="A335" i="8"/>
  <c r="G334" i="8"/>
  <c r="F334" i="8"/>
  <c r="E334" i="8"/>
  <c r="D334" i="8"/>
  <c r="C334" i="8"/>
  <c r="A334" i="8"/>
  <c r="G333" i="8"/>
  <c r="F333" i="8"/>
  <c r="E333" i="8"/>
  <c r="D333" i="8"/>
  <c r="C333" i="8"/>
  <c r="A333" i="8"/>
  <c r="G332" i="8"/>
  <c r="F332" i="8"/>
  <c r="E332" i="8"/>
  <c r="D332" i="8"/>
  <c r="C332" i="8"/>
  <c r="A332" i="8"/>
  <c r="G331" i="8"/>
  <c r="F331" i="8"/>
  <c r="E331" i="8"/>
  <c r="D331" i="8"/>
  <c r="C331" i="8"/>
  <c r="A331" i="8"/>
  <c r="G330" i="8"/>
  <c r="F330" i="8"/>
  <c r="E330" i="8"/>
  <c r="D330" i="8"/>
  <c r="C330" i="8"/>
  <c r="A330" i="8"/>
  <c r="G329" i="8"/>
  <c r="F329" i="8"/>
  <c r="E329" i="8"/>
  <c r="D329" i="8"/>
  <c r="C329" i="8"/>
  <c r="A329" i="8"/>
  <c r="G328" i="8"/>
  <c r="F328" i="8"/>
  <c r="E328" i="8"/>
  <c r="D328" i="8"/>
  <c r="C328" i="8"/>
  <c r="A328" i="8"/>
  <c r="G327" i="8"/>
  <c r="F327" i="8"/>
  <c r="E327" i="8"/>
  <c r="D327" i="8"/>
  <c r="C327" i="8"/>
  <c r="A327" i="8"/>
  <c r="G326" i="8"/>
  <c r="F326" i="8"/>
  <c r="E326" i="8"/>
  <c r="D326" i="8"/>
  <c r="C326" i="8"/>
  <c r="A326" i="8"/>
  <c r="G325" i="8"/>
  <c r="F325" i="8"/>
  <c r="E325" i="8"/>
  <c r="D325" i="8"/>
  <c r="C325" i="8"/>
  <c r="A325" i="8"/>
  <c r="G324" i="8"/>
  <c r="F324" i="8"/>
  <c r="E324" i="8"/>
  <c r="D324" i="8"/>
  <c r="C324" i="8"/>
  <c r="A324" i="8"/>
  <c r="G323" i="8"/>
  <c r="F323" i="8"/>
  <c r="E323" i="8"/>
  <c r="D323" i="8"/>
  <c r="C323" i="8"/>
  <c r="A323" i="8"/>
  <c r="G322" i="8"/>
  <c r="F322" i="8"/>
  <c r="E322" i="8"/>
  <c r="D322" i="8"/>
  <c r="C322" i="8"/>
  <c r="A322" i="8"/>
  <c r="G321" i="8"/>
  <c r="F321" i="8"/>
  <c r="E321" i="8"/>
  <c r="D321" i="8"/>
  <c r="C321" i="8"/>
  <c r="A321" i="8"/>
  <c r="G320" i="8"/>
  <c r="F320" i="8"/>
  <c r="E320" i="8"/>
  <c r="D320" i="8"/>
  <c r="C320" i="8"/>
  <c r="A320" i="8"/>
  <c r="G319" i="8"/>
  <c r="F319" i="8"/>
  <c r="E319" i="8"/>
  <c r="D319" i="8"/>
  <c r="C319" i="8"/>
  <c r="A319" i="8"/>
  <c r="G318" i="8"/>
  <c r="F318" i="8"/>
  <c r="E318" i="8"/>
  <c r="D318" i="8"/>
  <c r="C318" i="8"/>
  <c r="A318" i="8"/>
  <c r="G317" i="8"/>
  <c r="F317" i="8"/>
  <c r="E317" i="8"/>
  <c r="D317" i="8"/>
  <c r="C317" i="8"/>
  <c r="A317" i="8"/>
  <c r="G316" i="8"/>
  <c r="F316" i="8"/>
  <c r="E316" i="8"/>
  <c r="D316" i="8"/>
  <c r="C316" i="8"/>
  <c r="A316" i="8"/>
  <c r="G315" i="8"/>
  <c r="F315" i="8"/>
  <c r="E315" i="8"/>
  <c r="D315" i="8"/>
  <c r="C315" i="8"/>
  <c r="A315" i="8"/>
  <c r="G314" i="8"/>
  <c r="F314" i="8"/>
  <c r="E314" i="8"/>
  <c r="D314" i="8"/>
  <c r="C314" i="8"/>
  <c r="A314" i="8"/>
  <c r="G313" i="8"/>
  <c r="F313" i="8"/>
  <c r="E313" i="8"/>
  <c r="D313" i="8"/>
  <c r="C313" i="8"/>
  <c r="A313" i="8"/>
  <c r="G312" i="8"/>
  <c r="F312" i="8"/>
  <c r="E312" i="8"/>
  <c r="D312" i="8"/>
  <c r="C312" i="8"/>
  <c r="A312" i="8"/>
  <c r="G311" i="8"/>
  <c r="F311" i="8"/>
  <c r="E311" i="8"/>
  <c r="D311" i="8"/>
  <c r="C311" i="8"/>
  <c r="A311" i="8"/>
  <c r="G310" i="8"/>
  <c r="F310" i="8"/>
  <c r="E310" i="8"/>
  <c r="D310" i="8"/>
  <c r="C310" i="8"/>
  <c r="A310" i="8"/>
  <c r="G309" i="8"/>
  <c r="F309" i="8"/>
  <c r="E309" i="8"/>
  <c r="D309" i="8"/>
  <c r="C309" i="8"/>
  <c r="A309" i="8"/>
  <c r="G308" i="8"/>
  <c r="F308" i="8"/>
  <c r="E308" i="8"/>
  <c r="D308" i="8"/>
  <c r="C308" i="8"/>
  <c r="A308" i="8"/>
  <c r="G307" i="8"/>
  <c r="F307" i="8"/>
  <c r="E307" i="8"/>
  <c r="D307" i="8"/>
  <c r="C307" i="8"/>
  <c r="A307" i="8"/>
  <c r="G306" i="8"/>
  <c r="F306" i="8"/>
  <c r="E306" i="8"/>
  <c r="D306" i="8"/>
  <c r="C306" i="8"/>
  <c r="A306" i="8"/>
  <c r="G305" i="8"/>
  <c r="F305" i="8"/>
  <c r="E305" i="8"/>
  <c r="D305" i="8"/>
  <c r="C305" i="8"/>
  <c r="A305" i="8"/>
  <c r="G304" i="8"/>
  <c r="F304" i="8"/>
  <c r="E304" i="8"/>
  <c r="D304" i="8"/>
  <c r="C304" i="8"/>
  <c r="A304" i="8"/>
  <c r="G303" i="8"/>
  <c r="F303" i="8"/>
  <c r="E303" i="8"/>
  <c r="D303" i="8"/>
  <c r="C303" i="8"/>
  <c r="A303" i="8"/>
  <c r="G302" i="8"/>
  <c r="F302" i="8"/>
  <c r="E302" i="8"/>
  <c r="D302" i="8"/>
  <c r="C302" i="8"/>
  <c r="A302" i="8"/>
  <c r="G301" i="8"/>
  <c r="F301" i="8"/>
  <c r="E301" i="8"/>
  <c r="D301" i="8"/>
  <c r="C301" i="8"/>
  <c r="A301" i="8"/>
  <c r="G300" i="8"/>
  <c r="F300" i="8"/>
  <c r="E300" i="8"/>
  <c r="D300" i="8"/>
  <c r="C300" i="8"/>
  <c r="A300" i="8"/>
  <c r="G299" i="8"/>
  <c r="F299" i="8"/>
  <c r="E299" i="8"/>
  <c r="D299" i="8"/>
  <c r="C299" i="8"/>
  <c r="A299" i="8"/>
  <c r="G298" i="8"/>
  <c r="F298" i="8"/>
  <c r="E298" i="8"/>
  <c r="D298" i="8"/>
  <c r="C298" i="8"/>
  <c r="A298" i="8"/>
  <c r="G297" i="8"/>
  <c r="F297" i="8"/>
  <c r="E297" i="8"/>
  <c r="D297" i="8"/>
  <c r="C297" i="8"/>
  <c r="A297" i="8"/>
  <c r="G296" i="8"/>
  <c r="F296" i="8"/>
  <c r="E296" i="8"/>
  <c r="D296" i="8"/>
  <c r="C296" i="8"/>
  <c r="A296" i="8"/>
  <c r="G295" i="8"/>
  <c r="F295" i="8"/>
  <c r="E295" i="8"/>
  <c r="D295" i="8"/>
  <c r="C295" i="8"/>
  <c r="A295" i="8"/>
  <c r="G294" i="8"/>
  <c r="F294" i="8"/>
  <c r="E294" i="8"/>
  <c r="D294" i="8"/>
  <c r="C294" i="8"/>
  <c r="A294" i="8"/>
  <c r="G293" i="8"/>
  <c r="F293" i="8"/>
  <c r="E293" i="8"/>
  <c r="D293" i="8"/>
  <c r="C293" i="8"/>
  <c r="A293" i="8"/>
  <c r="G292" i="8"/>
  <c r="F292" i="8"/>
  <c r="E292" i="8"/>
  <c r="D292" i="8"/>
  <c r="C292" i="8"/>
  <c r="A292" i="8"/>
  <c r="G291" i="8"/>
  <c r="F291" i="8"/>
  <c r="E291" i="8"/>
  <c r="D291" i="8"/>
  <c r="C291" i="8"/>
  <c r="A291" i="8"/>
  <c r="G290" i="8"/>
  <c r="F290" i="8"/>
  <c r="E290" i="8"/>
  <c r="D290" i="8"/>
  <c r="C290" i="8"/>
  <c r="A290" i="8"/>
  <c r="G289" i="8"/>
  <c r="F289" i="8"/>
  <c r="E289" i="8"/>
  <c r="D289" i="8"/>
  <c r="C289" i="8"/>
  <c r="A289" i="8"/>
  <c r="G288" i="8"/>
  <c r="F288" i="8"/>
  <c r="E288" i="8"/>
  <c r="D288" i="8"/>
  <c r="C288" i="8"/>
  <c r="A288" i="8"/>
  <c r="G287" i="8"/>
  <c r="F287" i="8"/>
  <c r="E287" i="8"/>
  <c r="D287" i="8"/>
  <c r="C287" i="8"/>
  <c r="A287" i="8"/>
  <c r="G286" i="8"/>
  <c r="F286" i="8"/>
  <c r="E286" i="8"/>
  <c r="D286" i="8"/>
  <c r="C286" i="8"/>
  <c r="A286" i="8"/>
  <c r="G285" i="8"/>
  <c r="F285" i="8"/>
  <c r="E285" i="8"/>
  <c r="D285" i="8"/>
  <c r="C285" i="8"/>
  <c r="A285" i="8"/>
  <c r="G284" i="8"/>
  <c r="F284" i="8"/>
  <c r="E284" i="8"/>
  <c r="D284" i="8"/>
  <c r="C284" i="8"/>
  <c r="A284" i="8"/>
  <c r="G283" i="8"/>
  <c r="F283" i="8"/>
  <c r="E283" i="8"/>
  <c r="D283" i="8"/>
  <c r="C283" i="8"/>
  <c r="A283" i="8"/>
  <c r="G282" i="8"/>
  <c r="F282" i="8"/>
  <c r="E282" i="8"/>
  <c r="D282" i="8"/>
  <c r="C282" i="8"/>
  <c r="A282" i="8"/>
  <c r="G281" i="8"/>
  <c r="F281" i="8"/>
  <c r="E281" i="8"/>
  <c r="D281" i="8"/>
  <c r="C281" i="8"/>
  <c r="A281" i="8"/>
  <c r="G280" i="8"/>
  <c r="F280" i="8"/>
  <c r="E280" i="8"/>
  <c r="D280" i="8"/>
  <c r="C280" i="8"/>
  <c r="A280" i="8"/>
  <c r="G279" i="8"/>
  <c r="F279" i="8"/>
  <c r="E279" i="8"/>
  <c r="D279" i="8"/>
  <c r="C279" i="8"/>
  <c r="A279" i="8"/>
  <c r="G278" i="8"/>
  <c r="F278" i="8"/>
  <c r="E278" i="8"/>
  <c r="D278" i="8"/>
  <c r="C278" i="8"/>
  <c r="A278" i="8"/>
  <c r="G277" i="8"/>
  <c r="F277" i="8"/>
  <c r="E277" i="8"/>
  <c r="D277" i="8"/>
  <c r="C277" i="8"/>
  <c r="A277" i="8"/>
  <c r="G276" i="8"/>
  <c r="F276" i="8"/>
  <c r="E276" i="8"/>
  <c r="D276" i="8"/>
  <c r="C276" i="8"/>
  <c r="A276" i="8"/>
  <c r="G275" i="8"/>
  <c r="F275" i="8"/>
  <c r="E275" i="8"/>
  <c r="D275" i="8"/>
  <c r="C275" i="8"/>
  <c r="A275" i="8"/>
  <c r="G274" i="8"/>
  <c r="F274" i="8"/>
  <c r="E274" i="8"/>
  <c r="D274" i="8"/>
  <c r="C274" i="8"/>
  <c r="A274" i="8"/>
  <c r="G273" i="8"/>
  <c r="F273" i="8"/>
  <c r="E273" i="8"/>
  <c r="D273" i="8"/>
  <c r="C273" i="8"/>
  <c r="A273" i="8"/>
  <c r="G272" i="8"/>
  <c r="F272" i="8"/>
  <c r="E272" i="8"/>
  <c r="D272" i="8"/>
  <c r="C272" i="8"/>
  <c r="A272" i="8"/>
  <c r="G271" i="8"/>
  <c r="F271" i="8"/>
  <c r="E271" i="8"/>
  <c r="D271" i="8"/>
  <c r="C271" i="8"/>
  <c r="A271" i="8"/>
  <c r="G270" i="8"/>
  <c r="F270" i="8"/>
  <c r="E270" i="8"/>
  <c r="D270" i="8"/>
  <c r="C270" i="8"/>
  <c r="A270" i="8"/>
  <c r="G269" i="8"/>
  <c r="F269" i="8"/>
  <c r="E269" i="8"/>
  <c r="D269" i="8"/>
  <c r="C269" i="8"/>
  <c r="A269" i="8"/>
  <c r="G268" i="8"/>
  <c r="F268" i="8"/>
  <c r="E268" i="8"/>
  <c r="D268" i="8"/>
  <c r="C268" i="8"/>
  <c r="A268" i="8"/>
  <c r="G267" i="8"/>
  <c r="F267" i="8"/>
  <c r="E267" i="8"/>
  <c r="D267" i="8"/>
  <c r="C267" i="8"/>
  <c r="A267" i="8"/>
  <c r="G266" i="8"/>
  <c r="F266" i="8"/>
  <c r="E266" i="8"/>
  <c r="D266" i="8"/>
  <c r="C266" i="8"/>
  <c r="A266" i="8"/>
  <c r="G265" i="8"/>
  <c r="F265" i="8"/>
  <c r="E265" i="8"/>
  <c r="D265" i="8"/>
  <c r="C265" i="8"/>
  <c r="A265" i="8"/>
  <c r="G264" i="8"/>
  <c r="F264" i="8"/>
  <c r="E264" i="8"/>
  <c r="D264" i="8"/>
  <c r="C264" i="8"/>
  <c r="A264" i="8"/>
  <c r="G263" i="8"/>
  <c r="F263" i="8"/>
  <c r="E263" i="8"/>
  <c r="D263" i="8"/>
  <c r="C263" i="8"/>
  <c r="A263" i="8"/>
  <c r="G262" i="8"/>
  <c r="F262" i="8"/>
  <c r="E262" i="8"/>
  <c r="D262" i="8"/>
  <c r="C262" i="8"/>
  <c r="A262" i="8"/>
  <c r="G261" i="8"/>
  <c r="F261" i="8"/>
  <c r="E261" i="8"/>
  <c r="D261" i="8"/>
  <c r="C261" i="8"/>
  <c r="A261" i="8"/>
  <c r="G260" i="8"/>
  <c r="F260" i="8"/>
  <c r="E260" i="8"/>
  <c r="D260" i="8"/>
  <c r="C260" i="8"/>
  <c r="A260" i="8"/>
  <c r="G259" i="8"/>
  <c r="F259" i="8"/>
  <c r="E259" i="8"/>
  <c r="D259" i="8"/>
  <c r="C259" i="8"/>
  <c r="A259" i="8"/>
  <c r="G258" i="8"/>
  <c r="F258" i="8"/>
  <c r="E258" i="8"/>
  <c r="D258" i="8"/>
  <c r="C258" i="8"/>
  <c r="A258" i="8"/>
  <c r="G257" i="8"/>
  <c r="F257" i="8"/>
  <c r="E257" i="8"/>
  <c r="D257" i="8"/>
  <c r="C257" i="8"/>
  <c r="A257" i="8"/>
  <c r="G256" i="8"/>
  <c r="F256" i="8"/>
  <c r="E256" i="8"/>
  <c r="D256" i="8"/>
  <c r="C256" i="8"/>
  <c r="A256" i="8"/>
  <c r="G255" i="8"/>
  <c r="F255" i="8"/>
  <c r="E255" i="8"/>
  <c r="D255" i="8"/>
  <c r="C255" i="8"/>
  <c r="A255" i="8"/>
  <c r="G254" i="8"/>
  <c r="F254" i="8"/>
  <c r="E254" i="8"/>
  <c r="D254" i="8"/>
  <c r="C254" i="8"/>
  <c r="A254" i="8"/>
  <c r="G253" i="8"/>
  <c r="F253" i="8"/>
  <c r="E253" i="8"/>
  <c r="D253" i="8"/>
  <c r="C253" i="8"/>
  <c r="A253" i="8"/>
  <c r="G252" i="8"/>
  <c r="F252" i="8"/>
  <c r="E252" i="8"/>
  <c r="D252" i="8"/>
  <c r="C252" i="8"/>
  <c r="A252" i="8"/>
  <c r="G251" i="8"/>
  <c r="F251" i="8"/>
  <c r="E251" i="8"/>
  <c r="D251" i="8"/>
  <c r="C251" i="8"/>
  <c r="A251" i="8"/>
  <c r="G250" i="8"/>
  <c r="F250" i="8"/>
  <c r="E250" i="8"/>
  <c r="D250" i="8"/>
  <c r="C250" i="8"/>
  <c r="A250" i="8"/>
  <c r="G249" i="8"/>
  <c r="F249" i="8"/>
  <c r="E249" i="8"/>
  <c r="D249" i="8"/>
  <c r="C249" i="8"/>
  <c r="A249" i="8"/>
  <c r="G248" i="8"/>
  <c r="F248" i="8"/>
  <c r="E248" i="8"/>
  <c r="D248" i="8"/>
  <c r="C248" i="8"/>
  <c r="A248" i="8"/>
  <c r="G247" i="8"/>
  <c r="F247" i="8"/>
  <c r="E247" i="8"/>
  <c r="D247" i="8"/>
  <c r="C247" i="8"/>
  <c r="A247" i="8"/>
  <c r="G246" i="8"/>
  <c r="F246" i="8"/>
  <c r="E246" i="8"/>
  <c r="D246" i="8"/>
  <c r="C246" i="8"/>
  <c r="A246" i="8"/>
  <c r="G245" i="8"/>
  <c r="F245" i="8"/>
  <c r="E245" i="8"/>
  <c r="D245" i="8"/>
  <c r="C245" i="8"/>
  <c r="A245" i="8"/>
  <c r="G244" i="8"/>
  <c r="F244" i="8"/>
  <c r="E244" i="8"/>
  <c r="D244" i="8"/>
  <c r="C244" i="8"/>
  <c r="A244" i="8"/>
  <c r="G243" i="8"/>
  <c r="F243" i="8"/>
  <c r="E243" i="8"/>
  <c r="D243" i="8"/>
  <c r="C243" i="8"/>
  <c r="A243" i="8"/>
  <c r="G242" i="8"/>
  <c r="F242" i="8"/>
  <c r="E242" i="8"/>
  <c r="D242" i="8"/>
  <c r="C242" i="8"/>
  <c r="A242" i="8"/>
  <c r="G241" i="8"/>
  <c r="F241" i="8"/>
  <c r="E241" i="8"/>
  <c r="D241" i="8"/>
  <c r="C241" i="8"/>
  <c r="A241" i="8"/>
  <c r="G240" i="8"/>
  <c r="F240" i="8"/>
  <c r="E240" i="8"/>
  <c r="D240" i="8"/>
  <c r="C240" i="8"/>
  <c r="A240" i="8"/>
  <c r="G239" i="8"/>
  <c r="F239" i="8"/>
  <c r="E239" i="8"/>
  <c r="D239" i="8"/>
  <c r="C239" i="8"/>
  <c r="A239" i="8"/>
  <c r="G238" i="8"/>
  <c r="F238" i="8"/>
  <c r="E238" i="8"/>
  <c r="D238" i="8"/>
  <c r="C238" i="8"/>
  <c r="A238" i="8"/>
  <c r="G237" i="8"/>
  <c r="F237" i="8"/>
  <c r="E237" i="8"/>
  <c r="D237" i="8"/>
  <c r="C237" i="8"/>
  <c r="A237" i="8"/>
  <c r="G236" i="8"/>
  <c r="F236" i="8"/>
  <c r="E236" i="8"/>
  <c r="D236" i="8"/>
  <c r="C236" i="8"/>
  <c r="A236" i="8"/>
  <c r="G235" i="8"/>
  <c r="F235" i="8"/>
  <c r="E235" i="8"/>
  <c r="D235" i="8"/>
  <c r="C235" i="8"/>
  <c r="A235" i="8"/>
  <c r="G234" i="8"/>
  <c r="F234" i="8"/>
  <c r="E234" i="8"/>
  <c r="D234" i="8"/>
  <c r="C234" i="8"/>
  <c r="A234" i="8"/>
  <c r="G233" i="8"/>
  <c r="F233" i="8"/>
  <c r="E233" i="8"/>
  <c r="D233" i="8"/>
  <c r="C233" i="8"/>
  <c r="A233" i="8"/>
  <c r="G232" i="8"/>
  <c r="F232" i="8"/>
  <c r="E232" i="8"/>
  <c r="D232" i="8"/>
  <c r="C232" i="8"/>
  <c r="A232" i="8"/>
  <c r="G231" i="8"/>
  <c r="F231" i="8"/>
  <c r="E231" i="8"/>
  <c r="D231" i="8"/>
  <c r="C231" i="8"/>
  <c r="A231" i="8"/>
  <c r="G230" i="8"/>
  <c r="F230" i="8"/>
  <c r="E230" i="8"/>
  <c r="D230" i="8"/>
  <c r="C230" i="8"/>
  <c r="A230" i="8"/>
  <c r="G229" i="8"/>
  <c r="F229" i="8"/>
  <c r="E229" i="8"/>
  <c r="D229" i="8"/>
  <c r="C229" i="8"/>
  <c r="A229" i="8"/>
  <c r="G228" i="8"/>
  <c r="F228" i="8"/>
  <c r="E228" i="8"/>
  <c r="D228" i="8"/>
  <c r="C228" i="8"/>
  <c r="A228" i="8"/>
  <c r="G227" i="8"/>
  <c r="F227" i="8"/>
  <c r="E227" i="8"/>
  <c r="D227" i="8"/>
  <c r="C227" i="8"/>
  <c r="A227" i="8"/>
  <c r="G226" i="8"/>
  <c r="F226" i="8"/>
  <c r="E226" i="8"/>
  <c r="D226" i="8"/>
  <c r="C226" i="8"/>
  <c r="A226" i="8"/>
  <c r="G225" i="8"/>
  <c r="F225" i="8"/>
  <c r="E225" i="8"/>
  <c r="D225" i="8"/>
  <c r="C225" i="8"/>
  <c r="A225" i="8"/>
  <c r="G224" i="8"/>
  <c r="F224" i="8"/>
  <c r="E224" i="8"/>
  <c r="D224" i="8"/>
  <c r="C224" i="8"/>
  <c r="A224" i="8"/>
  <c r="G223" i="8"/>
  <c r="F223" i="8"/>
  <c r="E223" i="8"/>
  <c r="D223" i="8"/>
  <c r="C223" i="8"/>
  <c r="A223" i="8"/>
  <c r="G222" i="8"/>
  <c r="F222" i="8"/>
  <c r="E222" i="8"/>
  <c r="D222" i="8"/>
  <c r="C222" i="8"/>
  <c r="A222" i="8"/>
  <c r="G221" i="8"/>
  <c r="F221" i="8"/>
  <c r="E221" i="8"/>
  <c r="D221" i="8"/>
  <c r="C221" i="8"/>
  <c r="A221" i="8"/>
  <c r="G220" i="8"/>
  <c r="F220" i="8"/>
  <c r="E220" i="8"/>
  <c r="D220" i="8"/>
  <c r="C220" i="8"/>
  <c r="A220" i="8"/>
  <c r="G219" i="8"/>
  <c r="F219" i="8"/>
  <c r="E219" i="8"/>
  <c r="D219" i="8"/>
  <c r="C219" i="8"/>
  <c r="A219" i="8"/>
  <c r="G218" i="8"/>
  <c r="F218" i="8"/>
  <c r="E218" i="8"/>
  <c r="D218" i="8"/>
  <c r="C218" i="8"/>
  <c r="A218" i="8"/>
  <c r="G217" i="8"/>
  <c r="F217" i="8"/>
  <c r="E217" i="8"/>
  <c r="D217" i="8"/>
  <c r="C217" i="8"/>
  <c r="A217" i="8"/>
  <c r="G216" i="8"/>
  <c r="F216" i="8"/>
  <c r="E216" i="8"/>
  <c r="D216" i="8"/>
  <c r="C216" i="8"/>
  <c r="A216" i="8"/>
  <c r="G215" i="8"/>
  <c r="F215" i="8"/>
  <c r="E215" i="8"/>
  <c r="D215" i="8"/>
  <c r="C215" i="8"/>
  <c r="A215" i="8"/>
  <c r="G214" i="8"/>
  <c r="F214" i="8"/>
  <c r="E214" i="8"/>
  <c r="D214" i="8"/>
  <c r="C214" i="8"/>
  <c r="A214" i="8"/>
  <c r="G213" i="8"/>
  <c r="F213" i="8"/>
  <c r="E213" i="8"/>
  <c r="D213" i="8"/>
  <c r="C213" i="8"/>
  <c r="A213" i="8"/>
  <c r="G212" i="8"/>
  <c r="F212" i="8"/>
  <c r="E212" i="8"/>
  <c r="D212" i="8"/>
  <c r="C212" i="8"/>
  <c r="A212" i="8"/>
  <c r="G211" i="8"/>
  <c r="F211" i="8"/>
  <c r="E211" i="8"/>
  <c r="D211" i="8"/>
  <c r="C211" i="8"/>
  <c r="A211" i="8"/>
  <c r="G210" i="8"/>
  <c r="F210" i="8"/>
  <c r="E210" i="8"/>
  <c r="D210" i="8"/>
  <c r="C210" i="8"/>
  <c r="A210" i="8"/>
  <c r="G209" i="8"/>
  <c r="F209" i="8"/>
  <c r="E209" i="8"/>
  <c r="D209" i="8"/>
  <c r="C209" i="8"/>
  <c r="A209" i="8"/>
  <c r="G208" i="8"/>
  <c r="F208" i="8"/>
  <c r="E208" i="8"/>
  <c r="D208" i="8"/>
  <c r="C208" i="8"/>
  <c r="A208" i="8"/>
  <c r="G207" i="8"/>
  <c r="F207" i="8"/>
  <c r="E207" i="8"/>
  <c r="D207" i="8"/>
  <c r="C207" i="8"/>
  <c r="A207" i="8"/>
  <c r="G206" i="8"/>
  <c r="F206" i="8"/>
  <c r="E206" i="8"/>
  <c r="D206" i="8"/>
  <c r="C206" i="8"/>
  <c r="A206" i="8"/>
  <c r="G205" i="8"/>
  <c r="F205" i="8"/>
  <c r="E205" i="8"/>
  <c r="D205" i="8"/>
  <c r="C205" i="8"/>
  <c r="A205" i="8"/>
  <c r="G204" i="8"/>
  <c r="F204" i="8"/>
  <c r="E204" i="8"/>
  <c r="D204" i="8"/>
  <c r="C204" i="8"/>
  <c r="A204" i="8"/>
  <c r="G203" i="8"/>
  <c r="F203" i="8"/>
  <c r="E203" i="8"/>
  <c r="D203" i="8"/>
  <c r="C203" i="8"/>
  <c r="A203" i="8"/>
  <c r="G202" i="8"/>
  <c r="F202" i="8"/>
  <c r="E202" i="8"/>
  <c r="D202" i="8"/>
  <c r="C202" i="8"/>
  <c r="A202" i="8"/>
  <c r="G201" i="8"/>
  <c r="F201" i="8"/>
  <c r="E201" i="8"/>
  <c r="D201" i="8"/>
  <c r="C201" i="8"/>
  <c r="A201" i="8"/>
  <c r="G200" i="8"/>
  <c r="F200" i="8"/>
  <c r="E200" i="8"/>
  <c r="D200" i="8"/>
  <c r="C200" i="8"/>
  <c r="A200" i="8"/>
  <c r="G199" i="8"/>
  <c r="F199" i="8"/>
  <c r="E199" i="8"/>
  <c r="D199" i="8"/>
  <c r="C199" i="8"/>
  <c r="A199" i="8"/>
  <c r="G198" i="8"/>
  <c r="F198" i="8"/>
  <c r="E198" i="8"/>
  <c r="D198" i="8"/>
  <c r="C198" i="8"/>
  <c r="A198" i="8"/>
  <c r="G197" i="8"/>
  <c r="F197" i="8"/>
  <c r="E197" i="8"/>
  <c r="D197" i="8"/>
  <c r="C197" i="8"/>
  <c r="A197" i="8"/>
  <c r="G196" i="8"/>
  <c r="F196" i="8"/>
  <c r="E196" i="8"/>
  <c r="D196" i="8"/>
  <c r="C196" i="8"/>
  <c r="A196" i="8"/>
  <c r="G195" i="8"/>
  <c r="F195" i="8"/>
  <c r="E195" i="8"/>
  <c r="D195" i="8"/>
  <c r="C195" i="8"/>
  <c r="A195" i="8"/>
  <c r="G194" i="8"/>
  <c r="F194" i="8"/>
  <c r="E194" i="8"/>
  <c r="D194" i="8"/>
  <c r="C194" i="8"/>
  <c r="A194" i="8"/>
  <c r="G193" i="8"/>
  <c r="F193" i="8"/>
  <c r="E193" i="8"/>
  <c r="D193" i="8"/>
  <c r="C193" i="8"/>
  <c r="A193" i="8"/>
  <c r="G192" i="8"/>
  <c r="F192" i="8"/>
  <c r="E192" i="8"/>
  <c r="D192" i="8"/>
  <c r="C192" i="8"/>
  <c r="A192" i="8"/>
  <c r="G191" i="8"/>
  <c r="F191" i="8"/>
  <c r="E191" i="8"/>
  <c r="D191" i="8"/>
  <c r="C191" i="8"/>
  <c r="A191" i="8"/>
  <c r="G190" i="8"/>
  <c r="F190" i="8"/>
  <c r="E190" i="8"/>
  <c r="D190" i="8"/>
  <c r="C190" i="8"/>
  <c r="A190" i="8"/>
  <c r="G189" i="8"/>
  <c r="F189" i="8"/>
  <c r="E189" i="8"/>
  <c r="D189" i="8"/>
  <c r="C189" i="8"/>
  <c r="A189" i="8"/>
  <c r="G188" i="8"/>
  <c r="F188" i="8"/>
  <c r="E188" i="8"/>
  <c r="D188" i="8"/>
  <c r="C188" i="8"/>
  <c r="A188" i="8"/>
  <c r="G187" i="8"/>
  <c r="F187" i="8"/>
  <c r="E187" i="8"/>
  <c r="D187" i="8"/>
  <c r="C187" i="8"/>
  <c r="A187" i="8"/>
  <c r="G186" i="8"/>
  <c r="F186" i="8"/>
  <c r="E186" i="8"/>
  <c r="D186" i="8"/>
  <c r="C186" i="8"/>
  <c r="A186" i="8"/>
  <c r="G185" i="8"/>
  <c r="F185" i="8"/>
  <c r="E185" i="8"/>
  <c r="D185" i="8"/>
  <c r="C185" i="8"/>
  <c r="A185" i="8"/>
  <c r="G184" i="8"/>
  <c r="F184" i="8"/>
  <c r="E184" i="8"/>
  <c r="D184" i="8"/>
  <c r="C184" i="8"/>
  <c r="A184" i="8"/>
  <c r="G183" i="8"/>
  <c r="F183" i="8"/>
  <c r="E183" i="8"/>
  <c r="D183" i="8"/>
  <c r="C183" i="8"/>
  <c r="A183" i="8"/>
  <c r="G182" i="8"/>
  <c r="F182" i="8"/>
  <c r="E182" i="8"/>
  <c r="D182" i="8"/>
  <c r="C182" i="8"/>
  <c r="A182" i="8"/>
  <c r="G181" i="8"/>
  <c r="F181" i="8"/>
  <c r="E181" i="8"/>
  <c r="D181" i="8"/>
  <c r="C181" i="8"/>
  <c r="A181" i="8"/>
  <c r="G180" i="8"/>
  <c r="F180" i="8"/>
  <c r="E180" i="8"/>
  <c r="D180" i="8"/>
  <c r="C180" i="8"/>
  <c r="A180" i="8"/>
  <c r="G179" i="8"/>
  <c r="F179" i="8"/>
  <c r="E179" i="8"/>
  <c r="D179" i="8"/>
  <c r="C179" i="8"/>
  <c r="A179" i="8"/>
  <c r="G178" i="8"/>
  <c r="F178" i="8"/>
  <c r="E178" i="8"/>
  <c r="D178" i="8"/>
  <c r="C178" i="8"/>
  <c r="A178" i="8"/>
  <c r="G177" i="8"/>
  <c r="F177" i="8"/>
  <c r="E177" i="8"/>
  <c r="D177" i="8"/>
  <c r="C177" i="8"/>
  <c r="A177" i="8"/>
  <c r="G176" i="8"/>
  <c r="F176" i="8"/>
  <c r="E176" i="8"/>
  <c r="D176" i="8"/>
  <c r="C176" i="8"/>
  <c r="A176" i="8"/>
  <c r="G175" i="8"/>
  <c r="F175" i="8"/>
  <c r="E175" i="8"/>
  <c r="D175" i="8"/>
  <c r="C175" i="8"/>
  <c r="A175" i="8"/>
  <c r="G174" i="8"/>
  <c r="F174" i="8"/>
  <c r="E174" i="8"/>
  <c r="D174" i="8"/>
  <c r="C174" i="8"/>
  <c r="A174" i="8"/>
  <c r="G173" i="8"/>
  <c r="F173" i="8"/>
  <c r="E173" i="8"/>
  <c r="D173" i="8"/>
  <c r="C173" i="8"/>
  <c r="A173" i="8"/>
  <c r="G172" i="8"/>
  <c r="F172" i="8"/>
  <c r="E172" i="8"/>
  <c r="D172" i="8"/>
  <c r="C172" i="8"/>
  <c r="A172" i="8"/>
  <c r="G171" i="8"/>
  <c r="F171" i="8"/>
  <c r="E171" i="8"/>
  <c r="D171" i="8"/>
  <c r="C171" i="8"/>
  <c r="A171" i="8"/>
  <c r="G170" i="8"/>
  <c r="F170" i="8"/>
  <c r="E170" i="8"/>
  <c r="D170" i="8"/>
  <c r="C170" i="8"/>
  <c r="A170" i="8"/>
  <c r="G169" i="8"/>
  <c r="F169" i="8"/>
  <c r="E169" i="8"/>
  <c r="D169" i="8"/>
  <c r="C169" i="8"/>
  <c r="A169" i="8"/>
  <c r="G168" i="8"/>
  <c r="F168" i="8"/>
  <c r="E168" i="8"/>
  <c r="D168" i="8"/>
  <c r="C168" i="8"/>
  <c r="A168" i="8"/>
  <c r="G167" i="8"/>
  <c r="F167" i="8"/>
  <c r="E167" i="8"/>
  <c r="D167" i="8"/>
  <c r="C167" i="8"/>
  <c r="A167" i="8"/>
  <c r="G166" i="8"/>
  <c r="F166" i="8"/>
  <c r="E166" i="8"/>
  <c r="D166" i="8"/>
  <c r="C166" i="8"/>
  <c r="A166" i="8"/>
  <c r="G165" i="8"/>
  <c r="F165" i="8"/>
  <c r="E165" i="8"/>
  <c r="D165" i="8"/>
  <c r="C165" i="8"/>
  <c r="A165" i="8"/>
  <c r="G164" i="8"/>
  <c r="F164" i="8"/>
  <c r="E164" i="8"/>
  <c r="D164" i="8"/>
  <c r="C164" i="8"/>
  <c r="A164" i="8"/>
  <c r="G163" i="8"/>
  <c r="F163" i="8"/>
  <c r="E163" i="8"/>
  <c r="D163" i="8"/>
  <c r="C163" i="8"/>
  <c r="A163" i="8"/>
  <c r="G162" i="8"/>
  <c r="F162" i="8"/>
  <c r="E162" i="8"/>
  <c r="D162" i="8"/>
  <c r="C162" i="8"/>
  <c r="A162" i="8"/>
  <c r="G161" i="8"/>
  <c r="F161" i="8"/>
  <c r="E161" i="8"/>
  <c r="D161" i="8"/>
  <c r="C161" i="8"/>
  <c r="A161" i="8"/>
  <c r="G160" i="8"/>
  <c r="F160" i="8"/>
  <c r="E160" i="8"/>
  <c r="D160" i="8"/>
  <c r="C160" i="8"/>
  <c r="A160" i="8"/>
  <c r="G159" i="8"/>
  <c r="F159" i="8"/>
  <c r="E159" i="8"/>
  <c r="D159" i="8"/>
  <c r="C159" i="8"/>
  <c r="A159" i="8"/>
  <c r="G158" i="8"/>
  <c r="F158" i="8"/>
  <c r="E158" i="8"/>
  <c r="D158" i="8"/>
  <c r="C158" i="8"/>
  <c r="A158" i="8"/>
  <c r="G157" i="8"/>
  <c r="F157" i="8"/>
  <c r="E157" i="8"/>
  <c r="D157" i="8"/>
  <c r="C157" i="8"/>
  <c r="A157" i="8"/>
  <c r="G156" i="8"/>
  <c r="F156" i="8"/>
  <c r="E156" i="8"/>
  <c r="D156" i="8"/>
  <c r="C156" i="8"/>
  <c r="A156" i="8"/>
  <c r="G155" i="8"/>
  <c r="F155" i="8"/>
  <c r="E155" i="8"/>
  <c r="D155" i="8"/>
  <c r="C155" i="8"/>
  <c r="A155" i="8"/>
  <c r="G154" i="8"/>
  <c r="F154" i="8"/>
  <c r="E154" i="8"/>
  <c r="D154" i="8"/>
  <c r="C154" i="8"/>
  <c r="A154" i="8"/>
  <c r="G153" i="8"/>
  <c r="F153" i="8"/>
  <c r="E153" i="8"/>
  <c r="D153" i="8"/>
  <c r="C153" i="8"/>
  <c r="A153" i="8"/>
  <c r="G152" i="8"/>
  <c r="F152" i="8"/>
  <c r="E152" i="8"/>
  <c r="D152" i="8"/>
  <c r="C152" i="8"/>
  <c r="A152" i="8"/>
  <c r="G151" i="8"/>
  <c r="F151" i="8"/>
  <c r="E151" i="8"/>
  <c r="D151" i="8"/>
  <c r="C151" i="8"/>
  <c r="A151" i="8"/>
  <c r="G150" i="8"/>
  <c r="F150" i="8"/>
  <c r="E150" i="8"/>
  <c r="D150" i="8"/>
  <c r="C150" i="8"/>
  <c r="A150" i="8"/>
  <c r="G149" i="8"/>
  <c r="F149" i="8"/>
  <c r="E149" i="8"/>
  <c r="D149" i="8"/>
  <c r="C149" i="8"/>
  <c r="A149" i="8"/>
  <c r="G148" i="8"/>
  <c r="F148" i="8"/>
  <c r="E148" i="8"/>
  <c r="D148" i="8"/>
  <c r="C148" i="8"/>
  <c r="A148" i="8"/>
  <c r="G147" i="8"/>
  <c r="F147" i="8"/>
  <c r="E147" i="8"/>
  <c r="D147" i="8"/>
  <c r="C147" i="8"/>
  <c r="A147" i="8"/>
  <c r="G146" i="8"/>
  <c r="F146" i="8"/>
  <c r="E146" i="8"/>
  <c r="D146" i="8"/>
  <c r="C146" i="8"/>
  <c r="A146" i="8"/>
  <c r="G145" i="8"/>
  <c r="F145" i="8"/>
  <c r="E145" i="8"/>
  <c r="D145" i="8"/>
  <c r="C145" i="8"/>
  <c r="A145" i="8"/>
  <c r="G144" i="8"/>
  <c r="F144" i="8"/>
  <c r="E144" i="8"/>
  <c r="D144" i="8"/>
  <c r="C144" i="8"/>
  <c r="A144" i="8"/>
  <c r="G143" i="8"/>
  <c r="F143" i="8"/>
  <c r="E143" i="8"/>
  <c r="D143" i="8"/>
  <c r="C143" i="8"/>
  <c r="A143" i="8"/>
  <c r="G142" i="8"/>
  <c r="F142" i="8"/>
  <c r="E142" i="8"/>
  <c r="D142" i="8"/>
  <c r="C142" i="8"/>
  <c r="A142" i="8"/>
  <c r="G141" i="8"/>
  <c r="F141" i="8"/>
  <c r="E141" i="8"/>
  <c r="D141" i="8"/>
  <c r="C141" i="8"/>
  <c r="A141" i="8"/>
  <c r="G140" i="8"/>
  <c r="F140" i="8"/>
  <c r="E140" i="8"/>
  <c r="D140" i="8"/>
  <c r="C140" i="8"/>
  <c r="A140" i="8"/>
  <c r="G139" i="8"/>
  <c r="F139" i="8"/>
  <c r="E139" i="8"/>
  <c r="D139" i="8"/>
  <c r="C139" i="8"/>
  <c r="A139" i="8"/>
  <c r="G138" i="8"/>
  <c r="F138" i="8"/>
  <c r="E138" i="8"/>
  <c r="D138" i="8"/>
  <c r="C138" i="8"/>
  <c r="A138" i="8"/>
  <c r="G137" i="8"/>
  <c r="F137" i="8"/>
  <c r="E137" i="8"/>
  <c r="D137" i="8"/>
  <c r="C137" i="8"/>
  <c r="A137" i="8"/>
  <c r="G136" i="8"/>
  <c r="F136" i="8"/>
  <c r="E136" i="8"/>
  <c r="D136" i="8"/>
  <c r="C136" i="8"/>
  <c r="A136" i="8"/>
  <c r="G135" i="8"/>
  <c r="F135" i="8"/>
  <c r="E135" i="8"/>
  <c r="D135" i="8"/>
  <c r="C135" i="8"/>
  <c r="A135" i="8"/>
  <c r="G134" i="8"/>
  <c r="F134" i="8"/>
  <c r="E134" i="8"/>
  <c r="D134" i="8"/>
  <c r="C134" i="8"/>
  <c r="A134" i="8"/>
  <c r="G133" i="8"/>
  <c r="F133" i="8"/>
  <c r="E133" i="8"/>
  <c r="D133" i="8"/>
  <c r="C133" i="8"/>
  <c r="A133" i="8"/>
  <c r="G132" i="8"/>
  <c r="F132" i="8"/>
  <c r="E132" i="8"/>
  <c r="D132" i="8"/>
  <c r="C132" i="8"/>
  <c r="A132" i="8"/>
  <c r="G131" i="8"/>
  <c r="F131" i="8"/>
  <c r="E131" i="8"/>
  <c r="D131" i="8"/>
  <c r="C131" i="8"/>
  <c r="A131" i="8"/>
  <c r="G130" i="8"/>
  <c r="F130" i="8"/>
  <c r="E130" i="8"/>
  <c r="D130" i="8"/>
  <c r="C130" i="8"/>
  <c r="A130" i="8"/>
  <c r="G129" i="8"/>
  <c r="F129" i="8"/>
  <c r="E129" i="8"/>
  <c r="D129" i="8"/>
  <c r="C129" i="8"/>
  <c r="A129" i="8"/>
  <c r="G128" i="8"/>
  <c r="F128" i="8"/>
  <c r="E128" i="8"/>
  <c r="D128" i="8"/>
  <c r="C128" i="8"/>
  <c r="A128" i="8"/>
  <c r="G127" i="8"/>
  <c r="F127" i="8"/>
  <c r="E127" i="8"/>
  <c r="D127" i="8"/>
  <c r="C127" i="8"/>
  <c r="A127" i="8"/>
  <c r="G126" i="8"/>
  <c r="F126" i="8"/>
  <c r="E126" i="8"/>
  <c r="D126" i="8"/>
  <c r="C126" i="8"/>
  <c r="A126" i="8"/>
  <c r="G125" i="8"/>
  <c r="F125" i="8"/>
  <c r="E125" i="8"/>
  <c r="D125" i="8"/>
  <c r="C125" i="8"/>
  <c r="A125" i="8"/>
  <c r="G124" i="8"/>
  <c r="F124" i="8"/>
  <c r="E124" i="8"/>
  <c r="D124" i="8"/>
  <c r="C124" i="8"/>
  <c r="A124" i="8"/>
  <c r="G123" i="8"/>
  <c r="F123" i="8"/>
  <c r="E123" i="8"/>
  <c r="D123" i="8"/>
  <c r="C123" i="8"/>
  <c r="A123" i="8"/>
  <c r="G122" i="8"/>
  <c r="F122" i="8"/>
  <c r="E122" i="8"/>
  <c r="D122" i="8"/>
  <c r="C122" i="8"/>
  <c r="A122" i="8"/>
  <c r="G121" i="8"/>
  <c r="F121" i="8"/>
  <c r="E121" i="8"/>
  <c r="D121" i="8"/>
  <c r="C121" i="8"/>
  <c r="A121" i="8"/>
  <c r="G120" i="8"/>
  <c r="F120" i="8"/>
  <c r="E120" i="8"/>
  <c r="D120" i="8"/>
  <c r="C120" i="8"/>
  <c r="A120" i="8"/>
  <c r="G119" i="8"/>
  <c r="F119" i="8"/>
  <c r="E119" i="8"/>
  <c r="D119" i="8"/>
  <c r="C119" i="8"/>
  <c r="A119" i="8"/>
  <c r="G118" i="8"/>
  <c r="F118" i="8"/>
  <c r="E118" i="8"/>
  <c r="D118" i="8"/>
  <c r="C118" i="8"/>
  <c r="A118" i="8"/>
  <c r="G117" i="8"/>
  <c r="F117" i="8"/>
  <c r="E117" i="8"/>
  <c r="D117" i="8"/>
  <c r="C117" i="8"/>
  <c r="A117" i="8"/>
  <c r="G116" i="8"/>
  <c r="F116" i="8"/>
  <c r="E116" i="8"/>
  <c r="D116" i="8"/>
  <c r="C116" i="8"/>
  <c r="A116" i="8"/>
  <c r="G115" i="8"/>
  <c r="F115" i="8"/>
  <c r="E115" i="8"/>
  <c r="D115" i="8"/>
  <c r="C115" i="8"/>
  <c r="A115" i="8"/>
  <c r="G114" i="8"/>
  <c r="F114" i="8"/>
  <c r="E114" i="8"/>
  <c r="D114" i="8"/>
  <c r="C114" i="8"/>
  <c r="A114" i="8"/>
  <c r="G113" i="8"/>
  <c r="F113" i="8"/>
  <c r="E113" i="8"/>
  <c r="D113" i="8"/>
  <c r="C113" i="8"/>
  <c r="A113" i="8"/>
  <c r="G112" i="8"/>
  <c r="F112" i="8"/>
  <c r="E112" i="8"/>
  <c r="D112" i="8"/>
  <c r="C112" i="8"/>
  <c r="A112" i="8"/>
  <c r="G111" i="8"/>
  <c r="F111" i="8"/>
  <c r="E111" i="8"/>
  <c r="D111" i="8"/>
  <c r="C111" i="8"/>
  <c r="A111" i="8"/>
  <c r="G110" i="8"/>
  <c r="F110" i="8"/>
  <c r="E110" i="8"/>
  <c r="D110" i="8"/>
  <c r="C110" i="8"/>
  <c r="A110" i="8"/>
  <c r="G109" i="8"/>
  <c r="F109" i="8"/>
  <c r="E109" i="8"/>
  <c r="D109" i="8"/>
  <c r="C109" i="8"/>
  <c r="A109" i="8"/>
  <c r="G108" i="8"/>
  <c r="F108" i="8"/>
  <c r="E108" i="8"/>
  <c r="D108" i="8"/>
  <c r="C108" i="8"/>
  <c r="A108" i="8"/>
  <c r="G107" i="8"/>
  <c r="F107" i="8"/>
  <c r="E107" i="8"/>
  <c r="D107" i="8"/>
  <c r="C107" i="8"/>
  <c r="A107" i="8"/>
  <c r="G106" i="8"/>
  <c r="F106" i="8"/>
  <c r="E106" i="8"/>
  <c r="D106" i="8"/>
  <c r="C106" i="8"/>
  <c r="A106" i="8"/>
  <c r="G105" i="8"/>
  <c r="F105" i="8"/>
  <c r="E105" i="8"/>
  <c r="D105" i="8"/>
  <c r="C105" i="8"/>
  <c r="A105" i="8"/>
  <c r="G104" i="8"/>
  <c r="F104" i="8"/>
  <c r="E104" i="8"/>
  <c r="D104" i="8"/>
  <c r="C104" i="8"/>
  <c r="A104" i="8"/>
  <c r="G103" i="8"/>
  <c r="F103" i="8"/>
  <c r="E103" i="8"/>
  <c r="D103" i="8"/>
  <c r="C103" i="8"/>
  <c r="A103" i="8"/>
  <c r="G102" i="8"/>
  <c r="F102" i="8"/>
  <c r="E102" i="8"/>
  <c r="D102" i="8"/>
  <c r="C102" i="8"/>
  <c r="A102" i="8"/>
  <c r="G101" i="8"/>
  <c r="F101" i="8"/>
  <c r="E101" i="8"/>
  <c r="D101" i="8"/>
  <c r="C101" i="8"/>
  <c r="A101" i="8"/>
  <c r="G100" i="8"/>
  <c r="F100" i="8"/>
  <c r="E100" i="8"/>
  <c r="D100" i="8"/>
  <c r="C100" i="8"/>
  <c r="A100" i="8"/>
  <c r="G99" i="8"/>
  <c r="F99" i="8"/>
  <c r="E99" i="8"/>
  <c r="D99" i="8"/>
  <c r="C99" i="8"/>
  <c r="A99" i="8"/>
  <c r="G98" i="8"/>
  <c r="F98" i="8"/>
  <c r="E98" i="8"/>
  <c r="D98" i="8"/>
  <c r="C98" i="8"/>
  <c r="A98" i="8"/>
  <c r="G97" i="8"/>
  <c r="F97" i="8"/>
  <c r="E97" i="8"/>
  <c r="D97" i="8"/>
  <c r="C97" i="8"/>
  <c r="A97" i="8"/>
  <c r="G96" i="8"/>
  <c r="F96" i="8"/>
  <c r="E96" i="8"/>
  <c r="D96" i="8"/>
  <c r="C96" i="8"/>
  <c r="A96" i="8"/>
  <c r="G95" i="8"/>
  <c r="F95" i="8"/>
  <c r="E95" i="8"/>
  <c r="D95" i="8"/>
  <c r="C95" i="8"/>
  <c r="A95" i="8"/>
  <c r="G94" i="8"/>
  <c r="F94" i="8"/>
  <c r="E94" i="8"/>
  <c r="D94" i="8"/>
  <c r="C94" i="8"/>
  <c r="A94" i="8"/>
  <c r="G93" i="8"/>
  <c r="F93" i="8"/>
  <c r="E93" i="8"/>
  <c r="D93" i="8"/>
  <c r="C93" i="8"/>
  <c r="A93" i="8"/>
  <c r="G92" i="8"/>
  <c r="F92" i="8"/>
  <c r="E92" i="8"/>
  <c r="D92" i="8"/>
  <c r="C92" i="8"/>
  <c r="A92" i="8"/>
  <c r="G91" i="8"/>
  <c r="F91" i="8"/>
  <c r="E91" i="8"/>
  <c r="D91" i="8"/>
  <c r="C91" i="8"/>
  <c r="A91" i="8"/>
  <c r="G90" i="8"/>
  <c r="F90" i="8"/>
  <c r="E90" i="8"/>
  <c r="D90" i="8"/>
  <c r="C90" i="8"/>
  <c r="A90" i="8"/>
  <c r="G89" i="8"/>
  <c r="F89" i="8"/>
  <c r="E89" i="8"/>
  <c r="D89" i="8"/>
  <c r="C89" i="8"/>
  <c r="A89" i="8"/>
  <c r="G88" i="8"/>
  <c r="F88" i="8"/>
  <c r="E88" i="8"/>
  <c r="D88" i="8"/>
  <c r="C88" i="8"/>
  <c r="A88" i="8"/>
  <c r="G87" i="8"/>
  <c r="F87" i="8"/>
  <c r="E87" i="8"/>
  <c r="D87" i="8"/>
  <c r="C87" i="8"/>
  <c r="A87" i="8"/>
  <c r="G86" i="8"/>
  <c r="F86" i="8"/>
  <c r="E86" i="8"/>
  <c r="D86" i="8"/>
  <c r="C86" i="8"/>
  <c r="A86" i="8"/>
  <c r="G85" i="8"/>
  <c r="F85" i="8"/>
  <c r="E85" i="8"/>
  <c r="D85" i="8"/>
  <c r="C85" i="8"/>
  <c r="A85" i="8"/>
  <c r="G84" i="8"/>
  <c r="F84" i="8"/>
  <c r="E84" i="8"/>
  <c r="D84" i="8"/>
  <c r="C84" i="8"/>
  <c r="A84" i="8"/>
  <c r="G83" i="8"/>
  <c r="F83" i="8"/>
  <c r="E83" i="8"/>
  <c r="D83" i="8"/>
  <c r="C83" i="8"/>
  <c r="A83" i="8"/>
  <c r="G82" i="8"/>
  <c r="F82" i="8"/>
  <c r="E82" i="8"/>
  <c r="D82" i="8"/>
  <c r="C82" i="8"/>
  <c r="A82" i="8"/>
  <c r="G81" i="8"/>
  <c r="F81" i="8"/>
  <c r="E81" i="8"/>
  <c r="D81" i="8"/>
  <c r="C81" i="8"/>
  <c r="A81" i="8"/>
  <c r="G80" i="8"/>
  <c r="F80" i="8"/>
  <c r="E80" i="8"/>
  <c r="D80" i="8"/>
  <c r="C80" i="8"/>
  <c r="A80" i="8"/>
  <c r="G79" i="8"/>
  <c r="F79" i="8"/>
  <c r="E79" i="8"/>
  <c r="D79" i="8"/>
  <c r="C79" i="8"/>
  <c r="A79" i="8"/>
  <c r="G78" i="8"/>
  <c r="F78" i="8"/>
  <c r="E78" i="8"/>
  <c r="D78" i="8"/>
  <c r="C78" i="8"/>
  <c r="A78" i="8"/>
  <c r="G77" i="8"/>
  <c r="F77" i="8"/>
  <c r="E77" i="8"/>
  <c r="D77" i="8"/>
  <c r="C77" i="8"/>
  <c r="A77" i="8"/>
  <c r="G76" i="8"/>
  <c r="F76" i="8"/>
  <c r="E76" i="8"/>
  <c r="D76" i="8"/>
  <c r="C76" i="8"/>
  <c r="A76" i="8"/>
  <c r="G75" i="8"/>
  <c r="F75" i="8"/>
  <c r="E75" i="8"/>
  <c r="D75" i="8"/>
  <c r="C75" i="8"/>
  <c r="A75" i="8"/>
  <c r="G74" i="8"/>
  <c r="F74" i="8"/>
  <c r="E74" i="8"/>
  <c r="D74" i="8"/>
  <c r="C74" i="8"/>
  <c r="A74" i="8"/>
  <c r="G73" i="8"/>
  <c r="F73" i="8"/>
  <c r="E73" i="8"/>
  <c r="D73" i="8"/>
  <c r="C73" i="8"/>
  <c r="A73" i="8"/>
  <c r="G72" i="8"/>
  <c r="F72" i="8"/>
  <c r="E72" i="8"/>
  <c r="D72" i="8"/>
  <c r="C72" i="8"/>
  <c r="A72" i="8"/>
  <c r="G71" i="8"/>
  <c r="F71" i="8"/>
  <c r="E71" i="8"/>
  <c r="D71" i="8"/>
  <c r="C71" i="8"/>
  <c r="A71" i="8"/>
  <c r="G70" i="8"/>
  <c r="F70" i="8"/>
  <c r="E70" i="8"/>
  <c r="D70" i="8"/>
  <c r="C70" i="8"/>
  <c r="A70" i="8"/>
  <c r="G69" i="8"/>
  <c r="F69" i="8"/>
  <c r="E69" i="8"/>
  <c r="D69" i="8"/>
  <c r="C69" i="8"/>
  <c r="A69" i="8"/>
  <c r="G68" i="8"/>
  <c r="F68" i="8"/>
  <c r="E68" i="8"/>
  <c r="D68" i="8"/>
  <c r="C68" i="8"/>
  <c r="A68" i="8"/>
  <c r="G67" i="8"/>
  <c r="F67" i="8"/>
  <c r="E67" i="8"/>
  <c r="D67" i="8"/>
  <c r="C67" i="8"/>
  <c r="A67" i="8"/>
  <c r="G66" i="8"/>
  <c r="F66" i="8"/>
  <c r="E66" i="8"/>
  <c r="D66" i="8"/>
  <c r="C66" i="8"/>
  <c r="A66" i="8"/>
  <c r="G65" i="8"/>
  <c r="F65" i="8"/>
  <c r="E65" i="8"/>
  <c r="D65" i="8"/>
  <c r="C65" i="8"/>
  <c r="A65" i="8"/>
  <c r="G64" i="8"/>
  <c r="F64" i="8"/>
  <c r="E64" i="8"/>
  <c r="D64" i="8"/>
  <c r="C64" i="8"/>
  <c r="A64" i="8"/>
  <c r="G63" i="8"/>
  <c r="F63" i="8"/>
  <c r="E63" i="8"/>
  <c r="D63" i="8"/>
  <c r="C63" i="8"/>
  <c r="A63" i="8"/>
  <c r="G62" i="8"/>
  <c r="F62" i="8"/>
  <c r="E62" i="8"/>
  <c r="D62" i="8"/>
  <c r="C62" i="8"/>
  <c r="A62" i="8"/>
  <c r="G61" i="8"/>
  <c r="F61" i="8"/>
  <c r="E61" i="8"/>
  <c r="D61" i="8"/>
  <c r="C61" i="8"/>
  <c r="A61" i="8"/>
  <c r="G60" i="8"/>
  <c r="F60" i="8"/>
  <c r="E60" i="8"/>
  <c r="D60" i="8"/>
  <c r="C60" i="8"/>
  <c r="A60" i="8"/>
  <c r="G59" i="8"/>
  <c r="F59" i="8"/>
  <c r="E59" i="8"/>
  <c r="D59" i="8"/>
  <c r="C59" i="8"/>
  <c r="A59" i="8"/>
  <c r="G58" i="8"/>
  <c r="F58" i="8"/>
  <c r="E58" i="8"/>
  <c r="D58" i="8"/>
  <c r="C58" i="8"/>
  <c r="A58" i="8"/>
  <c r="G57" i="8"/>
  <c r="F57" i="8"/>
  <c r="E57" i="8"/>
  <c r="D57" i="8"/>
  <c r="C57" i="8"/>
  <c r="A57" i="8"/>
  <c r="G56" i="8"/>
  <c r="F56" i="8"/>
  <c r="E56" i="8"/>
  <c r="D56" i="8"/>
  <c r="C56" i="8"/>
  <c r="A56" i="8"/>
  <c r="G55" i="8"/>
  <c r="F55" i="8"/>
  <c r="E55" i="8"/>
  <c r="D55" i="8"/>
  <c r="C55" i="8"/>
  <c r="A55" i="8"/>
  <c r="G54" i="8"/>
  <c r="F54" i="8"/>
  <c r="E54" i="8"/>
  <c r="D54" i="8"/>
  <c r="C54" i="8"/>
  <c r="A54" i="8"/>
  <c r="G53" i="8"/>
  <c r="F53" i="8"/>
  <c r="E53" i="8"/>
  <c r="D53" i="8"/>
  <c r="C53" i="8"/>
  <c r="A53" i="8"/>
  <c r="G52" i="8"/>
  <c r="F52" i="8"/>
  <c r="E52" i="8"/>
  <c r="D52" i="8"/>
  <c r="C52" i="8"/>
  <c r="A52" i="8"/>
  <c r="G51" i="8"/>
  <c r="F51" i="8"/>
  <c r="E51" i="8"/>
  <c r="D51" i="8"/>
  <c r="C51" i="8"/>
  <c r="A51" i="8"/>
  <c r="G50" i="8"/>
  <c r="F50" i="8"/>
  <c r="E50" i="8"/>
  <c r="D50" i="8"/>
  <c r="C50" i="8"/>
  <c r="A50" i="8"/>
  <c r="G49" i="8"/>
  <c r="F49" i="8"/>
  <c r="E49" i="8"/>
  <c r="D49" i="8"/>
  <c r="C49" i="8"/>
  <c r="A49" i="8"/>
  <c r="G48" i="8"/>
  <c r="F48" i="8"/>
  <c r="E48" i="8"/>
  <c r="D48" i="8"/>
  <c r="C48" i="8"/>
  <c r="A48" i="8"/>
  <c r="G47" i="8"/>
  <c r="F47" i="8"/>
  <c r="E47" i="8"/>
  <c r="D47" i="8"/>
  <c r="C47" i="8"/>
  <c r="A47" i="8"/>
  <c r="G46" i="8"/>
  <c r="F46" i="8"/>
  <c r="E46" i="8"/>
  <c r="D46" i="8"/>
  <c r="C46" i="8"/>
  <c r="A46" i="8"/>
  <c r="G45" i="8"/>
  <c r="F45" i="8"/>
  <c r="E45" i="8"/>
  <c r="D45" i="8"/>
  <c r="C45" i="8"/>
  <c r="A45" i="8"/>
  <c r="G44" i="8"/>
  <c r="F44" i="8"/>
  <c r="E44" i="8"/>
  <c r="D44" i="8"/>
  <c r="C44" i="8"/>
  <c r="A44" i="8"/>
  <c r="G43" i="8"/>
  <c r="F43" i="8"/>
  <c r="E43" i="8"/>
  <c r="D43" i="8"/>
  <c r="C43" i="8"/>
  <c r="A43" i="8"/>
  <c r="G42" i="8"/>
  <c r="F42" i="8"/>
  <c r="E42" i="8"/>
  <c r="D42" i="8"/>
  <c r="C42" i="8"/>
  <c r="A42" i="8"/>
  <c r="G41" i="8"/>
  <c r="F41" i="8"/>
  <c r="E41" i="8"/>
  <c r="D41" i="8"/>
  <c r="C41" i="8"/>
  <c r="A41" i="8"/>
  <c r="G40" i="8"/>
  <c r="F40" i="8"/>
  <c r="E40" i="8"/>
  <c r="D40" i="8"/>
  <c r="C40" i="8"/>
  <c r="A40" i="8"/>
  <c r="G39" i="8"/>
  <c r="F39" i="8"/>
  <c r="E39" i="8"/>
  <c r="D39" i="8"/>
  <c r="C39" i="8"/>
  <c r="A39" i="8"/>
  <c r="G38" i="8"/>
  <c r="F38" i="8"/>
  <c r="E38" i="8"/>
  <c r="D38" i="8"/>
  <c r="C38" i="8"/>
  <c r="A38" i="8"/>
  <c r="G37" i="8"/>
  <c r="F37" i="8"/>
  <c r="E37" i="8"/>
  <c r="D37" i="8"/>
  <c r="C37" i="8"/>
  <c r="A37" i="8"/>
  <c r="G36" i="8"/>
  <c r="F36" i="8"/>
  <c r="E36" i="8"/>
  <c r="D36" i="8"/>
  <c r="C36" i="8"/>
  <c r="A36" i="8"/>
  <c r="G35" i="8"/>
  <c r="F35" i="8"/>
  <c r="E35" i="8"/>
  <c r="D35" i="8"/>
  <c r="C35" i="8"/>
  <c r="A35" i="8"/>
  <c r="G34" i="8"/>
  <c r="F34" i="8"/>
  <c r="E34" i="8"/>
  <c r="D34" i="8"/>
  <c r="C34" i="8"/>
  <c r="A34" i="8"/>
  <c r="G33" i="8"/>
  <c r="F33" i="8"/>
  <c r="E33" i="8"/>
  <c r="D33" i="8"/>
  <c r="C33" i="8"/>
  <c r="A33" i="8"/>
  <c r="G32" i="8"/>
  <c r="F32" i="8"/>
  <c r="E32" i="8"/>
  <c r="D32" i="8"/>
  <c r="C32" i="8"/>
  <c r="A32" i="8"/>
  <c r="G31" i="8"/>
  <c r="F31" i="8"/>
  <c r="E31" i="8"/>
  <c r="D31" i="8"/>
  <c r="C31" i="8"/>
  <c r="A31" i="8"/>
  <c r="G30" i="8"/>
  <c r="F30" i="8"/>
  <c r="E30" i="8"/>
  <c r="D30" i="8"/>
  <c r="C30" i="8"/>
  <c r="A30" i="8"/>
  <c r="G29" i="8"/>
  <c r="F29" i="8"/>
  <c r="E29" i="8"/>
  <c r="D29" i="8"/>
  <c r="C29" i="8"/>
  <c r="A29" i="8"/>
  <c r="G28" i="8"/>
  <c r="F28" i="8"/>
  <c r="E28" i="8"/>
  <c r="D28" i="8"/>
  <c r="C28" i="8"/>
  <c r="A28" i="8"/>
  <c r="G27" i="8"/>
  <c r="F27" i="8"/>
  <c r="E27" i="8"/>
  <c r="D27" i="8"/>
  <c r="C27" i="8"/>
  <c r="A27" i="8"/>
  <c r="G26" i="8"/>
  <c r="F26" i="8"/>
  <c r="E26" i="8"/>
  <c r="D26" i="8"/>
  <c r="C26" i="8"/>
  <c r="A26" i="8"/>
  <c r="G25" i="8"/>
  <c r="F25" i="8"/>
  <c r="E25" i="8"/>
  <c r="D25" i="8"/>
  <c r="C25" i="8"/>
  <c r="A25" i="8"/>
  <c r="G24" i="8"/>
  <c r="F24" i="8"/>
  <c r="E24" i="8"/>
  <c r="D24" i="8"/>
  <c r="C24" i="8"/>
  <c r="A24" i="8"/>
  <c r="G23" i="8"/>
  <c r="F23" i="8"/>
  <c r="E23" i="8"/>
  <c r="D23" i="8"/>
  <c r="C23" i="8"/>
  <c r="A23" i="8"/>
  <c r="G22" i="8"/>
  <c r="F22" i="8"/>
  <c r="E22" i="8"/>
  <c r="D22" i="8"/>
  <c r="C22" i="8"/>
  <c r="A22" i="8"/>
  <c r="G21" i="8"/>
  <c r="F21" i="8"/>
  <c r="E21" i="8"/>
  <c r="D21" i="8"/>
  <c r="C21" i="8"/>
  <c r="A21" i="8"/>
  <c r="G20" i="8"/>
  <c r="F20" i="8"/>
  <c r="E20" i="8"/>
  <c r="D20" i="8"/>
  <c r="C20" i="8"/>
  <c r="A20" i="8"/>
  <c r="G19" i="8"/>
  <c r="F19" i="8"/>
  <c r="E19" i="8"/>
  <c r="D19" i="8"/>
  <c r="C19" i="8"/>
  <c r="A19" i="8"/>
  <c r="G18" i="8"/>
  <c r="F18" i="8"/>
  <c r="E18" i="8"/>
  <c r="D18" i="8"/>
  <c r="C18" i="8"/>
  <c r="A18" i="8"/>
  <c r="G17" i="8"/>
  <c r="F17" i="8"/>
  <c r="E17" i="8"/>
  <c r="D17" i="8"/>
  <c r="C17" i="8"/>
  <c r="A17" i="8"/>
  <c r="G16" i="8"/>
  <c r="F16" i="8"/>
  <c r="E16" i="8"/>
  <c r="D16" i="8"/>
  <c r="C16" i="8"/>
  <c r="A16" i="8"/>
  <c r="G15" i="8"/>
  <c r="F15" i="8"/>
  <c r="E15" i="8"/>
  <c r="D15" i="8"/>
  <c r="C15" i="8"/>
  <c r="A15" i="8"/>
  <c r="G14" i="8"/>
  <c r="F14" i="8"/>
  <c r="E14" i="8"/>
  <c r="D14" i="8"/>
  <c r="C14" i="8"/>
  <c r="A14" i="8"/>
  <c r="G13" i="8"/>
  <c r="F13" i="8"/>
  <c r="E13" i="8"/>
  <c r="D13" i="8"/>
  <c r="C13" i="8"/>
  <c r="A13" i="8"/>
  <c r="G12" i="8"/>
  <c r="F12" i="8"/>
  <c r="E12" i="8"/>
  <c r="D12" i="8"/>
  <c r="C12" i="8"/>
  <c r="A12" i="8"/>
  <c r="G11" i="8"/>
  <c r="F11" i="8"/>
  <c r="E11" i="8"/>
  <c r="D11" i="8"/>
  <c r="C11" i="8"/>
  <c r="A11" i="8"/>
  <c r="G10" i="8"/>
  <c r="F10" i="8"/>
  <c r="E10" i="8"/>
  <c r="D10" i="8"/>
  <c r="C10" i="8"/>
  <c r="A10" i="8"/>
  <c r="G9" i="8"/>
  <c r="F9" i="8"/>
  <c r="E9" i="8"/>
  <c r="D9" i="8"/>
  <c r="C9" i="8"/>
  <c r="A9" i="8"/>
  <c r="G8" i="8"/>
  <c r="F8" i="8"/>
  <c r="E8" i="8"/>
  <c r="D8" i="8"/>
  <c r="C8" i="8"/>
  <c r="A8" i="8"/>
  <c r="G7" i="8"/>
  <c r="F7" i="8"/>
  <c r="E7" i="8"/>
  <c r="D7" i="8"/>
  <c r="C7" i="8"/>
  <c r="A7" i="8"/>
  <c r="G6" i="8"/>
  <c r="F6" i="8"/>
  <c r="E6" i="8"/>
  <c r="D6" i="8"/>
  <c r="C6" i="8"/>
  <c r="A6" i="8"/>
  <c r="G5" i="8"/>
  <c r="F5" i="8"/>
  <c r="E5" i="8"/>
  <c r="D5" i="8"/>
  <c r="C5" i="8"/>
  <c r="A5" i="8"/>
  <c r="G4" i="8"/>
  <c r="F4" i="8"/>
  <c r="E4" i="8"/>
  <c r="D4" i="8"/>
  <c r="C4" i="8"/>
  <c r="A4" i="8"/>
  <c r="G3" i="8"/>
  <c r="F3" i="8"/>
  <c r="E3" i="8"/>
  <c r="D3" i="8"/>
  <c r="A3" i="8"/>
</calcChain>
</file>

<file path=xl/sharedStrings.xml><?xml version="1.0" encoding="utf-8"?>
<sst xmlns="http://schemas.openxmlformats.org/spreadsheetml/2006/main" count="1540" uniqueCount="703">
  <si>
    <t>Source Files</t>
  </si>
  <si>
    <t>File name</t>
  </si>
  <si>
    <t>Source system</t>
  </si>
  <si>
    <t>Desription</t>
  </si>
  <si>
    <t>File format</t>
  </si>
  <si>
    <t>Index</t>
  </si>
  <si>
    <t>Source ID</t>
  </si>
  <si>
    <t>Description</t>
  </si>
  <si>
    <t>Example1</t>
  </si>
  <si>
    <t>Example2</t>
  </si>
  <si>
    <t>Business ID</t>
  </si>
  <si>
    <t>Y</t>
  </si>
  <si>
    <t>Stage1 is an ETL staging database that will store imported source data as extracted from the sources systems.</t>
  </si>
  <si>
    <t>All data for this database is currently imported as part of a batch process</t>
  </si>
  <si>
    <t>Data Tables</t>
  </si>
  <si>
    <t>Column</t>
  </si>
  <si>
    <t>DB Type</t>
  </si>
  <si>
    <t>Example 1</t>
  </si>
  <si>
    <t>Field Name</t>
  </si>
  <si>
    <t>IBPT_ID</t>
  </si>
  <si>
    <t>int</t>
  </si>
  <si>
    <t>Name</t>
  </si>
  <si>
    <t>Source type</t>
  </si>
  <si>
    <t>Abbreviation</t>
  </si>
  <si>
    <t>Process Metadata Tables</t>
  </si>
  <si>
    <t>Import_Batch</t>
  </si>
  <si>
    <t>IB</t>
  </si>
  <si>
    <t>Import_Batch_Process</t>
  </si>
  <si>
    <t>One record for each subset of related source system files</t>
  </si>
  <si>
    <t>IBP</t>
  </si>
  <si>
    <t>Import_Batch_Process_Task</t>
  </si>
  <si>
    <t>One record for each source system file imported</t>
  </si>
  <si>
    <t>IBPT</t>
  </si>
  <si>
    <t>One record created each time the batch data set is imported</t>
  </si>
  <si>
    <t>S1_Import</t>
  </si>
  <si>
    <t>Flat file</t>
  </si>
  <si>
    <t>nvarchar(50)</t>
  </si>
  <si>
    <t>tinyint</t>
  </si>
  <si>
    <t>Dimension Type:</t>
  </si>
  <si>
    <t>Business Process</t>
  </si>
  <si>
    <t>Fact tables</t>
  </si>
  <si>
    <t>Fact table type</t>
  </si>
  <si>
    <t>Granularity</t>
  </si>
  <si>
    <t>Date</t>
  </si>
  <si>
    <t>X</t>
  </si>
  <si>
    <t>Description:</t>
  </si>
  <si>
    <t>Date dimension. One record for each calendar day. Static dimension (no updates from a source system)</t>
  </si>
  <si>
    <t>Key?</t>
  </si>
  <si>
    <t>FK to</t>
  </si>
  <si>
    <t>SCD Type</t>
  </si>
  <si>
    <t>No Value member</t>
  </si>
  <si>
    <t>Unknown member</t>
  </si>
  <si>
    <t>Comments</t>
  </si>
  <si>
    <t>Date_Key</t>
  </si>
  <si>
    <t>Surrogate primary key</t>
  </si>
  <si>
    <t>PK</t>
  </si>
  <si>
    <t>N/A</t>
  </si>
  <si>
    <t>date</t>
  </si>
  <si>
    <t>Business Key, a day represented by a date value</t>
  </si>
  <si>
    <t>Create Index</t>
  </si>
  <si>
    <t>Date_Description</t>
  </si>
  <si>
    <t>nvarchar(20)</t>
  </si>
  <si>
    <t>Full date description in English</t>
  </si>
  <si>
    <t>*No Date</t>
  </si>
  <si>
    <t>*Unknown date</t>
  </si>
  <si>
    <t>18 March 2018</t>
  </si>
  <si>
    <t>nvarchar(10)</t>
  </si>
  <si>
    <t>smallint</t>
  </si>
  <si>
    <t>Month_Of_Year</t>
  </si>
  <si>
    <t>The calendar month of the year as a number, where January equals 1</t>
  </si>
  <si>
    <t>Month</t>
  </si>
  <si>
    <t>Calendar month name in English</t>
  </si>
  <si>
    <t>January</t>
  </si>
  <si>
    <t>March</t>
  </si>
  <si>
    <t>Year</t>
  </si>
  <si>
    <t>Calendar year as a number</t>
  </si>
  <si>
    <t>Year_Month</t>
  </si>
  <si>
    <t>nchar(7)</t>
  </si>
  <si>
    <t>Calendar year as a number concatenated with the calendar month as a number (including leading zeros) represented as a character string</t>
  </si>
  <si>
    <t>9999-01</t>
  </si>
  <si>
    <t>1900-01</t>
  </si>
  <si>
    <t>2018-03</t>
  </si>
  <si>
    <t>Bus Matrix</t>
  </si>
  <si>
    <t>Dimensions</t>
  </si>
  <si>
    <t>Running, Failed, Completed</t>
  </si>
  <si>
    <t>IB_Status</t>
  </si>
  <si>
    <t>End date and time for the process</t>
  </si>
  <si>
    <t>datetime</t>
  </si>
  <si>
    <t>IB_End</t>
  </si>
  <si>
    <t>Start date and time for the process</t>
  </si>
  <si>
    <t>IB_Start</t>
  </si>
  <si>
    <t>IB_Month</t>
  </si>
  <si>
    <t>IB_Year</t>
  </si>
  <si>
    <t>description of the SSIS package</t>
  </si>
  <si>
    <t>IB_Description</t>
  </si>
  <si>
    <t>auto generated ID for the import batch</t>
  </si>
  <si>
    <t>IB_ID</t>
  </si>
  <si>
    <t>Allow null?</t>
  </si>
  <si>
    <t>FK</t>
  </si>
  <si>
    <t>IBP_ID</t>
  </si>
  <si>
    <t>auto generated ID for the import batch process</t>
  </si>
  <si>
    <t>Foreign key to Import_Batch</t>
  </si>
  <si>
    <t>IBP_Description</t>
  </si>
  <si>
    <t>IBP_Start</t>
  </si>
  <si>
    <t>IBP_End</t>
  </si>
  <si>
    <t>IBP_Status</t>
  </si>
  <si>
    <t>Foreign key to Import_Batch_Process</t>
  </si>
  <si>
    <t>IBPT_Description</t>
  </si>
  <si>
    <t>description of the data flow</t>
  </si>
  <si>
    <t>IBPT_Start</t>
  </si>
  <si>
    <t>IBPT_End</t>
  </si>
  <si>
    <t>IBPT_Status</t>
  </si>
  <si>
    <t>IBPT_Records_In</t>
  </si>
  <si>
    <t>number of records for input to the task</t>
  </si>
  <si>
    <t>IBPT_Records_Failed</t>
  </si>
  <si>
    <t>number of records with errors that could not be loaded</t>
  </si>
  <si>
    <t>IBPT_Records_Out</t>
  </si>
  <si>
    <t>number of records successfully loaded</t>
  </si>
  <si>
    <t>Static</t>
  </si>
  <si>
    <t>SCD 2</t>
  </si>
  <si>
    <t>Date Records</t>
  </si>
  <si>
    <t>Base Dimension Name:</t>
  </si>
  <si>
    <t>Material</t>
  </si>
  <si>
    <t>Fact table</t>
  </si>
  <si>
    <t>Material Item ID</t>
  </si>
  <si>
    <t>Transaction</t>
  </si>
  <si>
    <t>Material Management</t>
  </si>
  <si>
    <t>Stock Take Fact</t>
  </si>
  <si>
    <t>Name:</t>
  </si>
  <si>
    <t>dimension</t>
  </si>
  <si>
    <t>Material_Item_ID</t>
  </si>
  <si>
    <t>Business Key, source system inventory item id</t>
  </si>
  <si>
    <t>BK</t>
  </si>
  <si>
    <t>Fixed</t>
  </si>
  <si>
    <t>Material_Item_Name</t>
  </si>
  <si>
    <t>*Unknown</t>
  </si>
  <si>
    <t>Material_Category_Item_Type</t>
  </si>
  <si>
    <t>The material category and type of item combined</t>
  </si>
  <si>
    <t>Sheet</t>
  </si>
  <si>
    <t>float</t>
  </si>
  <si>
    <t>Effective_Date</t>
  </si>
  <si>
    <t>Record effective date</t>
  </si>
  <si>
    <t>Housekeeping column</t>
  </si>
  <si>
    <t>Expiration_Date</t>
  </si>
  <si>
    <t>Record expiration date</t>
  </si>
  <si>
    <t>IsCurrent</t>
  </si>
  <si>
    <t>bit</t>
  </si>
  <si>
    <t>latest version, 1 if true, 0 if false</t>
  </si>
  <si>
    <t>Import Batch Process Task ID</t>
  </si>
  <si>
    <t>Import_Action</t>
  </si>
  <si>
    <t>Latest Import Batch action (Insert, Update, Expire)</t>
  </si>
  <si>
    <t>Insert</t>
  </si>
  <si>
    <t>NULL allowed?</t>
  </si>
  <si>
    <t>Stock_Take_Date_Key</t>
  </si>
  <si>
    <t>The day the stock was counted</t>
  </si>
  <si>
    <t>PK1/2</t>
  </si>
  <si>
    <t>No</t>
  </si>
  <si>
    <t>The material item that was counted</t>
  </si>
  <si>
    <t>PK2/2</t>
  </si>
  <si>
    <t>X
Stock Take Date</t>
  </si>
  <si>
    <t>Naming Conventions</t>
  </si>
  <si>
    <t>Instrument Makers stock stake worksheets (Excel)</t>
  </si>
  <si>
    <t>csv file; Encoding: Western (Windows 1252)</t>
  </si>
  <si>
    <t>Material Item descriptive information together with stock take event information. Can have more than one row for each item in the same year.</t>
  </si>
  <si>
    <t>Item ID</t>
  </si>
  <si>
    <t>Item Category</t>
  </si>
  <si>
    <t>Item Detail 1</t>
  </si>
  <si>
    <t>Item Detail 2</t>
  </si>
  <si>
    <t>Item Size</t>
  </si>
  <si>
    <t>Size Unit of Measure</t>
  </si>
  <si>
    <t>Size Note</t>
  </si>
  <si>
    <t>Comment</t>
  </si>
  <si>
    <t>Standard Length (mm)</t>
  </si>
  <si>
    <t>Standard Width or Diameter (mm)</t>
  </si>
  <si>
    <t>Standard Height (mm)</t>
  </si>
  <si>
    <t>Standard Interior Diameter (mm)</t>
  </si>
  <si>
    <t>Standard Thinkness / Wall (mm)</t>
  </si>
  <si>
    <t>Item Length Measured (m)</t>
  </si>
  <si>
    <t>Item Width Measured (m)</t>
  </si>
  <si>
    <t>Full Units Counted</t>
  </si>
  <si>
    <t>Quantity Unit of Measure</t>
  </si>
  <si>
    <t>Quantity Scapped</t>
  </si>
  <si>
    <t>Unit price incl VAT</t>
  </si>
  <si>
    <t>VAT</t>
  </si>
  <si>
    <t>Source Quantity on hand value excl VAT rounded</t>
  </si>
  <si>
    <t>The year for which the stock take was done. It is usually done at the end of the year, to determine how much of each item is on hand</t>
  </si>
  <si>
    <t>The unique source system ID for the stock item.</t>
  </si>
  <si>
    <t>The material the item is made of. Some of these materials are grouped together into material categories. These categories or groups will be specified to the designer.</t>
  </si>
  <si>
    <t>Specifies the type of item.</t>
  </si>
  <si>
    <t>Some items have detail that describes more about the item. This is the first such detail descriptions.</t>
  </si>
  <si>
    <t>Some items have even more detail that describes the item. This is in addition to the first detail description.</t>
  </si>
  <si>
    <t>Describes the dimensions of the item, in 1, 2, or 3 measurements, or it can be a code given to the standard size of the item.</t>
  </si>
  <si>
    <t>The unit of measure for the size measurements. Not all items sizes are described in a unit of measure.</t>
  </si>
  <si>
    <t>Sometimes, there is a note that further describes the size of the item.</t>
  </si>
  <si>
    <t>Any type of text comment the IM wish to add to the item.</t>
  </si>
  <si>
    <t>Some items, like sheets, have a standard length measurement</t>
  </si>
  <si>
    <t>Some items, like sheets have a standard width, and items like rods have a standard diameter.</t>
  </si>
  <si>
    <t>Some items, like and angle iron, have a standard height measurement.</t>
  </si>
  <si>
    <t>Some items, like tubing, have a standard interior diameter.</t>
  </si>
  <si>
    <t>Some items, like sheets, have a standard thickness, and items like tubing have a standard wall thickness.</t>
  </si>
  <si>
    <t>The length on hand, measured in m. Not all items and measured when counted. See Quantity Unit of Measure.</t>
  </si>
  <si>
    <t>The width on hand, measured in m. Not all items and measured when counted. See Quantity Unit of Measure.</t>
  </si>
  <si>
    <t>Some items that have standard sizes, like sheets, are counted here as well if the full unit is on hand. Other items, like some glass items, are not measured at all, and are counted here with a measure of unit "each".</t>
  </si>
  <si>
    <t>The unit of measure for the quantity on hand.</t>
  </si>
  <si>
    <t>The quantity of the item that was scrapped and for which the value will be 0</t>
  </si>
  <si>
    <t>Unit price for the item, per unit of measure, determined at the time of stock take. This value includes VAT</t>
  </si>
  <si>
    <t>The VAT amount applicable at the stock take date. Expressed as a fraction, for example 0.14 or 0.15.</t>
  </si>
  <si>
    <t>This is the value the IM determined with their own calculations. It excludes VAT and is rounded to the nearest sent. The quantity on hand value needs to be calculated from the other metrics. This is just for comparison reasons, and were not always calculated correctly by the IM.</t>
  </si>
  <si>
    <t>Expected Type, length/size, range</t>
  </si>
  <si>
    <t>text, 8</t>
  </si>
  <si>
    <t>text, 20</t>
  </si>
  <si>
    <t>text, 50</t>
  </si>
  <si>
    <t>integer, &gt; 0</t>
  </si>
  <si>
    <t>integer &gt; 1900</t>
  </si>
  <si>
    <t>decimal, max 2 decimals, &gt; 0</t>
  </si>
  <si>
    <t>decimal, max 3 decimals, &gt; 0</t>
  </si>
  <si>
    <t>text, 5,  [mm]</t>
  </si>
  <si>
    <t>text, 5,  [m,m²,each]</t>
  </si>
  <si>
    <t>Are there missing values? Are nulls allowed</t>
  </si>
  <si>
    <t>Other comments</t>
  </si>
  <si>
    <t>No, No</t>
  </si>
  <si>
    <t>Yes, missing values are valid nulls</t>
  </si>
  <si>
    <t>Yes, missing values means no price available</t>
  </si>
  <si>
    <t>TFL00009</t>
  </si>
  <si>
    <t>Teflon</t>
  </si>
  <si>
    <t>16</t>
  </si>
  <si>
    <t>mm</t>
  </si>
  <si>
    <t>m²</t>
  </si>
  <si>
    <t>GLS00123</t>
  </si>
  <si>
    <t>Glass</t>
  </si>
  <si>
    <t>Valve</t>
  </si>
  <si>
    <t>Straight</t>
  </si>
  <si>
    <t>Produran</t>
  </si>
  <si>
    <t>0-4</t>
  </si>
  <si>
    <t>Passage</t>
  </si>
  <si>
    <t>each</t>
  </si>
  <si>
    <t>Each unique raw material item is an entity in this dimension. SCD Type 2.</t>
  </si>
  <si>
    <t>Material_Item_Key</t>
  </si>
  <si>
    <t>Material_Group</t>
  </si>
  <si>
    <t>Type of material group - highest level of the material type hierarchy</t>
  </si>
  <si>
    <t>Material_Type</t>
  </si>
  <si>
    <t>Type of material - groups into Material Group</t>
  </si>
  <si>
    <t>Material_Item_Category</t>
  </si>
  <si>
    <t>The item category describes the type of item and not the material it is made of</t>
  </si>
  <si>
    <t>Material_Item_Detail_1</t>
  </si>
  <si>
    <t>Primary detail description of the item</t>
  </si>
  <si>
    <t>Secondary detail description of the item</t>
  </si>
  <si>
    <t>The dimensions of the item, in 1, 2, or 3 measurements, or a code given to the standard size of the item</t>
  </si>
  <si>
    <t>Material_Item_Size</t>
  </si>
  <si>
    <t>Material_Item_Size_Unit_Of_Measure</t>
  </si>
  <si>
    <t>nvarchar(5)</t>
  </si>
  <si>
    <t>Unit of measure for the size measurements, such mm. Not all items sizes are described in a unit of measure</t>
  </si>
  <si>
    <t>Material_Item_Size_Note</t>
  </si>
  <si>
    <t>Further describes the size of the item (if needed)</t>
  </si>
  <si>
    <t>Annual stock take event information, including all material item details</t>
  </si>
  <si>
    <t>NULL value replacement</t>
  </si>
  <si>
    <t>Example 2</t>
  </si>
  <si>
    <t>Notes</t>
  </si>
  <si>
    <t>Metadata: Import Batch Process Task ID</t>
  </si>
  <si>
    <t>FK key to Import Batch Process Task</t>
  </si>
  <si>
    <t>Folder:</t>
  </si>
  <si>
    <t>Stage1 database</t>
  </si>
  <si>
    <t>DB name:</t>
  </si>
  <si>
    <t>Stage1</t>
  </si>
  <si>
    <t>Table name:</t>
  </si>
  <si>
    <t>S1_&lt;business_process_abreviation&gt;_&lt;table_name&gt;</t>
  </si>
  <si>
    <t>Business process</t>
  </si>
  <si>
    <t>SF_&lt;business_process_abreviation&gt;_&lt;source file name&gt;</t>
  </si>
  <si>
    <t>MM</t>
  </si>
  <si>
    <t>Source File</t>
  </si>
  <si>
    <t>SF_MM_Stock_Take</t>
  </si>
  <si>
    <t>S1_MM_Stock_Take</t>
  </si>
  <si>
    <t>ST_Year</t>
  </si>
  <si>
    <t>ST</t>
  </si>
  <si>
    <t>IM Manual excel files</t>
  </si>
  <si>
    <t>ST_Item_ID</t>
  </si>
  <si>
    <t>ST_Material</t>
  </si>
  <si>
    <t>ST_Item_Category</t>
  </si>
  <si>
    <t>ST_Item_Detail_1</t>
  </si>
  <si>
    <t>ST_Item_Detail_2</t>
  </si>
  <si>
    <t>ST_Item_Size</t>
  </si>
  <si>
    <t>ST_Item_Length_Measured_m</t>
  </si>
  <si>
    <t>ST_Item_Width_Measured_m</t>
  </si>
  <si>
    <t>ST_VAT</t>
  </si>
  <si>
    <t>The year for which the stock take was done</t>
  </si>
  <si>
    <t>Unique source system ID for stock item</t>
  </si>
  <si>
    <t>The material the item is made of</t>
  </si>
  <si>
    <t>Unit of measure for size measurements</t>
  </si>
  <si>
    <t>Error if null</t>
  </si>
  <si>
    <t>*None</t>
  </si>
  <si>
    <t>(keep null facts)</t>
  </si>
  <si>
    <t>Stock Take bubble chart</t>
  </si>
  <si>
    <t>Specifies the type of item</t>
  </si>
  <si>
    <t>First item detail description</t>
  </si>
  <si>
    <t>Second item detail description</t>
  </si>
  <si>
    <t>Describes the item size or dimensions</t>
  </si>
  <si>
    <t>ST_Item_Size_Unit_of_Measure</t>
  </si>
  <si>
    <t>ST_Item_Size_Note</t>
  </si>
  <si>
    <t>Note about the item size</t>
  </si>
  <si>
    <t>ST_Item_Comment</t>
  </si>
  <si>
    <t>Any comment about the item</t>
  </si>
  <si>
    <t>numeric(10,2)</t>
  </si>
  <si>
    <t>Standard item length in mm</t>
  </si>
  <si>
    <t>ST_Item_Standard_Length_mm</t>
  </si>
  <si>
    <t>Standard item width or diameter in mm</t>
  </si>
  <si>
    <t>ST_Item_Standard_Height_mm</t>
  </si>
  <si>
    <t>Standard item height in mm</t>
  </si>
  <si>
    <t>ST_Item_Standard_Interior_Diameter_mm</t>
  </si>
  <si>
    <t>Standard item interior diameter in mm</t>
  </si>
  <si>
    <t>ST_Item_Standard_Thinkness_or_Wall_mm</t>
  </si>
  <si>
    <t>Standard item thinkness or wall in mm</t>
  </si>
  <si>
    <t>numeric(10,3)</t>
  </si>
  <si>
    <t>The length of the item that was measured in meter</t>
  </si>
  <si>
    <t>May have to convert to mm later</t>
  </si>
  <si>
    <t>The width of the item that was measured in meter</t>
  </si>
  <si>
    <t>ST_Item_Full_Units_Counted</t>
  </si>
  <si>
    <t>Full number of units counted</t>
  </si>
  <si>
    <t>ST_Item_Quantity_Unit_of_Measure</t>
  </si>
  <si>
    <t>The unit of measure for expressing the quantity of the item</t>
  </si>
  <si>
    <t>Quantity of the item that was scrapped after counting</t>
  </si>
  <si>
    <t>ST_Item_Unit_Price_incl_VAT</t>
  </si>
  <si>
    <t>Unit price per unit quantity unit of measure, including VAT</t>
  </si>
  <si>
    <t>Value added tax applicable on the date of stock take</t>
  </si>
  <si>
    <t>ST_Item_Source_Quantity_on_Hand_Value_excl_VAT</t>
  </si>
  <si>
    <t>IM determined value of the quantity on hand, excluding VAT.</t>
  </si>
  <si>
    <t>0.14 before 2019, and 0.15 from 2019</t>
  </si>
  <si>
    <t>NULL</t>
  </si>
  <si>
    <t>MST00070</t>
  </si>
  <si>
    <t>Mild steel</t>
  </si>
  <si>
    <t>Galvinised</t>
  </si>
  <si>
    <t>GLS00122</t>
  </si>
  <si>
    <t>90°</t>
  </si>
  <si>
    <t>Material_Item_Detail_2</t>
  </si>
  <si>
    <t>Full description of the material item</t>
  </si>
  <si>
    <t>Concatenate Material_Type, Item_Category, Detail_1, Detail_2, Item_Size, Item unit of measure, size note</t>
  </si>
  <si>
    <t>nvarchar(150)</t>
  </si>
  <si>
    <t>Concatenate Material_Type, Item_Category</t>
  </si>
  <si>
    <t>Material_Item_Standard_Length_mm</t>
  </si>
  <si>
    <t>Material_Item_Standard_Width_or_Diameter_mm</t>
  </si>
  <si>
    <t>Material_Item_Standard_Height_mm</t>
  </si>
  <si>
    <t>ST_Item_Standard_Width_or_Diameter_mm</t>
  </si>
  <si>
    <t>ST_Item_Quantity_Scrapped</t>
  </si>
  <si>
    <t>Material_Item_Standard_Interior_Diameter_mm</t>
  </si>
  <si>
    <t>Material_Item_Standard_Thinkness_or_Wall_mm</t>
  </si>
  <si>
    <t>Material_Item_Quantity_Unit_of_Measure</t>
  </si>
  <si>
    <t>Usually annual, but we keep it as a date here for flexibility if the period should change</t>
  </si>
  <si>
    <t>Yes</t>
  </si>
  <si>
    <t>If null, then no length was measured</t>
  </si>
  <si>
    <t>If null, then no width was measured</t>
  </si>
  <si>
    <t>If null, then no full units were counted</t>
  </si>
  <si>
    <t>If null, then nothing was scrapped</t>
  </si>
  <si>
    <t>If null, then no unit price was available or captured</t>
  </si>
  <si>
    <t>VAT_Percentage</t>
  </si>
  <si>
    <t>If no value is specified, it is 0.14 before 2018 and 0.15 from 2019 onwards</t>
  </si>
  <si>
    <t>If no value was specified in the source, this will be 0</t>
  </si>
  <si>
    <t>Material_Quantity_Counted</t>
  </si>
  <si>
    <t>Derived fact - the quantity that was counted expressed in the material item quantity unit of measure</t>
  </si>
  <si>
    <t>If unit of measure is m, then length that was measured,
Else, If unit of measure is each, then full units counted,
Else, If unit of measure is square meter, then (length measured x width measured + (full units counted x ((standard length/1000) * (standard width/1000)))),
Else 0</t>
  </si>
  <si>
    <t>Material_Quantity_on_Hand</t>
  </si>
  <si>
    <t>Derived fact - the quantity on hand, measured in the material item quantity unit of measure</t>
  </si>
  <si>
    <t>Material_Length_Measured_m</t>
  </si>
  <si>
    <t>Material_Width_Measured_m</t>
  </si>
  <si>
    <t>Material_Full_Units_Counted</t>
  </si>
  <si>
    <t>Material_Quantity_Scrapped</t>
  </si>
  <si>
    <t>Material_Unit_Price_incl_VAT</t>
  </si>
  <si>
    <t>Material_Source_Quantity_on_Hand_Value_excl_VAT</t>
  </si>
  <si>
    <t>Material_Quantity_Counted - Material_Quantity_Scrapped</t>
  </si>
  <si>
    <t>Material_Unit_Price_excl_VAT</t>
  </si>
  <si>
    <t>Derived fact - unit price excluding VAT</t>
  </si>
  <si>
    <t>Material_Value_on_Hand_excl_VAT</t>
  </si>
  <si>
    <t>Derived fact - the value of the material on hand, excluding VAT</t>
  </si>
  <si>
    <t>Material_Quantity_on_Hand x Material_Unit_Price_excl_VAT</t>
  </si>
  <si>
    <t>Material_Value_Scrapped_excl_VAT</t>
  </si>
  <si>
    <t>Derived fact - the value of the material that was scrapped</t>
  </si>
  <si>
    <t>Material_Quantity_Scrapped x Material_Unit_Price_excl_VAT</t>
  </si>
  <si>
    <t>Non-additive facts to be calculated in cube/ on demand</t>
  </si>
  <si>
    <t>Material_Percentage_Scrapped</t>
  </si>
  <si>
    <t>Derived, non-additive fact - the percentage of the material that was scrapped</t>
  </si>
  <si>
    <t>SUM(Material_Quantity_Scrapped) / SUM(Material_Quantity_Counted)</t>
  </si>
  <si>
    <t>A static lookup table with the material type and material group</t>
  </si>
  <si>
    <t>Aluminium</t>
  </si>
  <si>
    <t>Brass</t>
  </si>
  <si>
    <t>Copper</t>
  </si>
  <si>
    <t>Ertalon</t>
  </si>
  <si>
    <t>Ertalyte</t>
  </si>
  <si>
    <t>Vescolene</t>
  </si>
  <si>
    <t>Vesconite</t>
  </si>
  <si>
    <t>Vesconylon</t>
  </si>
  <si>
    <t>Perspex</t>
  </si>
  <si>
    <t>Polycarbonate</t>
  </si>
  <si>
    <t>Polyethylene</t>
  </si>
  <si>
    <t>Nylatron</t>
  </si>
  <si>
    <t>Polypropylene</t>
  </si>
  <si>
    <t>PVC</t>
  </si>
  <si>
    <t>Stainless steel</t>
  </si>
  <si>
    <t>Tufnol</t>
  </si>
  <si>
    <t>Ertalon/Vescolene</t>
  </si>
  <si>
    <t>Tufnol/Teflon</t>
  </si>
  <si>
    <t>Material_Current_Group</t>
  </si>
  <si>
    <t>Material_Item_Current_Name</t>
  </si>
  <si>
    <t>Stock_Take_Indicators</t>
  </si>
  <si>
    <t>Junk</t>
  </si>
  <si>
    <t>Indicators combination</t>
  </si>
  <si>
    <t>MST00022</t>
  </si>
  <si>
    <t>Mild steel Bar Flat - 30 x 5 mm</t>
  </si>
  <si>
    <t>Mild steel Bar</t>
  </si>
  <si>
    <t>Bar</t>
  </si>
  <si>
    <t>Flat</t>
  </si>
  <si>
    <t>30 x 5</t>
  </si>
  <si>
    <t>m</t>
  </si>
  <si>
    <t>A junk dimension that includes various indicators for the stock take events</t>
  </si>
  <si>
    <t>Stock_Take_Indicators_Key</t>
  </si>
  <si>
    <t>Business Key, year of stock take</t>
  </si>
  <si>
    <t>Stock_Take_Comment</t>
  </si>
  <si>
    <t>Note</t>
  </si>
  <si>
    <t>A unique record ID created in ETL process</t>
  </si>
  <si>
    <t>ST_Transaction_ID</t>
  </si>
  <si>
    <t>Many transactions for the same year and material item ID can exist - there is no source transaction ID, so a supernatural transaction number is created in the Stage 1 ETL process</t>
  </si>
  <si>
    <t>Stock_Take_Transaction_ID</t>
  </si>
  <si>
    <t>Business Key</t>
  </si>
  <si>
    <t>Supernatural Business Key</t>
  </si>
  <si>
    <t>source system inventory item id</t>
  </si>
  <si>
    <t>Comment entered for the stock take event</t>
  </si>
  <si>
    <t>Length_Measured_Indicator</t>
  </si>
  <si>
    <t>Indicates of there was a length measure or not. 'Length measured' or 'No length measured'</t>
  </si>
  <si>
    <t>Length of the item measured in m</t>
  </si>
  <si>
    <t>Width of the item measured in m</t>
  </si>
  <si>
    <t>Derived in ETL process. If Length measured is null then'No length measured' else 'Length measured'.</t>
  </si>
  <si>
    <t>Width_Measured_Indicator</t>
  </si>
  <si>
    <t>Indicates of there was a width measure or not. 'Width measured' or 'No width measured'</t>
  </si>
  <si>
    <t>Derived in ETL process. If width measured is null then'No width measured' else 'Width measured'.</t>
  </si>
  <si>
    <t>Indicates of there was any full units counted or not. 'Full units counted' or 'No full units counted'</t>
  </si>
  <si>
    <t>Derived in ETL process. If Full_Units_Counted is null then'No full units counted' else 'Full units counted'.</t>
  </si>
  <si>
    <t>Material_Scrapped_Indicator</t>
  </si>
  <si>
    <t>Indicates of there was any material scrapped. 'Material scrapped' or 'No material scrapped'</t>
  </si>
  <si>
    <t>Derived in ETL process. If Quantity_Scrapped is null then'No material scrapped' else 'Material Scrapped'.</t>
  </si>
  <si>
    <t>Unit_Price_Available_Indicator</t>
  </si>
  <si>
    <t>Indicates of there was a unit price available. 'Unit price available' or 'No unit price available'</t>
  </si>
  <si>
    <t>Derived in ETL process. If Unit_Price_incl_VAT is null then'No unit price available' else 'Unit price available'.</t>
  </si>
  <si>
    <t>Text string for VAT amount, for example "14%" or "15%"</t>
  </si>
  <si>
    <t>Derived in the ETL process</t>
  </si>
  <si>
    <t>Full_Units_Counted_Indicator</t>
  </si>
  <si>
    <t>The year the stock take took place</t>
  </si>
  <si>
    <t>BK1/7</t>
  </si>
  <si>
    <t>BK2/7</t>
  </si>
  <si>
    <t>BK3/7</t>
  </si>
  <si>
    <t>BK4/7</t>
  </si>
  <si>
    <t>BK5/7</t>
  </si>
  <si>
    <t>BK6/7</t>
  </si>
  <si>
    <t>BK7/7</t>
  </si>
  <si>
    <t>Various indicators for the stock take event</t>
  </si>
  <si>
    <t>Supernatural key for the event occurance</t>
  </si>
  <si>
    <t>Stock_Take_Indictors</t>
  </si>
  <si>
    <t>VAT_Decimal</t>
  </si>
  <si>
    <t>If null, then no unit price was available or captured,
Calculated as ( Material_Unit_Price_incl_VAT / (100 + VAT_Decimal x 100) ) x 100</t>
  </si>
  <si>
    <t>One row for each Stock Take event - transaction id will be unique</t>
  </si>
  <si>
    <t>Unit price, per quantity unit of measure, including VAT - non-additive</t>
  </si>
  <si>
    <t>SF_MM_Stock_Take.csv</t>
  </si>
  <si>
    <t>\SourceFiles\YYYYM(M)</t>
  </si>
  <si>
    <t>Views name:</t>
  </si>
  <si>
    <t>The only transformations that will occur during this first import step, is to replace some missing or NULL values with default values.</t>
  </si>
  <si>
    <t>Each batch represents a set of data for a specific Year and Month</t>
  </si>
  <si>
    <t>Source</t>
  </si>
  <si>
    <t>Batch year</t>
  </si>
  <si>
    <t>Batch month</t>
  </si>
  <si>
    <t>NULL Allowed?</t>
  </si>
  <si>
    <t>Process Metadata Tables and Views</t>
  </si>
  <si>
    <t>V_IB_Latest</t>
  </si>
  <si>
    <t>SELECT        IB_Year, IB_Month, MAX(IB_ID) AS Latest_IB_ID, EOMONTH(DATEFROMPARTS(IB_Year, IB_Month, 1)) AS Last_Day_Of_Month
FROM            dbo.Import_Batch
GROUP BY IB_Year, IB_Month, EOMONTH(DATEFROMPARTS(IB_Year, IB_Month, 1))</t>
  </si>
  <si>
    <t>Process Metadata Views</t>
  </si>
  <si>
    <t>Lists the latest IB_ID for each IB_Year and IB_Month</t>
  </si>
  <si>
    <t>Source tables</t>
  </si>
  <si>
    <t>S1_V_&lt;business_process_abreviation&gt;_&lt;element name&gt;</t>
  </si>
  <si>
    <t>S1_V_MM_Material</t>
  </si>
  <si>
    <t>S1_V_MM_Stock_Take</t>
  </si>
  <si>
    <t>(data tables only)</t>
  </si>
  <si>
    <t>Stage2</t>
  </si>
  <si>
    <t>Stage2 database</t>
  </si>
  <si>
    <t xml:space="preserve">Stage2 is an ETL staging database that stores dimension and fact table data in preparation for loading. </t>
  </si>
  <si>
    <t>When loading data into Stage2, duplicates are removed, referential integrity is checked, and lookup tables are used to conform data</t>
  </si>
  <si>
    <t>Additional standard descriptions and or hierarchies/groupings are stored in this databases and imported information are linked to them</t>
  </si>
  <si>
    <t>S1_Import_MM
...</t>
  </si>
  <si>
    <t>S1_Import_MM_Stock_Take
...</t>
  </si>
  <si>
    <t>List of SSIS Package names</t>
  </si>
  <si>
    <t>S2_&lt;business_process_abreviation&gt;_&lt;table_name&gt;</t>
  </si>
  <si>
    <t>S2_V_&lt;business_process_abreviation&gt;_&lt;element name&gt;</t>
  </si>
  <si>
    <t>Data Views</t>
  </si>
  <si>
    <t>The material type as captured in the materials systems</t>
  </si>
  <si>
    <t>The custom material grouping</t>
  </si>
  <si>
    <t>Custom hierarchy - Static</t>
  </si>
  <si>
    <t>MG_Material_Type</t>
  </si>
  <si>
    <t>MG_Material_Group</t>
  </si>
  <si>
    <t>MG</t>
  </si>
  <si>
    <t>S2_MM_Material_Group_Lookup</t>
  </si>
  <si>
    <t>S2_MM_Material</t>
  </si>
  <si>
    <t>Null Allowed?</t>
  </si>
  <si>
    <t>Contains all descriptive attributes of materials</t>
  </si>
  <si>
    <t>Table</t>
  </si>
  <si>
    <t>MM_Material_Group.csv</t>
  </si>
  <si>
    <t>M</t>
  </si>
  <si>
    <t>M_Year</t>
  </si>
  <si>
    <t>M_Material_Item_ID</t>
  </si>
  <si>
    <t>M_Material_Group</t>
  </si>
  <si>
    <t>M_Material_Type</t>
  </si>
  <si>
    <t>M_Material_Item_Category</t>
  </si>
  <si>
    <t>M_Material_Item_Detail_1</t>
  </si>
  <si>
    <t>M_Material_Item_Detail_2</t>
  </si>
  <si>
    <t>M_Material_Item_Size</t>
  </si>
  <si>
    <t>M_Material_Item_Size_Unit_Of_Measure</t>
  </si>
  <si>
    <t>M_Material_Item_Size_Note</t>
  </si>
  <si>
    <t>M_Material_Item_Standard_Length_mm</t>
  </si>
  <si>
    <t>M_Material_Item_Standard_Width_or_Diameter_mm</t>
  </si>
  <si>
    <t>M_Material_Item_Standard_Height_mm</t>
  </si>
  <si>
    <t>M_Material_Item_Standard_Interior_Diameter_mm</t>
  </si>
  <si>
    <t>M_Material_Item_Standard_Thinkness_or_Wall_mm</t>
  </si>
  <si>
    <t>M_Material_Item_Quantity_Unit_of_Measure</t>
  </si>
  <si>
    <t>S2_MM_Stock_Take</t>
  </si>
  <si>
    <t>Contains all the measurement information for the stock take events</t>
  </si>
  <si>
    <t>ST_Material_Item_ID</t>
  </si>
  <si>
    <t>ST_Stock_Take_Comment</t>
  </si>
  <si>
    <t>ST_Length_Measured_m</t>
  </si>
  <si>
    <t>ST_Length_Measured_Indicator</t>
  </si>
  <si>
    <t>ST_Width_Measured_m</t>
  </si>
  <si>
    <t>ST_Width_Measured_Indicator</t>
  </si>
  <si>
    <t>ST_Full_Units_Counted</t>
  </si>
  <si>
    <t>ST_Full_Units_Counted_Indicator</t>
  </si>
  <si>
    <t>ST_Quantity_Scrapped</t>
  </si>
  <si>
    <t>ST_Material_Scrapped_Indicator</t>
  </si>
  <si>
    <t>ST_Unit_Price_incl_VAT</t>
  </si>
  <si>
    <t>ST_Unit_Price_Available_Indicator</t>
  </si>
  <si>
    <t>ST_VAT_Percentage</t>
  </si>
  <si>
    <t>ST_Source_Quantity_on_Hand_Value_excl_VAT</t>
  </si>
  <si>
    <t>S2_V_MM_Stock_Take_Indicators</t>
  </si>
  <si>
    <t xml:space="preserve">Selects all the stock take indicator fields </t>
  </si>
  <si>
    <t>Selects the material attributes (dimension data) and performs group by. Only th latest import batch's data is selected</t>
  </si>
  <si>
    <t>Selects the natural keys and measurements (fact data). Only th latest import batch's data is selected</t>
  </si>
  <si>
    <t>ALM00004</t>
  </si>
  <si>
    <t>Angle iron</t>
  </si>
  <si>
    <t>25 x 25 x 2.2</t>
  </si>
  <si>
    <t>PSP00011</t>
  </si>
  <si>
    <t>Tinted</t>
  </si>
  <si>
    <t>ST_VAT_Decimal</t>
  </si>
  <si>
    <t>ST2018102</t>
  </si>
  <si>
    <t>MST00053</t>
  </si>
  <si>
    <t>Length measured</t>
  </si>
  <si>
    <t>No width measured</t>
  </si>
  <si>
    <t>No full units counted</t>
  </si>
  <si>
    <t>No material scrapped</t>
  </si>
  <si>
    <t>Unit price available</t>
  </si>
  <si>
    <t>ST2018496</t>
  </si>
  <si>
    <t>GLS00052</t>
  </si>
  <si>
    <t>No Size units and measurement available</t>
  </si>
  <si>
    <t>No length measured</t>
  </si>
  <si>
    <t>Full units counted</t>
  </si>
  <si>
    <t>Stock Take Indicators</t>
  </si>
  <si>
    <t>AtomicDW</t>
  </si>
  <si>
    <t>AtomicDW is the relational data store for the all the dimension tables and fact tables</t>
  </si>
  <si>
    <t>It also includes views that may be required for OLAP cubes and other BI tools</t>
  </si>
  <si>
    <t>Each batch represents a set of data for a specific Year and month</t>
  </si>
  <si>
    <t>S2_Import</t>
  </si>
  <si>
    <t>S2_Import_MM
...</t>
  </si>
  <si>
    <t>S2_Import_MM_Material
S2_Import_MM_Stock_Take
...</t>
  </si>
  <si>
    <t>DW_Import</t>
  </si>
  <si>
    <t>DW_Import_MM
...</t>
  </si>
  <si>
    <t>Static Date dimension</t>
  </si>
  <si>
    <t>Custom created Date records</t>
  </si>
  <si>
    <t>Material dimension</t>
  </si>
  <si>
    <t>Example</t>
  </si>
  <si>
    <t>Stock Take Indicators junk dimension</t>
  </si>
  <si>
    <t>Stock_Take_Fact</t>
  </si>
  <si>
    <t>Transactopns fact table to capture stock take event measures</t>
  </si>
  <si>
    <t>No standard length and width available</t>
  </si>
  <si>
    <t>Width measured</t>
  </si>
  <si>
    <t>Latest Import Batch action (Insert)</t>
  </si>
  <si>
    <t>FK to Import_Batch_Process_Task</t>
  </si>
  <si>
    <t>V_Min_Year_Key_Per_Year</t>
  </si>
  <si>
    <t>Lists the smallest Year_Key for each Year in the Date Dimension</t>
  </si>
  <si>
    <t>Error Files</t>
  </si>
  <si>
    <t>\ErrorFiles\</t>
  </si>
  <si>
    <t>&lt;Package name&gt;_&lt;import batch&gt;_Errors.csv</t>
  </si>
  <si>
    <t>DB Backup files</t>
  </si>
  <si>
    <t>\DBBackup\</t>
  </si>
  <si>
    <t>(system generated)</t>
  </si>
  <si>
    <t>Dimension Table name:</t>
  </si>
  <si>
    <t>&lt;Dimension name&gt;</t>
  </si>
  <si>
    <t>Fact Table name:</t>
  </si>
  <si>
    <t>&lt;Fact table name&gt;_Fact</t>
  </si>
  <si>
    <t>V_&lt;View name&gt;</t>
  </si>
  <si>
    <t>SSIS Packages</t>
  </si>
  <si>
    <t>Material management:</t>
  </si>
  <si>
    <t>Overall batch import:</t>
  </si>
  <si>
    <t>Batch_Import</t>
  </si>
  <si>
    <t>Import into a database:</t>
  </si>
  <si>
    <t>&lt;database abbreviation&gt;_Import</t>
  </si>
  <si>
    <t>Abbreviation:</t>
  </si>
  <si>
    <t>S1</t>
  </si>
  <si>
    <t>S2</t>
  </si>
  <si>
    <t>DW</t>
  </si>
  <si>
    <t>Import a business process:</t>
  </si>
  <si>
    <t>&lt;database abbreviation&gt;_Import_&lt;business process abbreviation&gt;</t>
  </si>
  <si>
    <t>Import a target table:</t>
  </si>
  <si>
    <t>&lt;database abbreviation&gt;_Import_&lt;business process abbreviation&gt;_&lt;target table name&gt;</t>
  </si>
  <si>
    <t>Data warehouse</t>
  </si>
  <si>
    <t>(relational)</t>
  </si>
  <si>
    <t>Process metadata</t>
  </si>
  <si>
    <t>auto generated ID for the import batch process task</t>
  </si>
  <si>
    <t>Relates to one batch of data for a specific year and month</t>
  </si>
  <si>
    <t>Relates to importing data for a specific business process</t>
  </si>
  <si>
    <t>Relates to importing data for specific target table</t>
  </si>
  <si>
    <t>IBPT_Dim_Historical</t>
  </si>
  <si>
    <t>number of historical (type 2) records inserted - only in data warehouse</t>
  </si>
  <si>
    <t>IBPT_Dim_Changing</t>
  </si>
  <si>
    <t>number of changing (type 1) records updated - only in data warehouse</t>
  </si>
  <si>
    <t>IBPT_Dim_New</t>
  </si>
  <si>
    <t>IBPT_Dim_Unchanged</t>
  </si>
  <si>
    <t>number of new dimension records inserted - only in data warehouse</t>
  </si>
  <si>
    <t>number of unchanged dimension records - only in data warehouse</t>
  </si>
  <si>
    <t>DW_Import_MM_Material
DW_Import_MM_Stock_Take_Indicators
DW_Import_MM_Stock_Take_Fact
...</t>
  </si>
  <si>
    <t>IBPT_Dim_Fixed_Errors</t>
  </si>
  <si>
    <t>number of dimension records that have changes in fields specified as Fixed (not suppose to change) - only in data warehouse</t>
  </si>
  <si>
    <t>One row for each Stock Take event</t>
  </si>
  <si>
    <t>SF_PW_Customer</t>
  </si>
  <si>
    <t>S1_PW_Customers</t>
  </si>
  <si>
    <t>Project Work:</t>
  </si>
  <si>
    <t>PW</t>
  </si>
  <si>
    <t>Customer_ID</t>
  </si>
  <si>
    <t>Department_ID</t>
  </si>
  <si>
    <t>Customer_Name</t>
  </si>
  <si>
    <t>Contact_Person</t>
  </si>
  <si>
    <t>Address_Line_1</t>
  </si>
  <si>
    <t>Address_Line_2</t>
  </si>
  <si>
    <t>City_Town</t>
  </si>
  <si>
    <t>Postal_Code</t>
  </si>
  <si>
    <t>text, 100</t>
  </si>
  <si>
    <t>text, 4</t>
  </si>
  <si>
    <t>Are there missing values?</t>
  </si>
  <si>
    <t>C-E0001-61</t>
  </si>
  <si>
    <t>C-E0001-EP</t>
  </si>
  <si>
    <t>Curativo</t>
  </si>
  <si>
    <t>Zander Van Pletzen</t>
  </si>
  <si>
    <t>PO Box 19745</t>
  </si>
  <si>
    <t>Nelspruit</t>
  </si>
  <si>
    <t>C-00001-1-1</t>
  </si>
  <si>
    <t>C-00001-1</t>
  </si>
  <si>
    <t>Rodney Medupe</t>
  </si>
  <si>
    <t xml:space="preserve"> Are nulls allowed?</t>
  </si>
  <si>
    <t>varchar(20)</t>
  </si>
  <si>
    <t>varchar(100)</t>
  </si>
  <si>
    <t>varchar(50)</t>
  </si>
  <si>
    <t>varchar(4)</t>
  </si>
  <si>
    <t>Metadata:</t>
  </si>
  <si>
    <t>NULL VALUE Replacement</t>
  </si>
  <si>
    <t>-</t>
  </si>
  <si>
    <t>****</t>
  </si>
  <si>
    <t>*Unknown Customer</t>
  </si>
  <si>
    <t>*Unknown Contact Person</t>
  </si>
  <si>
    <t>*Unknown Address Line 1</t>
  </si>
  <si>
    <t>*Unknown Address Line 2</t>
  </si>
  <si>
    <t>*Unknown City or Town</t>
  </si>
  <si>
    <t>*No Address Line 2</t>
  </si>
  <si>
    <t>FK Key to Import Batch Process Task</t>
  </si>
  <si>
    <t>IPBT_ID</t>
  </si>
  <si>
    <t>Error if null: do not insert, write our error</t>
  </si>
  <si>
    <t>If Address_Line_1 is null then *Unknown Address Line 2 else *No Address Line 2</t>
  </si>
  <si>
    <t>S1_PW_Employees</t>
  </si>
  <si>
    <t>SF_PW_Employees</t>
  </si>
  <si>
    <t>Employee_ID</t>
  </si>
  <si>
    <t>Employee_Name</t>
  </si>
  <si>
    <t>Employee_Surname</t>
  </si>
  <si>
    <t>E2</t>
  </si>
  <si>
    <t>Admin</t>
  </si>
  <si>
    <t>E5</t>
  </si>
  <si>
    <t>Van Niekerk</t>
  </si>
  <si>
    <t>Trevor</t>
  </si>
  <si>
    <t>*Unknown Employee Name</t>
  </si>
  <si>
    <t>*Unknown Employee Surname</t>
  </si>
  <si>
    <t>If Employee_Name is null then *Unknown Employee Surname else *No Employee Surname</t>
  </si>
  <si>
    <t>S1_PW_Employee_Timesheet</t>
  </si>
  <si>
    <t>SF_PW_Employee_TimeSheet</t>
  </si>
  <si>
    <t>text, 7</t>
  </si>
  <si>
    <t>decimal(4,4)</t>
  </si>
  <si>
    <t>P180107</t>
  </si>
  <si>
    <t>P180010</t>
  </si>
  <si>
    <t>T. Taljaard</t>
  </si>
  <si>
    <t>A. John</t>
  </si>
  <si>
    <t>nvarchar(7)</t>
  </si>
  <si>
    <t>*Unknown Project ID</t>
  </si>
  <si>
    <t>*Unknown Week End Year</t>
  </si>
  <si>
    <t>*Unknown Employee</t>
  </si>
  <si>
    <t>E_Year</t>
  </si>
  <si>
    <t>E_Week_of_Year</t>
  </si>
  <si>
    <t>E_Week_End_Date</t>
  </si>
  <si>
    <t>E_Project_ID</t>
  </si>
  <si>
    <t>E_Employee</t>
  </si>
  <si>
    <t>E_Hours</t>
  </si>
  <si>
    <t>C_Customer_ID</t>
  </si>
  <si>
    <t>C_Department_ID</t>
  </si>
  <si>
    <t>C_Customer_Name</t>
  </si>
  <si>
    <t>C_Contact_Person</t>
  </si>
  <si>
    <t>C_Address_Line_1</t>
  </si>
  <si>
    <t>C_Address_Line_2</t>
  </si>
  <si>
    <t>C_City_Town</t>
  </si>
  <si>
    <t>C_Postal_Code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</si>
</sst>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1C09]dd\ mmmm\ yyyy;@"/>
    <numFmt numFmtId="166" formatCode="dddd"/>
  </numFmts>
  <fonts count="20"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FF0000"/>
      <name val="Calibri"/>
      <family val="2"/>
      <scheme val="minor"/>
    </font>
    <font>
      <sz val="11"/>
      <name val="Calibri"/>
      <family val="2"/>
      <scheme val="minor"/>
    </font>
    <font>
      <i/>
      <sz val="11"/>
      <color theme="1"/>
      <name val="Calibri"/>
      <family val="2"/>
      <scheme val="minor"/>
    </font>
    <font>
      <sz val="11"/>
      <color rgb="FF000000"/>
      <name val="Calibri"/>
      <family val="2"/>
    </font>
    <font>
      <sz val="10"/>
      <name val="Arial"/>
      <family val="2"/>
    </font>
    <font>
      <b/>
      <u/>
      <sz val="11"/>
      <color theme="10"/>
      <name val="Calibri"/>
      <family val="2"/>
      <scheme val="minor"/>
    </font>
    <font>
      <sz val="11"/>
      <color theme="2" tint="-0.499984740745262"/>
      <name val="Calibri"/>
      <family val="2"/>
      <scheme val="minor"/>
    </font>
    <font>
      <sz val="11"/>
      <color theme="2" tint="-0.749992370372631"/>
      <name val="Calibri"/>
      <family val="2"/>
      <scheme val="minor"/>
    </font>
    <font>
      <i/>
      <sz val="11"/>
      <color rgb="FF000000"/>
      <name val="Calibri"/>
      <family val="2"/>
    </font>
    <font>
      <i/>
      <sz val="11"/>
      <color rgb="FF002060"/>
      <name val="Calibri"/>
      <family val="2"/>
      <scheme val="minor"/>
    </font>
    <font>
      <i/>
      <sz val="11"/>
      <color rgb="FF002060"/>
      <name val="Calibri"/>
      <family val="2"/>
    </font>
    <font>
      <i/>
      <sz val="11"/>
      <color theme="9" tint="-0.499984740745262"/>
      <name val="Calibri"/>
      <family val="2"/>
      <scheme val="minor"/>
    </font>
    <font>
      <b/>
      <sz val="11"/>
      <color rgb="FFFF0000"/>
      <name val="Calibri"/>
      <family val="2"/>
      <scheme val="minor"/>
    </font>
    <font>
      <b/>
      <sz val="11"/>
      <color rgb="FF000000"/>
      <name val="Calibri"/>
      <family val="2"/>
    </font>
    <font>
      <sz val="8"/>
      <name val="Calibri"/>
      <family val="2"/>
      <scheme val="minor"/>
    </font>
  </fonts>
  <fills count="9">
    <fill>
      <patternFill patternType="none"/>
    </fill>
    <fill>
      <patternFill patternType="gray125"/>
    </fill>
    <fill>
      <patternFill patternType="solid">
        <fgColor theme="4"/>
      </patternFill>
    </fill>
    <fill>
      <patternFill patternType="solid">
        <fgColor theme="8"/>
      </patternFill>
    </fill>
    <fill>
      <patternFill patternType="solid">
        <fgColor theme="8" tint="0.39997558519241921"/>
        <bgColor indexed="65"/>
      </patternFill>
    </fill>
    <fill>
      <patternFill patternType="solid">
        <fgColor theme="0" tint="-0.149998474074526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9"/>
      </patternFill>
    </fill>
  </fills>
  <borders count="7">
    <border>
      <left/>
      <right/>
      <top/>
      <bottom/>
      <diagonal/>
    </border>
    <border>
      <left/>
      <right/>
      <top/>
      <bottom style="thick">
        <color theme="4" tint="0.499984740745262"/>
      </bottom>
      <diagonal/>
    </border>
    <border>
      <left style="thin">
        <color theme="4" tint="0.499984740745262"/>
      </left>
      <right style="thin">
        <color theme="4" tint="0.499984740745262"/>
      </right>
      <top style="thin">
        <color theme="4" tint="0.499984740745262"/>
      </top>
      <bottom style="thin">
        <color theme="4" tint="0.499984740745262"/>
      </bottom>
      <diagonal/>
    </border>
    <border>
      <left/>
      <right/>
      <top style="thick">
        <color theme="4" tint="0.499984740745262"/>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8">
    <xf numFmtId="0" fontId="0" fillId="0" borderId="0"/>
    <xf numFmtId="0" fontId="3" fillId="2" borderId="0" applyNumberFormat="0" applyBorder="0" applyAlignment="0" applyProtection="0"/>
    <xf numFmtId="0" fontId="3" fillId="3" borderId="0" applyNumberFormat="0" applyBorder="0" applyAlignment="0" applyProtection="0"/>
    <xf numFmtId="0" fontId="4" fillId="0" borderId="0" applyNumberFormat="0" applyFill="0" applyBorder="0" applyAlignment="0" applyProtection="0"/>
    <xf numFmtId="0" fontId="3" fillId="4" borderId="0" applyNumberFormat="0" applyBorder="0" applyAlignment="0" applyProtection="0"/>
    <xf numFmtId="0" fontId="8" fillId="0" borderId="0"/>
    <xf numFmtId="0" fontId="9" fillId="0" borderId="0"/>
    <xf numFmtId="0" fontId="3" fillId="8" borderId="0" applyNumberFormat="0" applyBorder="0" applyAlignment="0" applyProtection="0"/>
  </cellStyleXfs>
  <cellXfs count="134">
    <xf numFmtId="0" fontId="0" fillId="0" borderId="0" xfId="0"/>
    <xf numFmtId="0" fontId="4" fillId="0" borderId="0" xfId="3"/>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4" fillId="0" borderId="0" xfId="3" applyAlignment="1">
      <alignment vertical="top"/>
    </xf>
    <xf numFmtId="0" fontId="2" fillId="0" borderId="0" xfId="0" applyFont="1" applyAlignment="1">
      <alignment vertical="top"/>
    </xf>
    <xf numFmtId="0" fontId="2" fillId="0" borderId="0" xfId="0" applyFont="1" applyAlignment="1">
      <alignment vertical="top" wrapText="1"/>
    </xf>
    <xf numFmtId="0" fontId="2" fillId="0" borderId="0" xfId="0" applyFont="1"/>
    <xf numFmtId="49" fontId="0" fillId="0" borderId="0" xfId="0" applyNumberFormat="1"/>
    <xf numFmtId="0" fontId="1" fillId="2" borderId="0" xfId="1" applyFont="1" applyBorder="1" applyAlignment="1">
      <alignment horizontal="left" wrapText="1"/>
    </xf>
    <xf numFmtId="0" fontId="0" fillId="0" borderId="0" xfId="0" applyAlignment="1">
      <alignment horizontal="left"/>
    </xf>
    <xf numFmtId="0" fontId="2" fillId="0" borderId="2" xfId="0" applyFont="1" applyBorder="1"/>
    <xf numFmtId="0" fontId="5" fillId="0" borderId="0" xfId="0" applyFont="1"/>
    <xf numFmtId="0" fontId="6" fillId="0" borderId="0" xfId="0" applyFont="1" applyFill="1" applyAlignment="1">
      <alignment horizontal="left"/>
    </xf>
    <xf numFmtId="165" fontId="0" fillId="0" borderId="0" xfId="0" applyNumberFormat="1" applyFont="1" applyFill="1" applyAlignment="1">
      <alignment horizontal="left"/>
    </xf>
    <xf numFmtId="166" fontId="0" fillId="0" borderId="0" xfId="0" applyNumberFormat="1" applyFont="1" applyFill="1" applyAlignment="1">
      <alignment horizontal="left"/>
    </xf>
    <xf numFmtId="0" fontId="0" fillId="0" borderId="0" xfId="0" applyFont="1" applyFill="1" applyAlignment="1">
      <alignment horizontal="left"/>
    </xf>
    <xf numFmtId="0" fontId="0" fillId="0" borderId="0" xfId="0" applyNumberFormat="1" applyFont="1" applyFill="1"/>
    <xf numFmtId="164" fontId="0" fillId="0" borderId="0" xfId="0" applyNumberFormat="1" applyFont="1" applyFill="1"/>
    <xf numFmtId="0" fontId="6" fillId="0" borderId="0" xfId="0" applyNumberFormat="1" applyFont="1" applyFill="1"/>
    <xf numFmtId="0" fontId="0" fillId="0" borderId="0" xfId="0" applyFont="1" applyFill="1"/>
    <xf numFmtId="0" fontId="6" fillId="0" borderId="0" xfId="0" applyFont="1" applyFill="1"/>
    <xf numFmtId="166" fontId="0" fillId="0" borderId="0" xfId="0" applyNumberFormat="1" applyFont="1" applyFill="1"/>
    <xf numFmtId="165" fontId="0" fillId="0" borderId="0" xfId="0" applyNumberFormat="1" applyFont="1" applyFill="1"/>
    <xf numFmtId="164" fontId="6" fillId="0" borderId="0" xfId="0" applyNumberFormat="1" applyFont="1" applyFill="1"/>
    <xf numFmtId="0" fontId="1" fillId="4" borderId="0" xfId="4" applyFont="1" applyBorder="1" applyAlignment="1">
      <alignment horizontal="left"/>
    </xf>
    <xf numFmtId="0" fontId="7" fillId="0" borderId="0" xfId="0" applyFont="1"/>
    <xf numFmtId="0" fontId="0" fillId="0" borderId="0" xfId="0" applyAlignment="1">
      <alignment horizontal="left"/>
    </xf>
    <xf numFmtId="0" fontId="0" fillId="0" borderId="0" xfId="0" applyAlignment="1">
      <alignment vertical="center" wrapText="1"/>
    </xf>
    <xf numFmtId="0" fontId="0" fillId="0" borderId="0" xfId="0" applyAlignment="1">
      <alignment horizontal="center" vertical="center" wrapText="1"/>
    </xf>
    <xf numFmtId="0" fontId="2" fillId="5" borderId="4" xfId="0" applyFont="1" applyFill="1" applyBorder="1" applyAlignment="1">
      <alignment horizontal="right" vertical="center" wrapText="1"/>
    </xf>
    <xf numFmtId="0" fontId="2" fillId="5" borderId="4" xfId="0" applyFont="1" applyFill="1" applyBorder="1" applyAlignment="1">
      <alignment vertical="center" wrapText="1"/>
    </xf>
    <xf numFmtId="0" fontId="2" fillId="5" borderId="4" xfId="0" applyFont="1" applyFill="1" applyBorder="1" applyAlignment="1">
      <alignment horizontal="center" vertical="center" wrapText="1"/>
    </xf>
    <xf numFmtId="0" fontId="0" fillId="0" borderId="0" xfId="0" applyAlignment="1">
      <alignment horizontal="left" vertical="top"/>
    </xf>
    <xf numFmtId="0" fontId="1" fillId="2" borderId="0" xfId="1" applyFont="1" applyBorder="1" applyAlignment="1">
      <alignment horizontal="left" vertical="top" wrapText="1"/>
    </xf>
    <xf numFmtId="0" fontId="0" fillId="0" borderId="0" xfId="0" applyNumberFormat="1" applyFont="1" applyFill="1" applyAlignment="1">
      <alignment horizontal="left" vertical="top"/>
    </xf>
    <xf numFmtId="0" fontId="5" fillId="0" borderId="0" xfId="0" applyFont="1" applyAlignment="1">
      <alignment vertical="top"/>
    </xf>
    <xf numFmtId="0" fontId="5" fillId="0" borderId="0" xfId="0" applyFont="1" applyAlignment="1">
      <alignment vertical="top" wrapText="1"/>
    </xf>
    <xf numFmtId="0" fontId="5" fillId="0" borderId="0" xfId="0" applyNumberFormat="1" applyFont="1" applyFill="1" applyAlignment="1">
      <alignment horizontal="left" vertical="top"/>
    </xf>
    <xf numFmtId="0" fontId="6" fillId="0" borderId="0" xfId="0" applyFont="1" applyFill="1" applyAlignment="1">
      <alignment horizontal="left" vertical="top"/>
    </xf>
    <xf numFmtId="0" fontId="11" fillId="0" borderId="0" xfId="0" applyFont="1"/>
    <xf numFmtId="0" fontId="11" fillId="0" borderId="0" xfId="0" applyFont="1" applyAlignment="1">
      <alignment wrapText="1"/>
    </xf>
    <xf numFmtId="0" fontId="11" fillId="0" borderId="0" xfId="0" applyFont="1" applyAlignment="1">
      <alignment horizontal="left"/>
    </xf>
    <xf numFmtId="14" fontId="11" fillId="0" borderId="0" xfId="0" applyNumberFormat="1" applyFont="1" applyAlignment="1">
      <alignment horizontal="left"/>
    </xf>
    <xf numFmtId="0" fontId="6" fillId="0" borderId="0" xfId="0" applyFont="1" applyAlignment="1">
      <alignment vertical="top"/>
    </xf>
    <xf numFmtId="0" fontId="6" fillId="0" borderId="0" xfId="0" applyFont="1" applyAlignment="1">
      <alignment vertical="top" wrapText="1"/>
    </xf>
    <xf numFmtId="0" fontId="6" fillId="0" borderId="0" xfId="0" applyNumberFormat="1" applyFont="1" applyFill="1" applyAlignment="1">
      <alignment horizontal="left" vertical="top"/>
    </xf>
    <xf numFmtId="0" fontId="0" fillId="0" borderId="0" xfId="0" applyAlignment="1">
      <alignment horizontal="left"/>
    </xf>
    <xf numFmtId="0" fontId="12" fillId="0" borderId="0" xfId="0" applyFont="1"/>
    <xf numFmtId="0" fontId="12" fillId="0" borderId="0" xfId="0" applyFont="1" applyAlignment="1">
      <alignment horizontal="left"/>
    </xf>
    <xf numFmtId="0" fontId="0" fillId="0" borderId="0" xfId="0" applyAlignment="1">
      <alignment horizontal="left"/>
    </xf>
    <xf numFmtId="0" fontId="0" fillId="0" borderId="0" xfId="0" applyAlignment="1">
      <alignment horizontal="left" vertical="top"/>
    </xf>
    <xf numFmtId="0" fontId="0" fillId="0" borderId="0" xfId="0" applyAlignment="1">
      <alignment horizontal="left"/>
    </xf>
    <xf numFmtId="0" fontId="12" fillId="0" borderId="0" xfId="0" applyFont="1" applyAlignment="1">
      <alignment wrapText="1"/>
    </xf>
    <xf numFmtId="0" fontId="0" fillId="6" borderId="0" xfId="0" applyFill="1" applyAlignment="1">
      <alignment horizontal="left"/>
    </xf>
    <xf numFmtId="0" fontId="4" fillId="0" borderId="0" xfId="3" quotePrefix="1" applyBorder="1" applyAlignment="1">
      <alignment vertical="center"/>
    </xf>
    <xf numFmtId="0" fontId="0" fillId="0" borderId="0" xfId="0" applyAlignment="1">
      <alignment horizontal="left" wrapText="1"/>
    </xf>
    <xf numFmtId="0" fontId="6" fillId="6" borderId="0" xfId="0" applyFont="1" applyFill="1" applyAlignment="1">
      <alignment horizontal="left" vertical="top"/>
    </xf>
    <xf numFmtId="0" fontId="8" fillId="0" borderId="0" xfId="5" applyFont="1" applyAlignment="1">
      <alignment vertical="top" wrapText="1"/>
    </xf>
    <xf numFmtId="0" fontId="8" fillId="0" borderId="0" xfId="5" applyFont="1" applyAlignment="1">
      <alignment vertical="top"/>
    </xf>
    <xf numFmtId="0" fontId="7" fillId="0" borderId="0" xfId="0" applyFont="1" applyAlignment="1">
      <alignment vertical="top"/>
    </xf>
    <xf numFmtId="0" fontId="7" fillId="0" borderId="0" xfId="0" applyFont="1" applyAlignment="1">
      <alignment vertical="top" wrapText="1"/>
    </xf>
    <xf numFmtId="0" fontId="13" fillId="0" borderId="0" xfId="5" applyFont="1" applyAlignment="1">
      <alignment vertical="top"/>
    </xf>
    <xf numFmtId="0" fontId="7" fillId="0" borderId="0" xfId="0" applyFont="1" applyAlignment="1">
      <alignment horizontal="left" vertical="top"/>
    </xf>
    <xf numFmtId="0" fontId="13" fillId="0" borderId="0" xfId="5" applyFont="1" applyAlignment="1">
      <alignment vertical="top" wrapText="1"/>
    </xf>
    <xf numFmtId="0" fontId="14" fillId="0" borderId="0" xfId="0" applyFont="1" applyAlignment="1">
      <alignment vertical="top"/>
    </xf>
    <xf numFmtId="0" fontId="14" fillId="0" borderId="0" xfId="0" applyFont="1" applyAlignment="1">
      <alignment vertical="top" wrapText="1"/>
    </xf>
    <xf numFmtId="0" fontId="15" fillId="0" borderId="0" xfId="5" applyFont="1" applyAlignment="1">
      <alignment vertical="top" wrapText="1"/>
    </xf>
    <xf numFmtId="0" fontId="14" fillId="0" borderId="0" xfId="0" applyFont="1" applyAlignment="1">
      <alignment horizontal="left" vertical="top"/>
    </xf>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horizontal="left" vertical="top"/>
    </xf>
    <xf numFmtId="0" fontId="16" fillId="0" borderId="0" xfId="0" applyFont="1" applyAlignment="1">
      <alignment vertical="top"/>
    </xf>
    <xf numFmtId="0" fontId="16" fillId="0" borderId="0" xfId="0" applyFont="1" applyAlignment="1">
      <alignment vertical="top" wrapText="1"/>
    </xf>
    <xf numFmtId="0" fontId="0" fillId="0" borderId="0" xfId="0" applyAlignment="1">
      <alignment horizontal="left" vertical="top"/>
    </xf>
    <xf numFmtId="0" fontId="0" fillId="0" borderId="0" xfId="0" applyAlignment="1">
      <alignment horizontal="left"/>
    </xf>
    <xf numFmtId="0" fontId="0" fillId="0" borderId="0" xfId="0" applyBorder="1"/>
    <xf numFmtId="0" fontId="0" fillId="0" borderId="0" xfId="0" applyFill="1" applyBorder="1"/>
    <xf numFmtId="0" fontId="6" fillId="7" borderId="0" xfId="0" applyFont="1" applyFill="1" applyAlignment="1">
      <alignment horizontal="left" vertical="top"/>
    </xf>
    <xf numFmtId="0" fontId="0" fillId="0" borderId="0" xfId="0" applyAlignment="1">
      <alignment horizontal="left" vertical="top"/>
    </xf>
    <xf numFmtId="0" fontId="0" fillId="0" borderId="0" xfId="0" applyAlignment="1">
      <alignment horizontal="left"/>
    </xf>
    <xf numFmtId="14" fontId="0" fillId="0" borderId="0" xfId="0" applyNumberFormat="1" applyAlignment="1">
      <alignment horizontal="left" vertical="top"/>
    </xf>
    <xf numFmtId="0" fontId="0" fillId="0" borderId="0" xfId="0" applyAlignment="1">
      <alignment horizontal="left"/>
    </xf>
    <xf numFmtId="0" fontId="0" fillId="0" borderId="0" xfId="0" applyAlignment="1">
      <alignment horizontal="left" vertical="top"/>
    </xf>
    <xf numFmtId="0" fontId="0" fillId="0" borderId="0" xfId="0" applyAlignment="1">
      <alignment horizontal="left"/>
    </xf>
    <xf numFmtId="0" fontId="0" fillId="0" borderId="0" xfId="0" applyFill="1" applyAlignment="1">
      <alignment horizontal="left"/>
    </xf>
    <xf numFmtId="0" fontId="2" fillId="0" borderId="0" xfId="0" applyFont="1" applyAlignment="1">
      <alignment horizontal="left"/>
    </xf>
    <xf numFmtId="0" fontId="2" fillId="0" borderId="0" xfId="0" applyFont="1" applyAlignment="1">
      <alignment wrapText="1"/>
    </xf>
    <xf numFmtId="0" fontId="17" fillId="0" borderId="0" xfId="0" applyFont="1"/>
    <xf numFmtId="0" fontId="17" fillId="0" borderId="0" xfId="0" applyFont="1" applyAlignment="1">
      <alignment horizontal="left"/>
    </xf>
    <xf numFmtId="0" fontId="17" fillId="0" borderId="0" xfId="0" applyFont="1" applyAlignment="1">
      <alignment wrapText="1"/>
    </xf>
    <xf numFmtId="0" fontId="0" fillId="0" borderId="0" xfId="0" applyAlignment="1"/>
    <xf numFmtId="0" fontId="4" fillId="6" borderId="0" xfId="3" applyFill="1" applyAlignment="1">
      <alignment wrapText="1"/>
    </xf>
    <xf numFmtId="0" fontId="4" fillId="0" borderId="0" xfId="3" applyAlignment="1">
      <alignment horizontal="left"/>
    </xf>
    <xf numFmtId="9" fontId="0" fillId="0" borderId="0" xfId="0" applyNumberFormat="1" applyAlignment="1">
      <alignment horizontal="left"/>
    </xf>
    <xf numFmtId="0" fontId="0" fillId="0" borderId="4" xfId="0" applyFill="1" applyBorder="1" applyAlignment="1">
      <alignment vertical="center" wrapText="1"/>
    </xf>
    <xf numFmtId="0" fontId="0" fillId="0" borderId="4" xfId="0" applyFill="1" applyBorder="1" applyAlignment="1">
      <alignment horizontal="center" vertical="center" wrapText="1"/>
    </xf>
    <xf numFmtId="0" fontId="10" fillId="0" borderId="4" xfId="3"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4" xfId="0" applyFont="1" applyFill="1" applyBorder="1" applyAlignment="1">
      <alignment vertical="center" wrapText="1"/>
    </xf>
    <xf numFmtId="0" fontId="2" fillId="0" borderId="0" xfId="0" applyNumberFormat="1" applyFont="1" applyFill="1" applyAlignment="1">
      <alignment horizontal="left"/>
    </xf>
    <xf numFmtId="164" fontId="17" fillId="0" borderId="0" xfId="0" applyNumberFormat="1" applyFont="1" applyFill="1" applyAlignment="1">
      <alignment horizontal="left"/>
    </xf>
    <xf numFmtId="0" fontId="9" fillId="0" borderId="0" xfId="6"/>
    <xf numFmtId="0" fontId="17" fillId="0" borderId="0" xfId="0" applyFont="1" applyAlignment="1">
      <alignment vertical="top"/>
    </xf>
    <xf numFmtId="0" fontId="17" fillId="0" borderId="0" xfId="0" applyFont="1" applyAlignment="1">
      <alignment vertical="top" wrapText="1"/>
    </xf>
    <xf numFmtId="0" fontId="2" fillId="0" borderId="0" xfId="0" applyFont="1" applyAlignment="1">
      <alignment horizontal="left" vertical="top"/>
    </xf>
    <xf numFmtId="0" fontId="17" fillId="0" borderId="0" xfId="0" applyNumberFormat="1" applyFont="1" applyFill="1" applyAlignment="1">
      <alignment horizontal="left" vertical="top"/>
    </xf>
    <xf numFmtId="9" fontId="0" fillId="0" borderId="0" xfId="0" applyNumberFormat="1" applyAlignment="1">
      <alignment horizontal="left" vertical="top"/>
    </xf>
    <xf numFmtId="0" fontId="4" fillId="0" borderId="0" xfId="3" applyAlignment="1">
      <alignment horizontal="left" vertical="top"/>
    </xf>
    <xf numFmtId="0" fontId="18" fillId="0" borderId="0" xfId="5" applyFont="1" applyAlignment="1">
      <alignment vertical="top"/>
    </xf>
    <xf numFmtId="0" fontId="0" fillId="0" borderId="0" xfId="0" applyAlignment="1">
      <alignment horizontal="right"/>
    </xf>
    <xf numFmtId="0" fontId="0" fillId="0" borderId="5" xfId="0" applyBorder="1"/>
    <xf numFmtId="0" fontId="0" fillId="0" borderId="5" xfId="0" applyBorder="1" applyAlignment="1">
      <alignment horizontal="right"/>
    </xf>
    <xf numFmtId="0" fontId="0" fillId="0" borderId="5" xfId="0" applyBorder="1" applyAlignment="1">
      <alignment horizontal="left" indent="1"/>
    </xf>
    <xf numFmtId="0" fontId="0" fillId="0" borderId="6" xfId="0" applyBorder="1"/>
    <xf numFmtId="0" fontId="0" fillId="0" borderId="6" xfId="0" applyBorder="1" applyAlignment="1">
      <alignment horizontal="right"/>
    </xf>
    <xf numFmtId="0" fontId="0" fillId="0" borderId="6" xfId="0" applyBorder="1" applyAlignment="1">
      <alignment horizontal="left" indent="1"/>
    </xf>
    <xf numFmtId="0" fontId="0" fillId="0" borderId="0" xfId="0" applyBorder="1" applyAlignment="1">
      <alignment horizontal="right"/>
    </xf>
    <xf numFmtId="0" fontId="0" fillId="0" borderId="0" xfId="0" applyBorder="1" applyAlignment="1">
      <alignment horizontal="left" indent="1"/>
    </xf>
    <xf numFmtId="0" fontId="2" fillId="0" borderId="5" xfId="0" applyFont="1" applyBorder="1" applyAlignment="1">
      <alignment horizontal="right"/>
    </xf>
    <xf numFmtId="0" fontId="2" fillId="0" borderId="5" xfId="0" applyFont="1" applyBorder="1" applyAlignment="1">
      <alignment horizontal="left" indent="1"/>
    </xf>
    <xf numFmtId="0" fontId="2" fillId="6" borderId="0" xfId="0" applyFont="1" applyFill="1"/>
    <xf numFmtId="0" fontId="4" fillId="0" borderId="4" xfId="3" applyFill="1" applyBorder="1" applyAlignment="1">
      <alignment vertical="center" wrapText="1"/>
    </xf>
    <xf numFmtId="0" fontId="0" fillId="0" borderId="0" xfId="0" applyFont="1" applyBorder="1" applyAlignment="1">
      <alignment horizontal="right"/>
    </xf>
    <xf numFmtId="0" fontId="0" fillId="0" borderId="0" xfId="0" applyFont="1" applyBorder="1" applyAlignment="1">
      <alignment horizontal="left" indent="1"/>
    </xf>
    <xf numFmtId="0" fontId="6" fillId="6" borderId="0" xfId="0" applyFont="1" applyFill="1"/>
    <xf numFmtId="0" fontId="2" fillId="0" borderId="3" xfId="0" applyFont="1" applyBorder="1" applyAlignment="1">
      <alignment horizontal="left"/>
    </xf>
    <xf numFmtId="0" fontId="1" fillId="3" borderId="0" xfId="2" applyFont="1" applyBorder="1" applyAlignment="1">
      <alignment horizontal="center"/>
    </xf>
    <xf numFmtId="0" fontId="3" fillId="8" borderId="1" xfId="7" applyBorder="1" applyAlignment="1">
      <alignment horizontal="center"/>
    </xf>
    <xf numFmtId="0" fontId="0" fillId="0" borderId="0" xfId="0" applyAlignment="1">
      <alignment horizontal="left" vertical="top"/>
    </xf>
    <xf numFmtId="0" fontId="2" fillId="5" borderId="0" xfId="0" applyFont="1" applyFill="1" applyAlignment="1">
      <alignment horizontal="center"/>
    </xf>
    <xf numFmtId="0" fontId="0" fillId="0" borderId="0" xfId="0" applyAlignment="1">
      <alignment horizontal="left" vertical="top" wrapText="1"/>
    </xf>
    <xf numFmtId="14" fontId="0" fillId="0" borderId="0" xfId="0" applyNumberFormat="1" applyAlignment="1">
      <alignment horizontal="left"/>
    </xf>
  </cellXfs>
  <cellStyles count="8">
    <cellStyle name="60% - Accent5" xfId="4" builtinId="48"/>
    <cellStyle name="Accent1" xfId="1" builtinId="29"/>
    <cellStyle name="Accent5" xfId="2" builtinId="45"/>
    <cellStyle name="Accent6" xfId="7" builtinId="49"/>
    <cellStyle name="Hyperlink" xfId="3" builtinId="8"/>
    <cellStyle name="Normal" xfId="0" builtinId="0"/>
    <cellStyle name="Normal 2" xfId="6" xr:uid="{00000000-0005-0000-0000-000006000000}"/>
    <cellStyle name="Normal 3" xfId="5" xr:uid="{00000000-0005-0000-0000-00000700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colorful2">
  <dgm:title val=""/>
  <dgm:desc val=""/>
  <dgm:catLst>
    <dgm:cat type="colorful" pri="10200"/>
  </dgm:catLst>
  <dgm:styleLbl name="node0">
    <dgm:fillClrLst meth="repeat">
      <a:schemeClr val="accent1"/>
    </dgm:fillClrLst>
    <dgm:linClrLst meth="repeat">
      <a:schemeClr val="lt1"/>
    </dgm:linClrLst>
    <dgm:effectClrLst/>
    <dgm:txLinClrLst/>
    <dgm:txFillClrLst/>
    <dgm:txEffectClrLst/>
  </dgm:styleLbl>
  <dgm:styleLbl name="node1">
    <dgm:fillClrLst>
      <a:schemeClr val="accent2"/>
      <a:schemeClr val="accent3"/>
    </dgm:fillClrLst>
    <dgm:linClrLst meth="repeat">
      <a:schemeClr val="lt1"/>
    </dgm:linClrLst>
    <dgm:effectClrLst/>
    <dgm:txLinClrLst/>
    <dgm:txFillClrLst/>
    <dgm:txEffectClrLst/>
  </dgm:styleLbl>
  <dgm:styleLbl name="alignNode1">
    <dgm:fillClrLst>
      <a:schemeClr val="accent2"/>
      <a:schemeClr val="accent3"/>
    </dgm:fillClrLst>
    <dgm:linClrLst>
      <a:schemeClr val="accent2"/>
      <a:schemeClr val="accent3"/>
    </dgm:linClrLst>
    <dgm:effectClrLst/>
    <dgm:txLinClrLst/>
    <dgm:txFillClrLst/>
    <dgm:txEffectClrLst/>
  </dgm:styleLbl>
  <dgm:styleLbl name="lnNode1">
    <dgm:fillClrLst>
      <a:schemeClr val="accent2"/>
      <a:schemeClr val="accent3"/>
    </dgm:fillClrLst>
    <dgm:linClrLst meth="repeat">
      <a:schemeClr val="lt1"/>
    </dgm:linClrLst>
    <dgm:effectClrLst/>
    <dgm:txLinClrLst/>
    <dgm:txFillClrLst/>
    <dgm:txEffectClrLst/>
  </dgm:styleLbl>
  <dgm:styleLbl name="vennNode1">
    <dgm:fillClrLst>
      <a:schemeClr val="accent2">
        <a:alpha val="50000"/>
      </a:schemeClr>
      <a:schemeClr val="accent3">
        <a:alpha val="50000"/>
      </a:schemeClr>
    </dgm:fillClrLst>
    <dgm:linClrLst meth="repeat">
      <a:schemeClr val="lt1"/>
    </dgm:linClrLst>
    <dgm:effectClrLst/>
    <dgm:txLinClrLst/>
    <dgm:txFillClrLst/>
    <dgm:txEffectClrLst/>
  </dgm:styleLbl>
  <dgm:styleLbl name="node2">
    <dgm:fillClrLst>
      <a:schemeClr val="accent3"/>
    </dgm:fillClrLst>
    <dgm:linClrLst meth="repeat">
      <a:schemeClr val="lt1"/>
    </dgm:linClrLst>
    <dgm:effectClrLst/>
    <dgm:txLinClrLst/>
    <dgm:txFillClrLst/>
    <dgm:txEffectClrLst/>
  </dgm:styleLbl>
  <dgm:styleLbl name="node3">
    <dgm:fillClrLst>
      <a:schemeClr val="accent4"/>
    </dgm:fillClrLst>
    <dgm:linClrLst meth="repeat">
      <a:schemeClr val="lt1"/>
    </dgm:linClrLst>
    <dgm:effectClrLst/>
    <dgm:txLinClrLst/>
    <dgm:txFillClrLst/>
    <dgm:txEffectClrLst/>
  </dgm:styleLbl>
  <dgm:styleLbl name="node4">
    <dgm:fillClrLst>
      <a:schemeClr val="accent5"/>
    </dgm:fillClrLst>
    <dgm:linClrLst meth="repeat">
      <a:schemeClr val="lt1"/>
    </dgm:linClrLst>
    <dgm:effectClrLst/>
    <dgm:txLinClrLst/>
    <dgm:txFillClrLst/>
    <dgm:txEffectClrLst/>
  </dgm:styleLbl>
  <dgm:styleLbl name="fgImgPlace1">
    <dgm:fillClrLst>
      <a:schemeClr val="accent2">
        <a:tint val="50000"/>
      </a:schemeClr>
      <a:schemeClr val="accent3">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2">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2">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2"/>
      <a:schemeClr val="accent3"/>
    </dgm:fillClrLst>
    <dgm:linClrLst meth="repeat">
      <a:schemeClr val="lt1"/>
    </dgm:linClrLst>
    <dgm:effectClrLst/>
    <dgm:txLinClrLst/>
    <dgm:txFillClrLst/>
    <dgm:txEffectClrLst/>
  </dgm:styleLbl>
  <dgm:styleLbl name="fgSibTrans2D1">
    <dgm:fillClrLst>
      <a:schemeClr val="accent2"/>
      <a:schemeClr val="accent3"/>
    </dgm:fillClrLst>
    <dgm:linClrLst meth="repeat">
      <a:schemeClr val="lt1"/>
    </dgm:linClrLst>
    <dgm:effectClrLst/>
    <dgm:txLinClrLst/>
    <dgm:txFillClrLst meth="repeat">
      <a:schemeClr val="lt1"/>
    </dgm:txFillClrLst>
    <dgm:txEffectClrLst/>
  </dgm:styleLbl>
  <dgm:styleLbl name="bgSibTrans2D1">
    <dgm:fillClrLst>
      <a:schemeClr val="accent2"/>
      <a:schemeClr val="accent3"/>
    </dgm:fillClrLst>
    <dgm:linClrLst meth="repeat">
      <a:schemeClr val="lt1"/>
    </dgm:linClrLst>
    <dgm:effectClrLst/>
    <dgm:txLinClrLst/>
    <dgm:txFillClrLst meth="repeat">
      <a:schemeClr val="lt1"/>
    </dgm:txFillClrLst>
    <dgm:txEffectClrLst/>
  </dgm:styleLbl>
  <dgm:styleLbl name="sibTrans1D1">
    <dgm:fillClrLst/>
    <dgm:linClrLst>
      <a:schemeClr val="accent2"/>
      <a:schemeClr val="accent3"/>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2"/>
    </dgm:fillClrLst>
    <dgm:linClrLst meth="repeat">
      <a:schemeClr val="lt1">
        <a:shade val="80000"/>
      </a:schemeClr>
    </dgm:linClrLst>
    <dgm:effectClrLst/>
    <dgm:txLinClrLst/>
    <dgm:txFillClrLst/>
    <dgm:txEffectClrLst/>
  </dgm:styleLbl>
  <dgm:styleLbl name="asst1">
    <dgm:fillClrLst meth="repeat">
      <a:schemeClr val="accent3"/>
    </dgm:fillClrLst>
    <dgm:linClrLst meth="repeat">
      <a:schemeClr val="lt1">
        <a:shade val="80000"/>
      </a:schemeClr>
    </dgm:linClrLst>
    <dgm:effectClrLst/>
    <dgm:txLinClrLst/>
    <dgm:txFillClrLst/>
    <dgm:txEffectClrLst/>
  </dgm:styleLbl>
  <dgm:styleLbl name="asst2">
    <dgm:fillClrLst>
      <a:schemeClr val="accent4"/>
    </dgm:fillClrLst>
    <dgm:linClrLst meth="repeat">
      <a:schemeClr val="lt1"/>
    </dgm:linClrLst>
    <dgm:effectClrLst/>
    <dgm:txLinClrLst/>
    <dgm:txFillClrLst/>
    <dgm:txEffectClrLst/>
  </dgm:styleLbl>
  <dgm:styleLbl name="asst3">
    <dgm:fillClrLst>
      <a:schemeClr val="accent5"/>
    </dgm:fillClrLst>
    <dgm:linClrLst meth="repeat">
      <a:schemeClr val="lt1"/>
    </dgm:linClrLst>
    <dgm:effectClrLst/>
    <dgm:txLinClrLst/>
    <dgm:txFillClrLst/>
    <dgm:txEffectClrLst/>
  </dgm:styleLbl>
  <dgm:styleLbl name="asst4">
    <dgm:fillClrLst>
      <a:schemeClr val="accent6"/>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2"/>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3"/>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4"/>
    </dgm:linClrLst>
    <dgm:effectClrLst/>
    <dgm:txLinClrLst/>
    <dgm:txFillClrLst meth="repeat">
      <a:schemeClr val="tx1"/>
    </dgm:txFillClrLst>
    <dgm:txEffectClrLst/>
  </dgm:styleLbl>
  <dgm:styleLbl name="parChTrans1D4">
    <dgm:fillClrLst meth="repeat">
      <a:schemeClr val="accent2">
        <a:tint val="50000"/>
      </a:schemeClr>
    </dgm:fillClrLst>
    <dgm:linClrLst meth="repeat">
      <a:schemeClr val="accent5"/>
    </dgm:linClrLst>
    <dgm:effectClrLst/>
    <dgm:txLinClrLst/>
    <dgm:txFillClrLst meth="repeat">
      <a:schemeClr val="tx1"/>
    </dgm:txFillClrLst>
    <dgm:txEffectClrLst/>
  </dgm:styleLbl>
  <dgm:styleLbl name="f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conF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align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solidFgAcc1">
    <dgm:fillClrLst meth="repeat">
      <a:schemeClr val="lt1"/>
    </dgm:fillClrLst>
    <dgm:linClrLst>
      <a:schemeClr val="accent2"/>
      <a:schemeClr val="accent3"/>
    </dgm:linClrLst>
    <dgm:effectClrLst/>
    <dgm:txLinClrLst/>
    <dgm:txFillClrLst meth="repeat">
      <a:schemeClr val="dk1"/>
    </dgm:txFillClrLst>
    <dgm:txEffectClrLst/>
  </dgm:styleLbl>
  <dgm:styleLbl name="solidAlignAcc1">
    <dgm:fillClrLst meth="repeat">
      <a:schemeClr val="lt1"/>
    </dgm:fillClrLst>
    <dgm:linClrLst>
      <a:schemeClr val="accent2"/>
      <a:schemeClr val="accent3"/>
    </dgm:linClrLst>
    <dgm:effectClrLst/>
    <dgm:txLinClrLst/>
    <dgm:txFillClrLst meth="repeat">
      <a:schemeClr val="dk1"/>
    </dgm:txFillClrLst>
    <dgm:txEffectClrLst/>
  </dgm:styleLbl>
  <dgm:styleLbl name="solidBgAcc1">
    <dgm:fillClrLst meth="repeat">
      <a:schemeClr val="lt1"/>
    </dgm:fillClrLst>
    <dgm:linClrLst>
      <a:schemeClr val="accent2"/>
      <a:schemeClr val="accent3"/>
    </dgm:linClrLst>
    <dgm:effectClrLst/>
    <dgm:txLinClrLst/>
    <dgm:txFillClrLst meth="repeat">
      <a:schemeClr val="dk1"/>
    </dgm:txFillClrLst>
    <dgm:txEffectClrLst/>
  </dgm:styleLbl>
  <dgm:styleLbl name="fg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align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bg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3"/>
    </dgm:linClrLst>
    <dgm:effectClrLst/>
    <dgm:txLinClrLst/>
    <dgm:txFillClrLst meth="repeat">
      <a:schemeClr val="dk1"/>
    </dgm:txFillClrLst>
    <dgm:txEffectClrLst/>
  </dgm:styleLbl>
  <dgm:styleLbl name="fgAcc3">
    <dgm:fillClrLst meth="repeat">
      <a:schemeClr val="lt1">
        <a:alpha val="90000"/>
      </a:schemeClr>
    </dgm:fillClrLst>
    <dgm:linClrLst>
      <a:schemeClr val="accent4"/>
    </dgm:linClrLst>
    <dgm:effectClrLst/>
    <dgm:txLinClrLst/>
    <dgm:txFillClrLst meth="repeat">
      <a:schemeClr val="dk1"/>
    </dgm:txFillClrLst>
    <dgm:txEffectClrLst/>
  </dgm:styleLbl>
  <dgm:styleLbl name="fgAcc4">
    <dgm:fillClrLst meth="repeat">
      <a:schemeClr val="lt1">
        <a:alpha val="90000"/>
      </a:schemeClr>
    </dgm:fillClrLst>
    <dgm:linClrLst>
      <a:schemeClr val="accent5"/>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28A6B602-8C36-45CC-8C92-A71383C8E4FA}" type="doc">
      <dgm:prSet loTypeId="urn:microsoft.com/office/officeart/2005/8/layout/radial1" loCatId="cycle" qsTypeId="urn:microsoft.com/office/officeart/2005/8/quickstyle/simple1" qsCatId="simple" csTypeId="urn:microsoft.com/office/officeart/2005/8/colors/colorful2" csCatId="colorful" phldr="1"/>
      <dgm:spPr/>
      <dgm:t>
        <a:bodyPr/>
        <a:lstStyle/>
        <a:p>
          <a:endParaRPr lang="en-US"/>
        </a:p>
      </dgm:t>
    </dgm:pt>
    <dgm:pt modelId="{9AFDC8C5-8B4C-43DC-AFE0-78831DA982EF}">
      <dgm:prSet phldrT="[Text]" custT="1"/>
      <dgm:spPr/>
      <dgm:t>
        <a:bodyPr/>
        <a:lstStyle/>
        <a:p>
          <a:r>
            <a:rPr lang="en-US" sz="1400"/>
            <a:t>Stock Take Fact</a:t>
          </a:r>
        </a:p>
        <a:p>
          <a:r>
            <a:rPr lang="en-US" sz="1050"/>
            <a:t>One row for each Stock Take event</a:t>
          </a:r>
          <a:endParaRPr lang="en-US" sz="600"/>
        </a:p>
      </dgm:t>
    </dgm:pt>
    <dgm:pt modelId="{B52BB7F1-FE52-4E60-A5AF-967F85D8F566}" type="parTrans" cxnId="{B99C0ADB-56A2-4138-BBCA-6FADA4D8A89E}">
      <dgm:prSet/>
      <dgm:spPr/>
      <dgm:t>
        <a:bodyPr/>
        <a:lstStyle/>
        <a:p>
          <a:endParaRPr lang="en-US"/>
        </a:p>
      </dgm:t>
    </dgm:pt>
    <dgm:pt modelId="{0EAF07FB-8B9C-41BB-B44C-CF1AEB95E856}" type="sibTrans" cxnId="{B99C0ADB-56A2-4138-BBCA-6FADA4D8A89E}">
      <dgm:prSet/>
      <dgm:spPr/>
      <dgm:t>
        <a:bodyPr/>
        <a:lstStyle/>
        <a:p>
          <a:endParaRPr lang="en-US"/>
        </a:p>
      </dgm:t>
    </dgm:pt>
    <dgm:pt modelId="{FF4F002C-5271-4E86-8862-7A7C1FE6E28C}">
      <dgm:prSet phldrT="[Text]"/>
      <dgm:spPr/>
      <dgm:t>
        <a:bodyPr/>
        <a:lstStyle/>
        <a:p>
          <a:r>
            <a:rPr lang="en-US"/>
            <a:t>Stock Take Date</a:t>
          </a:r>
        </a:p>
      </dgm:t>
    </dgm:pt>
    <dgm:pt modelId="{5DE29C13-8C1E-4859-A70A-1BD0FAB82546}" type="parTrans" cxnId="{384B9F20-ACC6-4533-B5A6-063C5290B623}">
      <dgm:prSet/>
      <dgm:spPr/>
      <dgm:t>
        <a:bodyPr/>
        <a:lstStyle/>
        <a:p>
          <a:endParaRPr lang="en-US"/>
        </a:p>
      </dgm:t>
    </dgm:pt>
    <dgm:pt modelId="{0A80D75E-04A5-40D1-91E9-EA6E229D2717}" type="sibTrans" cxnId="{384B9F20-ACC6-4533-B5A6-063C5290B623}">
      <dgm:prSet/>
      <dgm:spPr/>
      <dgm:t>
        <a:bodyPr/>
        <a:lstStyle/>
        <a:p>
          <a:endParaRPr lang="en-US"/>
        </a:p>
      </dgm:t>
    </dgm:pt>
    <dgm:pt modelId="{8E696A79-B4C1-4A9E-B9ED-6E26C4DE33D4}">
      <dgm:prSet phldrT="[Text]"/>
      <dgm:spPr/>
      <dgm:t>
        <a:bodyPr/>
        <a:lstStyle/>
        <a:p>
          <a:r>
            <a:rPr lang="en-US"/>
            <a:t>Material</a:t>
          </a:r>
        </a:p>
      </dgm:t>
    </dgm:pt>
    <dgm:pt modelId="{FA6CE803-DDF7-4D8E-9FC5-F36E3FE98468}" type="parTrans" cxnId="{44B0FAAF-F799-4D57-BD8B-F779D4D4E2C1}">
      <dgm:prSet/>
      <dgm:spPr/>
      <dgm:t>
        <a:bodyPr/>
        <a:lstStyle/>
        <a:p>
          <a:endParaRPr lang="en-US"/>
        </a:p>
      </dgm:t>
    </dgm:pt>
    <dgm:pt modelId="{AD95DC51-6D2F-4911-9134-071BD952BBB2}" type="sibTrans" cxnId="{44B0FAAF-F799-4D57-BD8B-F779D4D4E2C1}">
      <dgm:prSet/>
      <dgm:spPr/>
      <dgm:t>
        <a:bodyPr/>
        <a:lstStyle/>
        <a:p>
          <a:endParaRPr lang="en-US"/>
        </a:p>
      </dgm:t>
    </dgm:pt>
    <dgm:pt modelId="{570A7DF6-EF66-4E25-9615-1CCA4A661AD4}">
      <dgm:prSet phldrT="[Text]"/>
      <dgm:spPr/>
      <dgm:t>
        <a:bodyPr/>
        <a:lstStyle/>
        <a:p>
          <a:r>
            <a:rPr lang="en-US"/>
            <a:t>Stock Take Indicators</a:t>
          </a:r>
        </a:p>
      </dgm:t>
    </dgm:pt>
    <dgm:pt modelId="{EE0CB707-15D2-4ED7-94B8-5659EEE2CDA7}" type="parTrans" cxnId="{6823B152-5147-4FE2-8DAA-BD8821FAE323}">
      <dgm:prSet/>
      <dgm:spPr/>
      <dgm:t>
        <a:bodyPr/>
        <a:lstStyle/>
        <a:p>
          <a:endParaRPr lang="en-US"/>
        </a:p>
      </dgm:t>
    </dgm:pt>
    <dgm:pt modelId="{EB9598E4-B5D4-43A5-B999-220A800B32DE}" type="sibTrans" cxnId="{6823B152-5147-4FE2-8DAA-BD8821FAE323}">
      <dgm:prSet/>
      <dgm:spPr/>
      <dgm:t>
        <a:bodyPr/>
        <a:lstStyle/>
        <a:p>
          <a:endParaRPr lang="en-US"/>
        </a:p>
      </dgm:t>
    </dgm:pt>
    <dgm:pt modelId="{793BFB14-3A1D-45F4-B80B-0EEF30A18249}" type="pres">
      <dgm:prSet presAssocID="{28A6B602-8C36-45CC-8C92-A71383C8E4FA}" presName="cycle" presStyleCnt="0">
        <dgm:presLayoutVars>
          <dgm:chMax val="1"/>
          <dgm:dir/>
          <dgm:animLvl val="ctr"/>
          <dgm:resizeHandles val="exact"/>
        </dgm:presLayoutVars>
      </dgm:prSet>
      <dgm:spPr/>
    </dgm:pt>
    <dgm:pt modelId="{5C408A75-0536-488F-8741-C9E91368CE7D}" type="pres">
      <dgm:prSet presAssocID="{9AFDC8C5-8B4C-43DC-AFE0-78831DA982EF}" presName="centerShape" presStyleLbl="node0" presStyleIdx="0" presStyleCnt="1" custScaleX="149767" custScaleY="153620" custLinFactNeighborX="-6132" custLinFactNeighborY="21376"/>
      <dgm:spPr/>
    </dgm:pt>
    <dgm:pt modelId="{287CEFE1-7360-435C-A8FB-CA075DE2229F}" type="pres">
      <dgm:prSet presAssocID="{5DE29C13-8C1E-4859-A70A-1BD0FAB82546}" presName="Name9" presStyleLbl="parChTrans1D2" presStyleIdx="0" presStyleCnt="3"/>
      <dgm:spPr/>
    </dgm:pt>
    <dgm:pt modelId="{C4E75FD0-54F6-4543-8D3F-98D67FE211F7}" type="pres">
      <dgm:prSet presAssocID="{5DE29C13-8C1E-4859-A70A-1BD0FAB82546}" presName="connTx" presStyleLbl="parChTrans1D2" presStyleIdx="0" presStyleCnt="3"/>
      <dgm:spPr/>
    </dgm:pt>
    <dgm:pt modelId="{74FF58D3-521D-4A15-8AC9-BDD817EED8B3}" type="pres">
      <dgm:prSet presAssocID="{FF4F002C-5271-4E86-8862-7A7C1FE6E28C}" presName="node" presStyleLbl="node1" presStyleIdx="0" presStyleCnt="3" custRadScaleRad="102271" custRadScaleInc="-9657">
        <dgm:presLayoutVars>
          <dgm:bulletEnabled val="1"/>
        </dgm:presLayoutVars>
      </dgm:prSet>
      <dgm:spPr/>
    </dgm:pt>
    <dgm:pt modelId="{55A79E00-CBA6-4FCF-8AC3-C7F73BA8E5B3}" type="pres">
      <dgm:prSet presAssocID="{FA6CE803-DDF7-4D8E-9FC5-F36E3FE98468}" presName="Name9" presStyleLbl="parChTrans1D2" presStyleIdx="1" presStyleCnt="3"/>
      <dgm:spPr/>
    </dgm:pt>
    <dgm:pt modelId="{C8677DEB-1463-4ACC-9BBD-0CCB232A996B}" type="pres">
      <dgm:prSet presAssocID="{FA6CE803-DDF7-4D8E-9FC5-F36E3FE98468}" presName="connTx" presStyleLbl="parChTrans1D2" presStyleIdx="1" presStyleCnt="3"/>
      <dgm:spPr/>
    </dgm:pt>
    <dgm:pt modelId="{D004EAF4-7C07-4D36-9B34-03E9E2719FC6}" type="pres">
      <dgm:prSet presAssocID="{8E696A79-B4C1-4A9E-B9ED-6E26C4DE33D4}" presName="node" presStyleLbl="node1" presStyleIdx="1" presStyleCnt="3" custRadScaleRad="143404" custRadScaleInc="-101618">
        <dgm:presLayoutVars>
          <dgm:bulletEnabled val="1"/>
        </dgm:presLayoutVars>
      </dgm:prSet>
      <dgm:spPr/>
    </dgm:pt>
    <dgm:pt modelId="{0DC2554C-3078-403A-8CAF-5544F0925428}" type="pres">
      <dgm:prSet presAssocID="{EE0CB707-15D2-4ED7-94B8-5659EEE2CDA7}" presName="Name9" presStyleLbl="parChTrans1D2" presStyleIdx="2" presStyleCnt="3"/>
      <dgm:spPr/>
    </dgm:pt>
    <dgm:pt modelId="{DB909C9C-6B1D-486F-A376-917A4B40E645}" type="pres">
      <dgm:prSet presAssocID="{EE0CB707-15D2-4ED7-94B8-5659EEE2CDA7}" presName="connTx" presStyleLbl="parChTrans1D2" presStyleIdx="2" presStyleCnt="3"/>
      <dgm:spPr/>
    </dgm:pt>
    <dgm:pt modelId="{A84BA448-2E0D-4377-A379-B166014BB087}" type="pres">
      <dgm:prSet presAssocID="{570A7DF6-EF66-4E25-9615-1CCA4A661AD4}" presName="node" presStyleLbl="node1" presStyleIdx="2" presStyleCnt="3" custRadScaleRad="132106" custRadScaleInc="-221473">
        <dgm:presLayoutVars>
          <dgm:bulletEnabled val="1"/>
        </dgm:presLayoutVars>
      </dgm:prSet>
      <dgm:spPr/>
    </dgm:pt>
  </dgm:ptLst>
  <dgm:cxnLst>
    <dgm:cxn modelId="{C29E2320-A533-454A-8D32-5C95A6375541}" type="presOf" srcId="{EE0CB707-15D2-4ED7-94B8-5659EEE2CDA7}" destId="{DB909C9C-6B1D-486F-A376-917A4B40E645}" srcOrd="1" destOrd="0" presId="urn:microsoft.com/office/officeart/2005/8/layout/radial1"/>
    <dgm:cxn modelId="{384B9F20-ACC6-4533-B5A6-063C5290B623}" srcId="{9AFDC8C5-8B4C-43DC-AFE0-78831DA982EF}" destId="{FF4F002C-5271-4E86-8862-7A7C1FE6E28C}" srcOrd="0" destOrd="0" parTransId="{5DE29C13-8C1E-4859-A70A-1BD0FAB82546}" sibTransId="{0A80D75E-04A5-40D1-91E9-EA6E229D2717}"/>
    <dgm:cxn modelId="{0FFF4F43-731D-40F0-8BC7-92126409B695}" type="presOf" srcId="{EE0CB707-15D2-4ED7-94B8-5659EEE2CDA7}" destId="{0DC2554C-3078-403A-8CAF-5544F0925428}" srcOrd="0" destOrd="0" presId="urn:microsoft.com/office/officeart/2005/8/layout/radial1"/>
    <dgm:cxn modelId="{D2A7BA68-C56D-4AF3-8C2B-B97638749E8B}" type="presOf" srcId="{5DE29C13-8C1E-4859-A70A-1BD0FAB82546}" destId="{287CEFE1-7360-435C-A8FB-CA075DE2229F}" srcOrd="0" destOrd="0" presId="urn:microsoft.com/office/officeart/2005/8/layout/radial1"/>
    <dgm:cxn modelId="{AF3D904D-B8A4-4555-8088-8025F78FF364}" type="presOf" srcId="{8E696A79-B4C1-4A9E-B9ED-6E26C4DE33D4}" destId="{D004EAF4-7C07-4D36-9B34-03E9E2719FC6}" srcOrd="0" destOrd="0" presId="urn:microsoft.com/office/officeart/2005/8/layout/radial1"/>
    <dgm:cxn modelId="{6823B152-5147-4FE2-8DAA-BD8821FAE323}" srcId="{9AFDC8C5-8B4C-43DC-AFE0-78831DA982EF}" destId="{570A7DF6-EF66-4E25-9615-1CCA4A661AD4}" srcOrd="2" destOrd="0" parTransId="{EE0CB707-15D2-4ED7-94B8-5659EEE2CDA7}" sibTransId="{EB9598E4-B5D4-43A5-B999-220A800B32DE}"/>
    <dgm:cxn modelId="{63428354-1E31-4D8B-8E2F-7C888980441A}" type="presOf" srcId="{28A6B602-8C36-45CC-8C92-A71383C8E4FA}" destId="{793BFB14-3A1D-45F4-B80B-0EEF30A18249}" srcOrd="0" destOrd="0" presId="urn:microsoft.com/office/officeart/2005/8/layout/radial1"/>
    <dgm:cxn modelId="{6C5771AA-3D00-4580-8873-A70D8F9921F3}" type="presOf" srcId="{5DE29C13-8C1E-4859-A70A-1BD0FAB82546}" destId="{C4E75FD0-54F6-4543-8D3F-98D67FE211F7}" srcOrd="1" destOrd="0" presId="urn:microsoft.com/office/officeart/2005/8/layout/radial1"/>
    <dgm:cxn modelId="{93832CAF-95CE-4069-80D8-784CE8F77660}" type="presOf" srcId="{FA6CE803-DDF7-4D8E-9FC5-F36E3FE98468}" destId="{C8677DEB-1463-4ACC-9BBD-0CCB232A996B}" srcOrd="1" destOrd="0" presId="urn:microsoft.com/office/officeart/2005/8/layout/radial1"/>
    <dgm:cxn modelId="{44B0FAAF-F799-4D57-BD8B-F779D4D4E2C1}" srcId="{9AFDC8C5-8B4C-43DC-AFE0-78831DA982EF}" destId="{8E696A79-B4C1-4A9E-B9ED-6E26C4DE33D4}" srcOrd="1" destOrd="0" parTransId="{FA6CE803-DDF7-4D8E-9FC5-F36E3FE98468}" sibTransId="{AD95DC51-6D2F-4911-9134-071BD952BBB2}"/>
    <dgm:cxn modelId="{A86962B5-BECF-4141-98D3-85A7E45BA6E9}" type="presOf" srcId="{FA6CE803-DDF7-4D8E-9FC5-F36E3FE98468}" destId="{55A79E00-CBA6-4FCF-8AC3-C7F73BA8E5B3}" srcOrd="0" destOrd="0" presId="urn:microsoft.com/office/officeart/2005/8/layout/radial1"/>
    <dgm:cxn modelId="{EA61DCCF-1426-4EDD-B611-5F1C565F2801}" type="presOf" srcId="{FF4F002C-5271-4E86-8862-7A7C1FE6E28C}" destId="{74FF58D3-521D-4A15-8AC9-BDD817EED8B3}" srcOrd="0" destOrd="0" presId="urn:microsoft.com/office/officeart/2005/8/layout/radial1"/>
    <dgm:cxn modelId="{3ED4E5D8-8509-472A-B083-86F0BBFB1CE2}" type="presOf" srcId="{9AFDC8C5-8B4C-43DC-AFE0-78831DA982EF}" destId="{5C408A75-0536-488F-8741-C9E91368CE7D}" srcOrd="0" destOrd="0" presId="urn:microsoft.com/office/officeart/2005/8/layout/radial1"/>
    <dgm:cxn modelId="{B99C0ADB-56A2-4138-BBCA-6FADA4D8A89E}" srcId="{28A6B602-8C36-45CC-8C92-A71383C8E4FA}" destId="{9AFDC8C5-8B4C-43DC-AFE0-78831DA982EF}" srcOrd="0" destOrd="0" parTransId="{B52BB7F1-FE52-4E60-A5AF-967F85D8F566}" sibTransId="{0EAF07FB-8B9C-41BB-B44C-CF1AEB95E856}"/>
    <dgm:cxn modelId="{A13E48FB-F8A7-4BAA-A6FA-805328E35BBA}" type="presOf" srcId="{570A7DF6-EF66-4E25-9615-1CCA4A661AD4}" destId="{A84BA448-2E0D-4377-A379-B166014BB087}" srcOrd="0" destOrd="0" presId="urn:microsoft.com/office/officeart/2005/8/layout/radial1"/>
    <dgm:cxn modelId="{4896E1C8-948C-43E7-A06D-09E394ADB6DE}" type="presParOf" srcId="{793BFB14-3A1D-45F4-B80B-0EEF30A18249}" destId="{5C408A75-0536-488F-8741-C9E91368CE7D}" srcOrd="0" destOrd="0" presId="urn:microsoft.com/office/officeart/2005/8/layout/radial1"/>
    <dgm:cxn modelId="{56A43DC8-BC62-439E-83D4-8835DB15862F}" type="presParOf" srcId="{793BFB14-3A1D-45F4-B80B-0EEF30A18249}" destId="{287CEFE1-7360-435C-A8FB-CA075DE2229F}" srcOrd="1" destOrd="0" presId="urn:microsoft.com/office/officeart/2005/8/layout/radial1"/>
    <dgm:cxn modelId="{FDB5FAC6-66DE-4B72-8A1A-25ACE6D7615C}" type="presParOf" srcId="{287CEFE1-7360-435C-A8FB-CA075DE2229F}" destId="{C4E75FD0-54F6-4543-8D3F-98D67FE211F7}" srcOrd="0" destOrd="0" presId="urn:microsoft.com/office/officeart/2005/8/layout/radial1"/>
    <dgm:cxn modelId="{B8AC2699-03C2-46A0-8CB7-9F9A0FC26134}" type="presParOf" srcId="{793BFB14-3A1D-45F4-B80B-0EEF30A18249}" destId="{74FF58D3-521D-4A15-8AC9-BDD817EED8B3}" srcOrd="2" destOrd="0" presId="urn:microsoft.com/office/officeart/2005/8/layout/radial1"/>
    <dgm:cxn modelId="{CDCAFEB0-4201-4266-92F1-B7E7B4873C5A}" type="presParOf" srcId="{793BFB14-3A1D-45F4-B80B-0EEF30A18249}" destId="{55A79E00-CBA6-4FCF-8AC3-C7F73BA8E5B3}" srcOrd="3" destOrd="0" presId="urn:microsoft.com/office/officeart/2005/8/layout/radial1"/>
    <dgm:cxn modelId="{D45376B2-291D-4607-B7A3-95292E7A486C}" type="presParOf" srcId="{55A79E00-CBA6-4FCF-8AC3-C7F73BA8E5B3}" destId="{C8677DEB-1463-4ACC-9BBD-0CCB232A996B}" srcOrd="0" destOrd="0" presId="urn:microsoft.com/office/officeart/2005/8/layout/radial1"/>
    <dgm:cxn modelId="{98D2F348-9F79-4B81-AABF-5917E5E9C3A0}" type="presParOf" srcId="{793BFB14-3A1D-45F4-B80B-0EEF30A18249}" destId="{D004EAF4-7C07-4D36-9B34-03E9E2719FC6}" srcOrd="4" destOrd="0" presId="urn:microsoft.com/office/officeart/2005/8/layout/radial1"/>
    <dgm:cxn modelId="{3479156F-01C5-416F-9AFB-0F98DCBD7F37}" type="presParOf" srcId="{793BFB14-3A1D-45F4-B80B-0EEF30A18249}" destId="{0DC2554C-3078-403A-8CAF-5544F0925428}" srcOrd="5" destOrd="0" presId="urn:microsoft.com/office/officeart/2005/8/layout/radial1"/>
    <dgm:cxn modelId="{FACCFF84-3863-45D7-8164-228A4B57C414}" type="presParOf" srcId="{0DC2554C-3078-403A-8CAF-5544F0925428}" destId="{DB909C9C-6B1D-486F-A376-917A4B40E645}" srcOrd="0" destOrd="0" presId="urn:microsoft.com/office/officeart/2005/8/layout/radial1"/>
    <dgm:cxn modelId="{D219783C-4C9C-4EC9-ACE0-E4A8C1377DF1}" type="presParOf" srcId="{793BFB14-3A1D-45F4-B80B-0EEF30A18249}" destId="{A84BA448-2E0D-4377-A379-B166014BB087}" srcOrd="6" destOrd="0" presId="urn:microsoft.com/office/officeart/2005/8/layout/radial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C408A75-0536-488F-8741-C9E91368CE7D}">
      <dsp:nvSpPr>
        <dsp:cNvPr id="0" name=""/>
        <dsp:cNvSpPr/>
      </dsp:nvSpPr>
      <dsp:spPr>
        <a:xfrm>
          <a:off x="1252365" y="1275288"/>
          <a:ext cx="1327090" cy="1361231"/>
        </a:xfrm>
        <a:prstGeom prst="ellipse">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en-US" sz="1400" kern="1200"/>
            <a:t>Stock Take Fact</a:t>
          </a:r>
        </a:p>
        <a:p>
          <a:pPr marL="0" lvl="0" indent="0" algn="ctr" defTabSz="622300">
            <a:lnSpc>
              <a:spcPct val="90000"/>
            </a:lnSpc>
            <a:spcBef>
              <a:spcPct val="0"/>
            </a:spcBef>
            <a:spcAft>
              <a:spcPct val="35000"/>
            </a:spcAft>
            <a:buNone/>
          </a:pPr>
          <a:r>
            <a:rPr lang="en-US" sz="1050" kern="1200"/>
            <a:t>One row for each Stock Take event</a:t>
          </a:r>
          <a:endParaRPr lang="en-US" sz="600" kern="1200"/>
        </a:p>
      </dsp:txBody>
      <dsp:txXfrm>
        <a:off x="1446713" y="1474636"/>
        <a:ext cx="938394" cy="962535"/>
      </dsp:txXfrm>
    </dsp:sp>
    <dsp:sp modelId="{287CEFE1-7360-435C-A8FB-CA075DE2229F}">
      <dsp:nvSpPr>
        <dsp:cNvPr id="0" name=""/>
        <dsp:cNvSpPr/>
      </dsp:nvSpPr>
      <dsp:spPr>
        <a:xfrm rot="16250834">
          <a:off x="1734175" y="1061329"/>
          <a:ext cx="389354" cy="38762"/>
        </a:xfrm>
        <a:custGeom>
          <a:avLst/>
          <a:gdLst/>
          <a:ahLst/>
          <a:cxnLst/>
          <a:rect l="0" t="0" r="0" b="0"/>
          <a:pathLst>
            <a:path>
              <a:moveTo>
                <a:pt x="0" y="19381"/>
              </a:moveTo>
              <a:lnTo>
                <a:pt x="389354" y="19381"/>
              </a:lnTo>
            </a:path>
          </a:pathLst>
        </a:custGeom>
        <a:noFill/>
        <a:ln w="12700" cap="flat" cmpd="sng" algn="ctr">
          <a:solidFill>
            <a:schemeClr val="accent3">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1919119" y="1070976"/>
        <a:ext cx="19467" cy="19467"/>
      </dsp:txXfrm>
    </dsp:sp>
    <dsp:sp modelId="{74FF58D3-521D-4A15-8AC9-BDD817EED8B3}">
      <dsp:nvSpPr>
        <dsp:cNvPr id="0" name=""/>
        <dsp:cNvSpPr/>
      </dsp:nvSpPr>
      <dsp:spPr>
        <a:xfrm>
          <a:off x="1495231" y="0"/>
          <a:ext cx="886103" cy="886103"/>
        </a:xfrm>
        <a:prstGeom prst="ellipse">
          <a:avLst/>
        </a:prstGeom>
        <a:solidFill>
          <a:schemeClr val="accent2">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620" tIns="7620" rIns="7620" bIns="7620" numCol="1" spcCol="1270" anchor="ctr" anchorCtr="0">
          <a:noAutofit/>
        </a:bodyPr>
        <a:lstStyle/>
        <a:p>
          <a:pPr marL="0" lvl="0" indent="0" algn="ctr" defTabSz="533400">
            <a:lnSpc>
              <a:spcPct val="90000"/>
            </a:lnSpc>
            <a:spcBef>
              <a:spcPct val="0"/>
            </a:spcBef>
            <a:spcAft>
              <a:spcPct val="35000"/>
            </a:spcAft>
            <a:buNone/>
          </a:pPr>
          <a:r>
            <a:rPr lang="en-US" sz="1200" kern="1200"/>
            <a:t>Stock Take Date</a:t>
          </a:r>
        </a:p>
      </dsp:txBody>
      <dsp:txXfrm>
        <a:off x="1624998" y="129767"/>
        <a:ext cx="626569" cy="626569"/>
      </dsp:txXfrm>
    </dsp:sp>
    <dsp:sp modelId="{55A79E00-CBA6-4FCF-8AC3-C7F73BA8E5B3}">
      <dsp:nvSpPr>
        <dsp:cNvPr id="0" name=""/>
        <dsp:cNvSpPr/>
      </dsp:nvSpPr>
      <dsp:spPr>
        <a:xfrm rot="19345119">
          <a:off x="2357883" y="1267094"/>
          <a:ext cx="855766" cy="38762"/>
        </a:xfrm>
        <a:custGeom>
          <a:avLst/>
          <a:gdLst/>
          <a:ahLst/>
          <a:cxnLst/>
          <a:rect l="0" t="0" r="0" b="0"/>
          <a:pathLst>
            <a:path>
              <a:moveTo>
                <a:pt x="0" y="19381"/>
              </a:moveTo>
              <a:lnTo>
                <a:pt x="855766" y="19381"/>
              </a:lnTo>
            </a:path>
          </a:pathLst>
        </a:custGeom>
        <a:noFill/>
        <a:ln w="12700" cap="flat" cmpd="sng" algn="ctr">
          <a:solidFill>
            <a:schemeClr val="accent3">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2764372" y="1265081"/>
        <a:ext cx="42788" cy="42788"/>
      </dsp:txXfrm>
    </dsp:sp>
    <dsp:sp modelId="{D004EAF4-7C07-4D36-9B34-03E9E2719FC6}">
      <dsp:nvSpPr>
        <dsp:cNvPr id="0" name=""/>
        <dsp:cNvSpPr/>
      </dsp:nvSpPr>
      <dsp:spPr>
        <a:xfrm>
          <a:off x="3032921" y="312251"/>
          <a:ext cx="886103" cy="886103"/>
        </a:xfrm>
        <a:prstGeom prst="ellipse">
          <a:avLst/>
        </a:prstGeom>
        <a:solidFill>
          <a:schemeClr val="accent2">
            <a:hueOff val="-727682"/>
            <a:satOff val="-41964"/>
            <a:lumOff val="4314"/>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620" tIns="7620" rIns="7620" bIns="7620" numCol="1" spcCol="1270" anchor="ctr" anchorCtr="0">
          <a:noAutofit/>
        </a:bodyPr>
        <a:lstStyle/>
        <a:p>
          <a:pPr marL="0" lvl="0" indent="0" algn="ctr" defTabSz="533400">
            <a:lnSpc>
              <a:spcPct val="90000"/>
            </a:lnSpc>
            <a:spcBef>
              <a:spcPct val="0"/>
            </a:spcBef>
            <a:spcAft>
              <a:spcPct val="35000"/>
            </a:spcAft>
            <a:buNone/>
          </a:pPr>
          <a:r>
            <a:rPr lang="en-US" sz="1200" kern="1200"/>
            <a:t>Material</a:t>
          </a:r>
        </a:p>
      </dsp:txBody>
      <dsp:txXfrm>
        <a:off x="3162688" y="442018"/>
        <a:ext cx="626569" cy="626569"/>
      </dsp:txXfrm>
    </dsp:sp>
    <dsp:sp modelId="{0DC2554C-3078-403A-8CAF-5544F0925428}">
      <dsp:nvSpPr>
        <dsp:cNvPr id="0" name=""/>
        <dsp:cNvSpPr/>
      </dsp:nvSpPr>
      <dsp:spPr>
        <a:xfrm rot="213421">
          <a:off x="2577764" y="1993034"/>
          <a:ext cx="494514" cy="38762"/>
        </a:xfrm>
        <a:custGeom>
          <a:avLst/>
          <a:gdLst/>
          <a:ahLst/>
          <a:cxnLst/>
          <a:rect l="0" t="0" r="0" b="0"/>
          <a:pathLst>
            <a:path>
              <a:moveTo>
                <a:pt x="0" y="19381"/>
              </a:moveTo>
              <a:lnTo>
                <a:pt x="494514" y="19381"/>
              </a:lnTo>
            </a:path>
          </a:pathLst>
        </a:custGeom>
        <a:noFill/>
        <a:ln w="12700" cap="flat" cmpd="sng" algn="ctr">
          <a:solidFill>
            <a:schemeClr val="accent3">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2812658" y="2000053"/>
        <a:ext cx="24725" cy="24725"/>
      </dsp:txXfrm>
    </dsp:sp>
    <dsp:sp modelId="{A84BA448-2E0D-4377-A379-B166014BB087}">
      <dsp:nvSpPr>
        <dsp:cNvPr id="0" name=""/>
        <dsp:cNvSpPr/>
      </dsp:nvSpPr>
      <dsp:spPr>
        <a:xfrm>
          <a:off x="3070949" y="1612192"/>
          <a:ext cx="886103" cy="886103"/>
        </a:xfrm>
        <a:prstGeom prst="ellipse">
          <a:avLst/>
        </a:prstGeom>
        <a:solidFill>
          <a:schemeClr val="accent2">
            <a:hueOff val="-1455363"/>
            <a:satOff val="-83928"/>
            <a:lumOff val="8628"/>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620" tIns="7620" rIns="7620" bIns="7620" numCol="1" spcCol="1270" anchor="ctr" anchorCtr="0">
          <a:noAutofit/>
        </a:bodyPr>
        <a:lstStyle/>
        <a:p>
          <a:pPr marL="0" lvl="0" indent="0" algn="ctr" defTabSz="533400">
            <a:lnSpc>
              <a:spcPct val="90000"/>
            </a:lnSpc>
            <a:spcBef>
              <a:spcPct val="0"/>
            </a:spcBef>
            <a:spcAft>
              <a:spcPct val="35000"/>
            </a:spcAft>
            <a:buNone/>
          </a:pPr>
          <a:r>
            <a:rPr lang="en-US" sz="1200" kern="1200"/>
            <a:t>Stock Take Indicators</a:t>
          </a:r>
        </a:p>
      </dsp:txBody>
      <dsp:txXfrm>
        <a:off x="3200716" y="1741959"/>
        <a:ext cx="626569" cy="626569"/>
      </dsp:txXfrm>
    </dsp:sp>
  </dsp:spTree>
</dsp:drawing>
</file>

<file path=xl/diagrams/layout1.xml><?xml version="1.0" encoding="utf-8"?>
<dgm:layoutDef xmlns:dgm="http://schemas.openxmlformats.org/drawingml/2006/diagram" xmlns:a="http://schemas.openxmlformats.org/drawingml/2006/main" uniqueId="urn:microsoft.com/office/officeart/2005/8/layout/radial1">
  <dgm:title val=""/>
  <dgm:desc val=""/>
  <dgm:catLst>
    <dgm:cat type="relationship" pri="22000"/>
    <dgm:cat type="cycle" pri="10000"/>
  </dgm:catLst>
  <dgm:sampData>
    <dgm:dataModel>
      <dgm:ptLst>
        <dgm:pt modelId="0" type="doc"/>
        <dgm:pt modelId="1">
          <dgm:prSet phldr="1"/>
        </dgm:pt>
        <dgm:pt modelId="11">
          <dgm:prSet phldr="1"/>
        </dgm:pt>
        <dgm:pt modelId="12">
          <dgm:prSet phldr="1"/>
        </dgm:pt>
        <dgm:pt modelId="13">
          <dgm:prSet phldr="1"/>
        </dgm:pt>
        <dgm:pt modelId="14">
          <dgm:prSet phldr="1"/>
        </dgm:pt>
      </dgm:ptLst>
      <dgm:cxnLst>
        <dgm:cxn modelId="2" srcId="0" destId="1" srcOrd="0" destOrd="0"/>
        <dgm:cxn modelId="3" srcId="1" destId="11" srcOrd="0" destOrd="0"/>
        <dgm:cxn modelId="4" srcId="1" destId="12" srcOrd="1" destOrd="0"/>
        <dgm:cxn modelId="5" srcId="1" destId="13" srcOrd="2" destOrd="0"/>
        <dgm:cxn modelId="6" srcId="1" destId="14" srcOrd="3" destOrd="0"/>
      </dgm:cxnLst>
      <dgm:bg/>
      <dgm:whole/>
    </dgm:dataModel>
  </dgm:sampData>
  <dgm:styleData>
    <dgm:dataModel>
      <dgm:ptLst>
        <dgm:pt modelId="0" type="doc"/>
        <dgm:pt modelId="1"/>
        <dgm:pt modelId="11"/>
        <dgm:pt modelId="12"/>
        <dgm:pt modelId="13"/>
      </dgm:ptLst>
      <dgm:cxnLst>
        <dgm:cxn modelId="2" srcId="0" destId="1" srcOrd="0" destOrd="0"/>
        <dgm:cxn modelId="15" srcId="1" destId="11" srcOrd="0" destOrd="0"/>
        <dgm:cxn modelId="16" srcId="1" destId="12" srcOrd="1" destOrd="0"/>
        <dgm:cxn modelId="17" srcId="1" destId="13" srcOrd="2" destOrd="0"/>
      </dgm:cxnLst>
      <dgm:bg/>
      <dgm:whole/>
    </dgm:dataModel>
  </dgm:styleData>
  <dgm:clrData>
    <dgm:dataModel>
      <dgm:ptLst>
        <dgm:pt modelId="0" type="doc"/>
        <dgm:pt modelId="1"/>
        <dgm:pt modelId="11"/>
        <dgm:pt modelId="12"/>
        <dgm:pt modelId="13"/>
        <dgm:pt modelId="14"/>
        <dgm:pt modelId="15"/>
        <dgm:pt modelId="16"/>
      </dgm:ptLst>
      <dgm:cxnLst>
        <dgm:cxn modelId="2" srcId="0" destId="1" srcOrd="0" destOrd="0"/>
        <dgm:cxn modelId="16" srcId="1" destId="11" srcOrd="0" destOrd="0"/>
        <dgm:cxn modelId="17" srcId="1" destId="12" srcOrd="1" destOrd="0"/>
        <dgm:cxn modelId="18" srcId="1" destId="13" srcOrd="2" destOrd="0"/>
        <dgm:cxn modelId="19" srcId="1" destId="14" srcOrd="3" destOrd="0"/>
        <dgm:cxn modelId="20" srcId="1" destId="15" srcOrd="4" destOrd="0"/>
        <dgm:cxn modelId="21" srcId="1" destId="16" srcOrd="5" destOrd="0"/>
      </dgm:cxnLst>
      <dgm:bg/>
      <dgm:whole/>
    </dgm:dataModel>
  </dgm:clrData>
  <dgm:layoutNode name="cycle">
    <dgm:varLst>
      <dgm:chMax val="1"/>
      <dgm:dir/>
      <dgm:animLvl val="ctr"/>
      <dgm:resizeHandles val="exact"/>
    </dgm:varLst>
    <dgm:choose name="Name0">
      <dgm:if name="Name1" func="var" arg="dir" op="equ" val="norm">
        <dgm:choose name="Name2">
          <dgm:if name="Name3" axis="ch ch" ptType="node node" st="1 1" cnt="1 0" func="cnt" op="lte" val="1">
            <dgm:alg type="cycle">
              <dgm:param type="stAng" val="90"/>
              <dgm:param type="spanAng" val="360"/>
              <dgm:param type="ctrShpMap" val="fNode"/>
            </dgm:alg>
          </dgm:if>
          <dgm:else name="Name4">
            <dgm:alg type="cycle">
              <dgm:param type="stAng" val="0"/>
              <dgm:param type="spanAng" val="360"/>
              <dgm:param type="ctrShpMap" val="fNode"/>
            </dgm:alg>
          </dgm:else>
        </dgm:choose>
      </dgm:if>
      <dgm:else name="Name5">
        <dgm:alg type="cycle">
          <dgm:param type="stAng" val="0"/>
          <dgm:param type="spanAng" val="-360"/>
          <dgm:param type="ctrShpMap" val="fNode"/>
        </dgm:alg>
      </dgm:else>
    </dgm:choose>
    <dgm:shape xmlns:r="http://schemas.openxmlformats.org/officeDocument/2006/relationships" r:blip="">
      <dgm:adjLst/>
    </dgm:shape>
    <dgm:presOf/>
    <dgm:constrLst>
      <dgm:constr type="w" for="ch" forName="centerShape" refType="w"/>
      <dgm:constr type="w" for="ch" forName="node" refType="w" refFor="ch" refForName="centerShape" op="equ"/>
      <dgm:constr type="sp" refType="w" refFor="ch" refForName="node" fact="0.3"/>
      <dgm:constr type="sibSp" refType="w" refFor="ch" refForName="node" fact="0.3"/>
      <dgm:constr type="primFontSz" for="ch" forName="centerShape" val="65"/>
      <dgm:constr type="primFontSz" for="des" forName="node" op="equ" val="65"/>
      <dgm:constr type="primFontSz" for="des" forName="connTx" val="55"/>
      <dgm:constr type="primFontSz" for="des" forName="connTx" refType="primFontSz" refFor="ch" refForName="centerShape" op="lte" fact="0.8"/>
    </dgm:constrLst>
    <dgm:ruleLst/>
    <dgm:forEach name="Name6" axis="ch" ptType="node" cnt="1">
      <dgm:layoutNode name="centerShape" styleLbl="node0">
        <dgm:alg type="tx"/>
        <dgm:shape xmlns:r="http://schemas.openxmlformats.org/officeDocument/2006/relationships" type="ellipse" r:blip="">
          <dgm:adjLst/>
        </dgm:shape>
        <dgm:presOf axis="self"/>
        <dgm:constrLst>
          <dgm:constr type="h" refType="w"/>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forEach name="Name7" axis="ch">
        <dgm:forEach name="Name8" axis="self" ptType="parTrans">
          <dgm:layoutNode name="Name9">
            <dgm:alg type="conn">
              <dgm:param type="dim" val="1D"/>
              <dgm:param type="begPts" val="auto"/>
              <dgm:param type="endPts" val="auto"/>
              <dgm:param type="begSty" val="noArr"/>
              <dgm:param type="endSty" val="noArr"/>
            </dgm:alg>
            <dgm:shape xmlns:r="http://schemas.openxmlformats.org/officeDocument/2006/relationships" type="conn" r:blip="">
              <dgm:adjLst/>
            </dgm:shape>
            <dgm:presOf axis="self"/>
            <dgm:constrLst>
              <dgm:constr type="connDist"/>
              <dgm:constr type="userA" for="ch" refType="connDist"/>
              <dgm:constr type="w" val="1"/>
              <dgm:constr type="h" val="5"/>
              <dgm:constr type="begPad"/>
              <dgm:constr type="endPad"/>
            </dgm:constrLst>
            <dgm:rule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w" val="NaN" fact="0.8" max="NaN"/>
                <dgm:rule type="h" val="NaN" fact="1" max="NaN"/>
                <dgm:rule type="primFontSz" val="5" fact="NaN" max="NaN"/>
              </dgm:ruleLst>
            </dgm:layoutNode>
          </dgm:layoutNode>
        </dgm:forEach>
        <dgm:forEach name="Name10" axis="self" ptType="node">
          <dgm:layoutNode name="node" styleLbl="node1">
            <dgm:varLst>
              <dgm:bulletEnabled val="1"/>
            </dgm:varLst>
            <dgm:alg type="tx">
              <dgm:param type="txAnchorVertCh" val="mid"/>
            </dgm:alg>
            <dgm:shape xmlns:r="http://schemas.openxmlformats.org/officeDocument/2006/relationships" type="ellipse" r:blip="">
              <dgm:adjLst/>
            </dgm:shape>
            <dgm:presOf axis="desOrSelf" ptType="node"/>
            <dgm:constrLst>
              <dgm:constr type="h" refType="w"/>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forEach>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1</xdr:col>
      <xdr:colOff>371475</xdr:colOff>
      <xdr:row>6</xdr:row>
      <xdr:rowOff>57150</xdr:rowOff>
    </xdr:from>
    <xdr:to>
      <xdr:col>4</xdr:col>
      <xdr:colOff>1704975</xdr:colOff>
      <xdr:row>19</xdr:row>
      <xdr:rowOff>133350</xdr:rowOff>
    </xdr:to>
    <xdr:graphicFrame macro="">
      <xdr:nvGraphicFramePr>
        <xdr:cNvPr id="4" name="Diagram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10974318/odrive/Google%20Drive%2010974318/ITRI611/Project/MIS%20Dimensional%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s Matrix"/>
      <sheetName val="Organisational Structuring"/>
      <sheetName val="Cesm Assignment"/>
      <sheetName val="Academic Presentation"/>
      <sheetName val="Student Registrations"/>
      <sheetName val="Student Results"/>
      <sheetName val="Student Records"/>
      <sheetName val="School Records"/>
      <sheetName val="Cohort Student Qual Prog"/>
      <sheetName val="Cohort Student Qual"/>
      <sheetName val="Cohort Student"/>
      <sheetName val="Module Cesm Assignment"/>
      <sheetName val="Module Presentation"/>
      <sheetName val="Curriculum Level Structuring"/>
      <sheetName val="Curriculum Structuring"/>
      <sheetName val="Student Learning"/>
      <sheetName val="Student Enrolment Summary"/>
      <sheetName val="Student FTE Enrolment Summary"/>
      <sheetName val="Post Doc Summary"/>
      <sheetName val="Employee_NRF_Summary"/>
      <sheetName val="Employee HEMIS Summary"/>
      <sheetName val="Research Output Summary"/>
      <sheetName val="Employee Assignment"/>
      <sheetName val="Employee HEMIS"/>
      <sheetName val="Employee Timesheet"/>
      <sheetName val="Employee_NRF_Rating"/>
      <sheetName val="Research_Publication_Unit"/>
      <sheetName val="Calendar Day"/>
      <sheetName val="CD Cube"/>
      <sheetName val="Calendar Day Data"/>
      <sheetName val="Calendar Month"/>
      <sheetName val="CM Cube"/>
      <sheetName val="Calendar Year"/>
      <sheetName val="CY Cube"/>
      <sheetName val="Organisational Unit"/>
      <sheetName val="OU Cube"/>
      <sheetName val="Curriculum Level"/>
      <sheetName val="CL Cube"/>
      <sheetName val="Presentation Category"/>
      <sheetName val="PC Cube"/>
      <sheetName val="Residence"/>
      <sheetName val="Academic Result"/>
      <sheetName val="AR Cube"/>
      <sheetName val="Person"/>
      <sheetName val="P Cube"/>
      <sheetName val="Registration Describer"/>
      <sheetName val="RD Cube"/>
      <sheetName val="Biographic Category"/>
      <sheetName val="BC Cube"/>
      <sheetName val="Geographic Region"/>
      <sheetName val="GR Cube"/>
      <sheetName val="Cesm"/>
      <sheetName val="Cesm Cube"/>
      <sheetName val="Cesm data"/>
      <sheetName val="Status"/>
      <sheetName val="S Cube"/>
      <sheetName val="Fact Report Set"/>
      <sheetName val="FRS Cube"/>
      <sheetName val="Module"/>
      <sheetName val="Module_Cube"/>
      <sheetName val="Academic Period"/>
      <sheetName val="AP Cube"/>
      <sheetName val="Language"/>
      <sheetName val="Language Cube"/>
      <sheetName val="Selection Option"/>
      <sheetName val="SO Cube"/>
      <sheetName val="Module Result"/>
      <sheetName val="MR Cube"/>
      <sheetName val="Hierarchy Descriptor"/>
      <sheetName val="HD Cube"/>
      <sheetName val="ELG Cube"/>
      <sheetName val="Position"/>
      <sheetName val="Pos Cube"/>
      <sheetName val="Position_Category"/>
      <sheetName val="PosCat Cube"/>
      <sheetName val="Employment Grade"/>
      <sheetName val="EG Cube"/>
      <sheetName val="Assignment Descriptor"/>
      <sheetName val="AD Cube"/>
      <sheetName val="Appointment Descriptor"/>
      <sheetName val="AppD Cube"/>
      <sheetName val="Education Level Group"/>
      <sheetName val="Hemis Qualification Type"/>
      <sheetName val="Qual Type ranks"/>
      <sheetName val="HQT Cube"/>
      <sheetName val="Assignment Contract_Descriptor"/>
      <sheetName val="ACD Cube"/>
      <sheetName val="IP Enrolment Planned"/>
      <sheetName val="IP Enrolment Actuals"/>
      <sheetName val="IP FTE Projected"/>
      <sheetName val="IP FTE Actuals"/>
      <sheetName val="IP Organisational Unit"/>
      <sheetName val="IP Curriculum Level"/>
      <sheetName val="IP Programme Level"/>
      <sheetName val="IP Module Education Level"/>
      <sheetName val="IP CESM Grouping"/>
      <sheetName val="IP Cycle Year"/>
      <sheetName val="IPCY Cube"/>
      <sheetName val="IP Cycle Year Data"/>
      <sheetName val="NRF Rating Category"/>
      <sheetName val="NRF Rating Cat Cube"/>
      <sheetName val="NRF Rating Summary"/>
      <sheetName val="Publication"/>
      <sheetName val="Publication Cube"/>
      <sheetName val="Research Output Type"/>
      <sheetName val="ROT Cube"/>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28"/>
  <sheetViews>
    <sheetView tabSelected="1" workbookViewId="0"/>
  </sheetViews>
  <sheetFormatPr defaultRowHeight="14.4" x14ac:dyDescent="0.3"/>
  <cols>
    <col min="1" max="1" width="1.88671875" customWidth="1"/>
    <col min="2" max="2" width="19.6640625" bestFit="1" customWidth="1"/>
    <col min="3" max="3" width="30.44140625" bestFit="1" customWidth="1"/>
    <col min="4" max="4" width="12.6640625" bestFit="1" customWidth="1"/>
  </cols>
  <sheetData>
    <row r="1" spans="2:4" x14ac:dyDescent="0.3">
      <c r="B1" s="1" t="s">
        <v>160</v>
      </c>
    </row>
    <row r="2" spans="2:4" x14ac:dyDescent="0.3">
      <c r="B2" s="1" t="s">
        <v>82</v>
      </c>
    </row>
    <row r="3" spans="2:4" x14ac:dyDescent="0.3">
      <c r="B3" s="1"/>
    </row>
    <row r="4" spans="2:4" x14ac:dyDescent="0.3">
      <c r="B4" s="1" t="s">
        <v>555</v>
      </c>
      <c r="C4" s="27" t="s">
        <v>83</v>
      </c>
    </row>
    <row r="5" spans="2:4" x14ac:dyDescent="0.3">
      <c r="C5" s="1" t="s">
        <v>43</v>
      </c>
      <c r="D5" s="1" t="s">
        <v>120</v>
      </c>
    </row>
    <row r="6" spans="2:4" x14ac:dyDescent="0.3">
      <c r="C6" s="1" t="s">
        <v>122</v>
      </c>
    </row>
    <row r="7" spans="2:4" x14ac:dyDescent="0.3">
      <c r="C7" s="1" t="s">
        <v>400</v>
      </c>
    </row>
    <row r="9" spans="2:4" x14ac:dyDescent="0.3">
      <c r="C9" s="27" t="s">
        <v>40</v>
      </c>
    </row>
    <row r="10" spans="2:4" x14ac:dyDescent="0.3">
      <c r="C10" s="56" t="s">
        <v>127</v>
      </c>
    </row>
    <row r="11" spans="2:4" x14ac:dyDescent="0.3">
      <c r="C11" s="56"/>
    </row>
    <row r="12" spans="2:4" x14ac:dyDescent="0.3">
      <c r="B12" s="1" t="s">
        <v>0</v>
      </c>
      <c r="C12" s="5" t="s">
        <v>270</v>
      </c>
    </row>
    <row r="13" spans="2:4" x14ac:dyDescent="0.3">
      <c r="C13" s="1" t="s">
        <v>621</v>
      </c>
    </row>
    <row r="14" spans="2:4" x14ac:dyDescent="0.3">
      <c r="C14" s="1" t="s">
        <v>665</v>
      </c>
    </row>
    <row r="15" spans="2:4" x14ac:dyDescent="0.3">
      <c r="C15" s="1" t="s">
        <v>678</v>
      </c>
    </row>
    <row r="16" spans="2:4" x14ac:dyDescent="0.3">
      <c r="C16" s="1"/>
    </row>
    <row r="17" spans="2:3" x14ac:dyDescent="0.3">
      <c r="B17" s="1" t="s">
        <v>261</v>
      </c>
      <c r="C17" t="s">
        <v>475</v>
      </c>
    </row>
    <row r="18" spans="2:3" x14ac:dyDescent="0.3">
      <c r="C18" s="1" t="s">
        <v>271</v>
      </c>
    </row>
    <row r="19" spans="2:3" x14ac:dyDescent="0.3">
      <c r="C19" s="1" t="s">
        <v>622</v>
      </c>
    </row>
    <row r="20" spans="2:3" x14ac:dyDescent="0.3">
      <c r="C20" s="1" t="s">
        <v>664</v>
      </c>
    </row>
    <row r="21" spans="2:3" x14ac:dyDescent="0.3">
      <c r="C21" s="1" t="s">
        <v>677</v>
      </c>
    </row>
    <row r="22" spans="2:3" x14ac:dyDescent="0.3">
      <c r="C22" s="1"/>
    </row>
    <row r="23" spans="2:3" x14ac:dyDescent="0.3">
      <c r="B23" s="1" t="s">
        <v>477</v>
      </c>
      <c r="C23" t="s">
        <v>475</v>
      </c>
    </row>
    <row r="24" spans="2:3" x14ac:dyDescent="0.3">
      <c r="C24" s="1" t="s">
        <v>493</v>
      </c>
    </row>
    <row r="25" spans="2:3" x14ac:dyDescent="0.3">
      <c r="C25" s="1" t="s">
        <v>494</v>
      </c>
    </row>
    <row r="26" spans="2:3" x14ac:dyDescent="0.3">
      <c r="C26" s="1" t="s">
        <v>516</v>
      </c>
    </row>
    <row r="27" spans="2:3" x14ac:dyDescent="0.3">
      <c r="C27" s="1"/>
    </row>
    <row r="28" spans="2:3" x14ac:dyDescent="0.3">
      <c r="B28" s="1" t="s">
        <v>604</v>
      </c>
    </row>
  </sheetData>
  <hyperlinks>
    <hyperlink ref="B12" location="'Source Files'!A1" display="Source Files" xr:uid="{00000000-0004-0000-0000-000000000000}"/>
    <hyperlink ref="B17" location="Stage1!A1" display="Stage1" xr:uid="{00000000-0004-0000-0000-000001000000}"/>
    <hyperlink ref="B2" location="'Bus Matrix'!A1" display="Bus Matrix" xr:uid="{00000000-0004-0000-0000-000002000000}"/>
    <hyperlink ref="C5" location="Date!A1" display="Date" xr:uid="{00000000-0004-0000-0000-000003000000}"/>
    <hyperlink ref="B23" location="Stage2!A1" display="Stage2 database" xr:uid="{00000000-0004-0000-0000-000004000000}"/>
    <hyperlink ref="D5" location="'Date records'!A1" display="Date Records" xr:uid="{00000000-0004-0000-0000-000005000000}"/>
    <hyperlink ref="B1" location="'Naming Conventions'!A1" display="Naming Conventions" xr:uid="{00000000-0004-0000-0000-000006000000}"/>
    <hyperlink ref="C12" location="SF_MM_Stock_Take!A1" display="SF_MM_Stock_Take" xr:uid="{00000000-0004-0000-0000-000007000000}"/>
    <hyperlink ref="C18" location="S1_MM_Stock_Take!A1" display="S1_MM_Stock_Take!A1" xr:uid="{00000000-0004-0000-0000-000008000000}"/>
    <hyperlink ref="C10" location="Stock_Take_Fact!A1" display="Stock Take Fact" xr:uid="{00000000-0004-0000-0000-000009000000}"/>
    <hyperlink ref="C6" location="Material!A1" display="Material" xr:uid="{00000000-0004-0000-0000-00000A000000}"/>
    <hyperlink ref="C24" location="S2_MM_Material_Group_Lookup!A1" display="S2_Material_Group_Lookup" xr:uid="{00000000-0004-0000-0000-00000B000000}"/>
    <hyperlink ref="C7" location="Stock_Take_Indicators!A1" display="Stock_Take_Indicators" xr:uid="{00000000-0004-0000-0000-00000C000000}"/>
    <hyperlink ref="C25" location="S2_MM_Material!A1" display="S2_MM_Material" xr:uid="{00000000-0004-0000-0000-00000D000000}"/>
    <hyperlink ref="C26" location="S2_MM_Stock_Take!A1" display="S2_MM_Stock_Take" xr:uid="{00000000-0004-0000-0000-00000E000000}"/>
    <hyperlink ref="B4" location="AtomicDW!A1" display="AtomicDW" xr:uid="{00000000-0004-0000-0000-00000F000000}"/>
    <hyperlink ref="B28" location="'Process Metadata'!A1" display="Metadata tables" xr:uid="{00000000-0004-0000-0000-000010000000}"/>
    <hyperlink ref="C13" location="SF_PW_Customers!A1" display="SF_PW_Customer" xr:uid="{ADB8F801-5D4C-48E8-A9C3-780D7CF85BA0}"/>
    <hyperlink ref="C19" location="S1_PW_Customer!A1" display="S1_PW_Customers" xr:uid="{E14094B2-6D66-49BD-B9DF-7E007619B499}"/>
    <hyperlink ref="C14" location="SF_PW_Employees!A1" display="SF_PW_Employees" xr:uid="{16D19753-7CEB-4391-89D6-67CF499598A1}"/>
    <hyperlink ref="C20" location="S1_PW_Employees!A1" display="S1_PW_Employees" xr:uid="{447459B0-FAAD-414F-8B7B-489B08C4AE67}"/>
    <hyperlink ref="C15" location="SF_PW_Employee_Timesheet!A1" display="SF_PW_Employee_TimeSheet" xr:uid="{F3A1676F-C76E-4BCD-AE97-A626F78E5686}"/>
    <hyperlink ref="C21" location="S1_PW_Employee_Timesheet!A1" display="S1_PW_Employee_Timesheet" xr:uid="{A5AD3917-898D-4C3B-8399-FF3A8A0ACA23}"/>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C35"/>
  <sheetViews>
    <sheetView topLeftCell="A10" workbookViewId="0">
      <selection activeCell="D28" sqref="D28"/>
    </sheetView>
  </sheetViews>
  <sheetFormatPr defaultRowHeight="14.4" x14ac:dyDescent="0.3"/>
  <cols>
    <col min="1" max="1" width="18.44140625" bestFit="1" customWidth="1"/>
    <col min="2" max="2" width="28.109375" style="111" bestFit="1" customWidth="1"/>
    <col min="3" max="3" width="62.33203125" bestFit="1" customWidth="1"/>
    <col min="4" max="4" width="26.44140625" customWidth="1"/>
  </cols>
  <sheetData>
    <row r="1" spans="1:3" x14ac:dyDescent="0.3">
      <c r="A1" s="5" t="s">
        <v>5</v>
      </c>
    </row>
    <row r="3" spans="1:3" s="112" customFormat="1" x14ac:dyDescent="0.3">
      <c r="A3" s="112" t="s">
        <v>0</v>
      </c>
      <c r="B3" s="113" t="s">
        <v>260</v>
      </c>
      <c r="C3" s="114" t="s">
        <v>458</v>
      </c>
    </row>
    <row r="4" spans="1:3" s="115" customFormat="1" x14ac:dyDescent="0.3">
      <c r="B4" s="116" t="s">
        <v>128</v>
      </c>
      <c r="C4" s="117" t="s">
        <v>267</v>
      </c>
    </row>
    <row r="6" spans="1:3" s="112" customFormat="1" x14ac:dyDescent="0.3">
      <c r="A6" s="112" t="s">
        <v>577</v>
      </c>
      <c r="B6" s="113" t="s">
        <v>260</v>
      </c>
      <c r="C6" s="114" t="s">
        <v>578</v>
      </c>
    </row>
    <row r="7" spans="1:3" s="115" customFormat="1" x14ac:dyDescent="0.3">
      <c r="B7" s="116" t="s">
        <v>128</v>
      </c>
      <c r="C7" s="117" t="s">
        <v>579</v>
      </c>
    </row>
    <row r="9" spans="1:3" s="112" customFormat="1" x14ac:dyDescent="0.3">
      <c r="A9" s="112" t="s">
        <v>580</v>
      </c>
      <c r="B9" s="113" t="s">
        <v>260</v>
      </c>
      <c r="C9" s="114" t="s">
        <v>581</v>
      </c>
    </row>
    <row r="10" spans="1:3" s="115" customFormat="1" x14ac:dyDescent="0.3">
      <c r="B10" s="116" t="s">
        <v>128</v>
      </c>
      <c r="C10" s="117" t="s">
        <v>582</v>
      </c>
    </row>
    <row r="12" spans="1:3" s="112" customFormat="1" x14ac:dyDescent="0.3">
      <c r="A12" s="112" t="s">
        <v>261</v>
      </c>
      <c r="B12" s="113" t="s">
        <v>262</v>
      </c>
      <c r="C12" s="114" t="s">
        <v>263</v>
      </c>
    </row>
    <row r="13" spans="1:3" s="77" customFormat="1" x14ac:dyDescent="0.3">
      <c r="B13" s="118" t="s">
        <v>594</v>
      </c>
      <c r="C13" s="119" t="s">
        <v>595</v>
      </c>
    </row>
    <row r="14" spans="1:3" s="77" customFormat="1" x14ac:dyDescent="0.3">
      <c r="B14" s="118" t="s">
        <v>264</v>
      </c>
      <c r="C14" s="119" t="s">
        <v>265</v>
      </c>
    </row>
    <row r="15" spans="1:3" s="115" customFormat="1" x14ac:dyDescent="0.3">
      <c r="B15" s="116" t="s">
        <v>459</v>
      </c>
      <c r="C15" s="117" t="s">
        <v>472</v>
      </c>
    </row>
    <row r="17" spans="1:3" s="112" customFormat="1" x14ac:dyDescent="0.3">
      <c r="A17" s="112" t="s">
        <v>477</v>
      </c>
      <c r="B17" s="113" t="s">
        <v>262</v>
      </c>
      <c r="C17" s="114" t="s">
        <v>476</v>
      </c>
    </row>
    <row r="18" spans="1:3" s="77" customFormat="1" x14ac:dyDescent="0.3">
      <c r="B18" s="118" t="s">
        <v>594</v>
      </c>
      <c r="C18" s="119" t="s">
        <v>596</v>
      </c>
    </row>
    <row r="19" spans="1:3" s="77" customFormat="1" x14ac:dyDescent="0.3">
      <c r="B19" s="118" t="s">
        <v>264</v>
      </c>
      <c r="C19" s="119" t="s">
        <v>484</v>
      </c>
    </row>
    <row r="20" spans="1:3" s="115" customFormat="1" x14ac:dyDescent="0.3">
      <c r="B20" s="116" t="s">
        <v>459</v>
      </c>
      <c r="C20" s="117" t="s">
        <v>485</v>
      </c>
    </row>
    <row r="22" spans="1:3" s="112" customFormat="1" x14ac:dyDescent="0.3">
      <c r="A22" s="112" t="s">
        <v>602</v>
      </c>
      <c r="B22" s="113" t="s">
        <v>262</v>
      </c>
      <c r="C22" s="114" t="s">
        <v>555</v>
      </c>
    </row>
    <row r="23" spans="1:3" s="77" customFormat="1" x14ac:dyDescent="0.3">
      <c r="A23" s="77" t="s">
        <v>603</v>
      </c>
      <c r="B23" s="118" t="s">
        <v>594</v>
      </c>
      <c r="C23" s="119" t="s">
        <v>597</v>
      </c>
    </row>
    <row r="24" spans="1:3" s="77" customFormat="1" x14ac:dyDescent="0.3">
      <c r="B24" s="118" t="s">
        <v>583</v>
      </c>
      <c r="C24" s="119" t="s">
        <v>584</v>
      </c>
    </row>
    <row r="25" spans="1:3" s="77" customFormat="1" x14ac:dyDescent="0.3">
      <c r="B25" s="118" t="s">
        <v>585</v>
      </c>
      <c r="C25" s="119" t="s">
        <v>586</v>
      </c>
    </row>
    <row r="26" spans="1:3" s="115" customFormat="1" x14ac:dyDescent="0.3">
      <c r="B26" s="116" t="s">
        <v>459</v>
      </c>
      <c r="C26" s="117" t="s">
        <v>587</v>
      </c>
    </row>
    <row r="28" spans="1:3" s="112" customFormat="1" x14ac:dyDescent="0.3">
      <c r="A28" s="112" t="s">
        <v>266</v>
      </c>
      <c r="B28" s="120" t="s">
        <v>128</v>
      </c>
      <c r="C28" s="121" t="s">
        <v>23</v>
      </c>
    </row>
    <row r="29" spans="1:3" s="77" customFormat="1" x14ac:dyDescent="0.3">
      <c r="B29" s="124" t="s">
        <v>623</v>
      </c>
      <c r="C29" s="125" t="s">
        <v>624</v>
      </c>
    </row>
    <row r="30" spans="1:3" s="115" customFormat="1" x14ac:dyDescent="0.3">
      <c r="B30" s="116" t="s">
        <v>589</v>
      </c>
      <c r="C30" s="117" t="s">
        <v>268</v>
      </c>
    </row>
    <row r="32" spans="1:3" s="112" customFormat="1" x14ac:dyDescent="0.3">
      <c r="A32" s="112" t="s">
        <v>588</v>
      </c>
      <c r="B32" s="113" t="s">
        <v>590</v>
      </c>
      <c r="C32" s="114" t="s">
        <v>591</v>
      </c>
    </row>
    <row r="33" spans="2:3" s="77" customFormat="1" x14ac:dyDescent="0.3">
      <c r="B33" s="118" t="s">
        <v>592</v>
      </c>
      <c r="C33" s="119" t="s">
        <v>593</v>
      </c>
    </row>
    <row r="34" spans="2:3" s="77" customFormat="1" x14ac:dyDescent="0.3">
      <c r="B34" s="118" t="s">
        <v>598</v>
      </c>
      <c r="C34" s="119" t="s">
        <v>599</v>
      </c>
    </row>
    <row r="35" spans="2:3" s="115" customFormat="1" x14ac:dyDescent="0.3">
      <c r="B35" s="116" t="s">
        <v>600</v>
      </c>
      <c r="C35" s="117" t="s">
        <v>601</v>
      </c>
    </row>
  </sheetData>
  <hyperlinks>
    <hyperlink ref="A1" location="Index!A1" display="Index" xr:uid="{00000000-0004-0000-0100-000000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B1:H9"/>
  <sheetViews>
    <sheetView workbookViewId="0">
      <pane xSplit="5" ySplit="4" topLeftCell="F5" activePane="bottomRight" state="frozen"/>
      <selection pane="topRight" activeCell="F1" sqref="F1"/>
      <selection pane="bottomLeft" activeCell="A5" sqref="A5"/>
      <selection pane="bottomRight" activeCell="C1" sqref="C1"/>
    </sheetView>
  </sheetViews>
  <sheetFormatPr defaultColWidth="9.109375" defaultRowHeight="14.4" x14ac:dyDescent="0.3"/>
  <cols>
    <col min="1" max="1" width="1.88671875" style="29" customWidth="1"/>
    <col min="2" max="2" width="13" style="29" customWidth="1"/>
    <col min="3" max="3" width="14.33203125" style="29" customWidth="1"/>
    <col min="4" max="4" width="14" style="29" customWidth="1"/>
    <col min="5" max="5" width="24.109375" style="29" customWidth="1"/>
    <col min="6" max="6" width="14.6640625" style="30" customWidth="1"/>
    <col min="7" max="7" width="9" style="30" bestFit="1" customWidth="1"/>
    <col min="8" max="8" width="12.88671875" style="30" customWidth="1"/>
    <col min="9" max="16384" width="9.109375" style="29"/>
  </cols>
  <sheetData>
    <row r="1" spans="2:8" ht="30" customHeight="1" x14ac:dyDescent="0.3">
      <c r="B1" s="5" t="s">
        <v>5</v>
      </c>
    </row>
    <row r="2" spans="2:8" ht="28.8" x14ac:dyDescent="0.3">
      <c r="E2" s="31" t="s">
        <v>121</v>
      </c>
      <c r="F2" s="98" t="s">
        <v>43</v>
      </c>
      <c r="G2" s="98" t="s">
        <v>122</v>
      </c>
      <c r="H2" s="98" t="s">
        <v>554</v>
      </c>
    </row>
    <row r="3" spans="2:8" ht="26.25" customHeight="1" x14ac:dyDescent="0.3">
      <c r="E3" s="31" t="s">
        <v>38</v>
      </c>
      <c r="F3" s="97" t="s">
        <v>118</v>
      </c>
      <c r="G3" s="97" t="s">
        <v>119</v>
      </c>
      <c r="H3" s="97" t="s">
        <v>401</v>
      </c>
    </row>
    <row r="4" spans="2:8" ht="28.8" x14ac:dyDescent="0.3">
      <c r="B4" s="32" t="s">
        <v>39</v>
      </c>
      <c r="C4" s="32" t="s">
        <v>123</v>
      </c>
      <c r="D4" s="32" t="s">
        <v>41</v>
      </c>
      <c r="E4" s="33" t="s">
        <v>42</v>
      </c>
      <c r="F4" s="99" t="s">
        <v>43</v>
      </c>
      <c r="G4" s="99" t="s">
        <v>124</v>
      </c>
      <c r="H4" s="99" t="s">
        <v>402</v>
      </c>
    </row>
    <row r="5" spans="2:8" ht="28.8" x14ac:dyDescent="0.3">
      <c r="B5" s="96" t="s">
        <v>126</v>
      </c>
      <c r="C5" s="123" t="s">
        <v>127</v>
      </c>
      <c r="D5" s="96" t="s">
        <v>125</v>
      </c>
      <c r="E5" s="100" t="s">
        <v>620</v>
      </c>
      <c r="F5" s="97" t="s">
        <v>159</v>
      </c>
      <c r="G5" s="97" t="s">
        <v>44</v>
      </c>
      <c r="H5" s="97" t="s">
        <v>44</v>
      </c>
    </row>
    <row r="9" spans="2:8" ht="28.8" x14ac:dyDescent="0.3">
      <c r="B9" s="29" t="s">
        <v>291</v>
      </c>
    </row>
  </sheetData>
  <hyperlinks>
    <hyperlink ref="F2" location="Date!A1" display="Date" xr:uid="{00000000-0004-0000-0200-000000000000}"/>
    <hyperlink ref="G2" location="Material!A1" display="Material" xr:uid="{00000000-0004-0000-0200-000001000000}"/>
    <hyperlink ref="C5" location="Stock_Take_Fact!A1" display="Stock Take Fact" xr:uid="{00000000-0004-0000-0200-000002000000}"/>
    <hyperlink ref="B1" location="Index!A1" display="Index" xr:uid="{00000000-0004-0000-0200-000003000000}"/>
    <hyperlink ref="H2" location="Stock_Take_Indicators!A1" display="Stock_Take_Indicators" xr:uid="{00000000-0004-0000-0200-000004000000}"/>
  </hyperlinks>
  <pageMargins left="0.7" right="0.7" top="0.75" bottom="0.75" header="0.3" footer="0.3"/>
  <pageSetup paperSize="9"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F27"/>
  <sheetViews>
    <sheetView workbookViewId="0">
      <selection activeCell="A5" sqref="A5"/>
    </sheetView>
  </sheetViews>
  <sheetFormatPr defaultRowHeight="14.4" x14ac:dyDescent="0.3"/>
  <cols>
    <col min="1" max="1" width="31.44140625" customWidth="1"/>
    <col min="2" max="2" width="58.33203125" bestFit="1" customWidth="1"/>
    <col min="3" max="3" width="33.88671875" customWidth="1"/>
    <col min="4" max="4" width="11.44140625" bestFit="1" customWidth="1"/>
    <col min="5" max="5" width="23" bestFit="1" customWidth="1"/>
    <col min="6" max="6" width="12.5546875" bestFit="1" customWidth="1"/>
  </cols>
  <sheetData>
    <row r="1" spans="1:6" x14ac:dyDescent="0.3">
      <c r="A1" s="5" t="s">
        <v>5</v>
      </c>
    </row>
    <row r="2" spans="1:6" x14ac:dyDescent="0.3">
      <c r="A2" t="s">
        <v>556</v>
      </c>
    </row>
    <row r="3" spans="1:6" x14ac:dyDescent="0.3">
      <c r="A3" t="s">
        <v>557</v>
      </c>
    </row>
    <row r="4" spans="1:6" x14ac:dyDescent="0.3">
      <c r="A4" t="s">
        <v>558</v>
      </c>
    </row>
    <row r="7" spans="1:6" x14ac:dyDescent="0.3">
      <c r="A7" s="128" t="s">
        <v>14</v>
      </c>
      <c r="B7" s="128"/>
      <c r="C7" s="128"/>
      <c r="D7" s="128"/>
      <c r="E7" s="128"/>
      <c r="F7" s="128"/>
    </row>
    <row r="8" spans="1:6" x14ac:dyDescent="0.3">
      <c r="A8" s="12" t="s">
        <v>21</v>
      </c>
      <c r="B8" s="12" t="s">
        <v>7</v>
      </c>
      <c r="C8" s="12" t="s">
        <v>2</v>
      </c>
      <c r="D8" s="12" t="s">
        <v>22</v>
      </c>
      <c r="E8" s="6" t="s">
        <v>6</v>
      </c>
      <c r="F8" s="12"/>
    </row>
    <row r="9" spans="1:6" x14ac:dyDescent="0.3">
      <c r="A9" s="1" t="s">
        <v>43</v>
      </c>
      <c r="B9" t="s">
        <v>564</v>
      </c>
      <c r="C9" s="1" t="s">
        <v>565</v>
      </c>
      <c r="D9" t="s">
        <v>35</v>
      </c>
      <c r="E9" s="103" t="s">
        <v>43</v>
      </c>
    </row>
    <row r="10" spans="1:6" x14ac:dyDescent="0.3">
      <c r="A10" s="1" t="s">
        <v>122</v>
      </c>
      <c r="B10" t="s">
        <v>566</v>
      </c>
      <c r="C10" t="s">
        <v>476</v>
      </c>
      <c r="D10" t="s">
        <v>497</v>
      </c>
      <c r="E10" s="1" t="s">
        <v>494</v>
      </c>
    </row>
    <row r="11" spans="1:6" x14ac:dyDescent="0.3">
      <c r="A11" s="1" t="s">
        <v>400</v>
      </c>
      <c r="B11" t="s">
        <v>568</v>
      </c>
      <c r="C11" t="s">
        <v>476</v>
      </c>
      <c r="D11" t="s">
        <v>497</v>
      </c>
      <c r="E11" s="1" t="s">
        <v>516</v>
      </c>
    </row>
    <row r="12" spans="1:6" x14ac:dyDescent="0.3">
      <c r="A12" s="1" t="s">
        <v>569</v>
      </c>
      <c r="B12" t="s">
        <v>570</v>
      </c>
      <c r="C12" t="s">
        <v>476</v>
      </c>
      <c r="D12" t="s">
        <v>497</v>
      </c>
      <c r="E12" s="1" t="s">
        <v>516</v>
      </c>
    </row>
    <row r="14" spans="1:6" ht="15" thickBot="1" x14ac:dyDescent="0.35">
      <c r="A14" s="128" t="s">
        <v>486</v>
      </c>
      <c r="B14" s="128"/>
      <c r="C14" s="128"/>
      <c r="D14" s="128"/>
      <c r="E14" s="128"/>
      <c r="F14" s="128"/>
    </row>
    <row r="15" spans="1:6" ht="15" thickTop="1" x14ac:dyDescent="0.3">
      <c r="A15" s="12" t="s">
        <v>21</v>
      </c>
      <c r="B15" s="12" t="s">
        <v>7</v>
      </c>
      <c r="C15" s="127" t="s">
        <v>471</v>
      </c>
      <c r="D15" s="127"/>
      <c r="E15" s="127"/>
      <c r="F15" s="12"/>
    </row>
    <row r="16" spans="1:6" x14ac:dyDescent="0.3">
      <c r="A16" t="s">
        <v>575</v>
      </c>
      <c r="B16" t="s">
        <v>576</v>
      </c>
    </row>
    <row r="20" spans="1:6" ht="15" thickBot="1" x14ac:dyDescent="0.35">
      <c r="A20" s="129" t="s">
        <v>24</v>
      </c>
      <c r="B20" s="129"/>
      <c r="C20" s="129"/>
      <c r="D20" s="129"/>
      <c r="E20" s="129"/>
      <c r="F20" s="129"/>
    </row>
    <row r="21" spans="1:6" ht="15" thickTop="1" x14ac:dyDescent="0.3">
      <c r="A21" s="8" t="s">
        <v>21</v>
      </c>
      <c r="B21" s="8" t="s">
        <v>7</v>
      </c>
      <c r="C21" s="127" t="s">
        <v>483</v>
      </c>
      <c r="D21" s="127"/>
      <c r="E21" s="127"/>
      <c r="F21" s="8" t="s">
        <v>23</v>
      </c>
    </row>
    <row r="22" spans="1:6" x14ac:dyDescent="0.3">
      <c r="A22" s="1" t="s">
        <v>25</v>
      </c>
      <c r="B22" t="s">
        <v>33</v>
      </c>
      <c r="C22" t="s">
        <v>562</v>
      </c>
      <c r="F22" t="s">
        <v>26</v>
      </c>
    </row>
    <row r="23" spans="1:6" ht="28.8" x14ac:dyDescent="0.3">
      <c r="A23" s="1" t="s">
        <v>27</v>
      </c>
      <c r="B23" t="s">
        <v>28</v>
      </c>
      <c r="C23" s="2" t="s">
        <v>563</v>
      </c>
      <c r="F23" t="s">
        <v>29</v>
      </c>
    </row>
    <row r="24" spans="1:6" ht="72" x14ac:dyDescent="0.3">
      <c r="A24" s="1" t="s">
        <v>30</v>
      </c>
      <c r="B24" t="s">
        <v>31</v>
      </c>
      <c r="C24" s="2" t="s">
        <v>617</v>
      </c>
      <c r="F24" t="s">
        <v>32</v>
      </c>
    </row>
    <row r="26" spans="1:6" ht="15" thickBot="1" x14ac:dyDescent="0.35">
      <c r="A26" s="129" t="s">
        <v>469</v>
      </c>
      <c r="B26" s="129"/>
      <c r="C26" s="129"/>
      <c r="D26" s="129"/>
      <c r="E26" s="129"/>
      <c r="F26" s="129"/>
    </row>
    <row r="27" spans="1:6" ht="15" thickTop="1" x14ac:dyDescent="0.3">
      <c r="A27" s="8" t="s">
        <v>21</v>
      </c>
      <c r="B27" s="8" t="s">
        <v>7</v>
      </c>
      <c r="C27" s="127" t="s">
        <v>471</v>
      </c>
      <c r="D27" s="127"/>
      <c r="E27" s="127"/>
      <c r="F27" s="8"/>
    </row>
  </sheetData>
  <mergeCells count="7">
    <mergeCell ref="C27:E27"/>
    <mergeCell ref="A7:F7"/>
    <mergeCell ref="A14:F14"/>
    <mergeCell ref="C15:E15"/>
    <mergeCell ref="A20:F20"/>
    <mergeCell ref="C21:E21"/>
    <mergeCell ref="A26:F26"/>
  </mergeCells>
  <hyperlinks>
    <hyperlink ref="A1" location="Index!A1" display="Index" xr:uid="{00000000-0004-0000-0B00-000000000000}"/>
    <hyperlink ref="A22" location="'Process Metadata'!A5" display="Import_Batch" xr:uid="{00000000-0004-0000-0B00-000001000000}"/>
    <hyperlink ref="A23" location="'Process Metadata'!A16" display="Import_Batch_Process" xr:uid="{00000000-0004-0000-0B00-000002000000}"/>
    <hyperlink ref="A24" location="'Process Metadata'!A25" display="Import_Batch_Process_Task" xr:uid="{00000000-0004-0000-0B00-000003000000}"/>
    <hyperlink ref="A9" location="Date!A1" display="Date!A1" xr:uid="{00000000-0004-0000-0B00-000004000000}"/>
    <hyperlink ref="C9" location="'Date records'!A1" display="Custom created Date records" xr:uid="{00000000-0004-0000-0B00-000005000000}"/>
    <hyperlink ref="A10" location="Material!A1" display="Material" xr:uid="{00000000-0004-0000-0B00-000006000000}"/>
    <hyperlink ref="E10" location="S2_MM_Material!A1" display="S2_MM_Material" xr:uid="{00000000-0004-0000-0B00-000007000000}"/>
    <hyperlink ref="A11" location="Stock_Take_Indicators!A1" display="Stock_Take_Indicators!A1" xr:uid="{00000000-0004-0000-0B00-000008000000}"/>
    <hyperlink ref="E11" location="S2_MM_Stock_Take!A1" display="S2_MM_Stock_Take" xr:uid="{00000000-0004-0000-0B00-000009000000}"/>
    <hyperlink ref="A12" location="Stock_Take_Fact!A1" display="Stock_Take_Fact" xr:uid="{00000000-0004-0000-0B00-00000A000000}"/>
    <hyperlink ref="E12" location="S2_MM_Stock_Take!A1" display="S2_MM_Stock_Take" xr:uid="{00000000-0004-0000-0B00-00000B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A1:H27"/>
  <sheetViews>
    <sheetView topLeftCell="A7" zoomScaleNormal="100" workbookViewId="0"/>
  </sheetViews>
  <sheetFormatPr defaultColWidth="21.5546875" defaultRowHeight="14.4" x14ac:dyDescent="0.3"/>
  <cols>
    <col min="1" max="1" width="36.33203125" style="3" customWidth="1"/>
    <col min="2" max="2" width="14.5546875" style="3" customWidth="1"/>
    <col min="3" max="3" width="9.33203125" style="3" customWidth="1"/>
    <col min="4" max="4" width="49.109375" style="3" customWidth="1"/>
    <col min="5" max="5" width="8" style="3" customWidth="1"/>
    <col min="6" max="6" width="22.88671875" style="3" customWidth="1"/>
    <col min="7" max="7" width="10" style="3" bestFit="1" customWidth="1"/>
    <col min="8" max="8" width="70.5546875" style="3" customWidth="1"/>
    <col min="9" max="16384" width="21.5546875" style="3"/>
  </cols>
  <sheetData>
    <row r="1" spans="1:8" x14ac:dyDescent="0.3">
      <c r="A1" s="5" t="s">
        <v>5</v>
      </c>
    </row>
    <row r="2" spans="1:8" x14ac:dyDescent="0.3">
      <c r="A2" s="6" t="s">
        <v>128</v>
      </c>
      <c r="B2" s="6" t="s">
        <v>127</v>
      </c>
    </row>
    <row r="3" spans="1:8" x14ac:dyDescent="0.3">
      <c r="A3" s="6" t="s">
        <v>45</v>
      </c>
      <c r="B3" s="84" t="s">
        <v>455</v>
      </c>
      <c r="C3" s="84"/>
      <c r="D3" s="84"/>
      <c r="E3" s="84"/>
      <c r="F3" s="84"/>
      <c r="G3" s="84"/>
      <c r="H3" s="84"/>
    </row>
    <row r="4" spans="1:8" x14ac:dyDescent="0.3">
      <c r="D4" s="4"/>
    </row>
    <row r="5" spans="1:8" ht="28.8" x14ac:dyDescent="0.3">
      <c r="A5" s="35" t="s">
        <v>15</v>
      </c>
      <c r="B5" s="35" t="s">
        <v>16</v>
      </c>
      <c r="C5" s="35" t="s">
        <v>152</v>
      </c>
      <c r="D5" s="35" t="s">
        <v>7</v>
      </c>
      <c r="E5" s="35" t="s">
        <v>47</v>
      </c>
      <c r="F5" s="35" t="s">
        <v>48</v>
      </c>
      <c r="G5" s="35" t="s">
        <v>17</v>
      </c>
      <c r="H5" s="35" t="s">
        <v>52</v>
      </c>
    </row>
    <row r="6" spans="1:8" x14ac:dyDescent="0.3">
      <c r="A6" s="3" t="s">
        <v>153</v>
      </c>
      <c r="B6" s="4" t="s">
        <v>20</v>
      </c>
      <c r="C6" s="3" t="s">
        <v>156</v>
      </c>
      <c r="D6" s="59" t="s">
        <v>154</v>
      </c>
      <c r="F6" s="5" t="s">
        <v>43</v>
      </c>
      <c r="G6" s="52">
        <v>20190125</v>
      </c>
      <c r="H6" s="3" t="s">
        <v>345</v>
      </c>
    </row>
    <row r="7" spans="1:8" x14ac:dyDescent="0.3">
      <c r="A7" s="3" t="s">
        <v>237</v>
      </c>
      <c r="B7" s="4" t="s">
        <v>20</v>
      </c>
      <c r="C7" s="3" t="s">
        <v>156</v>
      </c>
      <c r="D7" s="60" t="s">
        <v>157</v>
      </c>
      <c r="F7" s="5" t="s">
        <v>122</v>
      </c>
      <c r="G7" s="52">
        <v>123</v>
      </c>
    </row>
    <row r="8" spans="1:8" x14ac:dyDescent="0.3">
      <c r="A8" s="3" t="s">
        <v>411</v>
      </c>
      <c r="B8" s="4" t="s">
        <v>20</v>
      </c>
      <c r="C8" s="3" t="s">
        <v>156</v>
      </c>
      <c r="D8" s="60" t="s">
        <v>450</v>
      </c>
      <c r="F8" s="5" t="s">
        <v>452</v>
      </c>
      <c r="G8" s="80"/>
    </row>
    <row r="9" spans="1:8" s="6" customFormat="1" x14ac:dyDescent="0.3">
      <c r="A9" s="6" t="s">
        <v>418</v>
      </c>
      <c r="B9" s="7" t="s">
        <v>61</v>
      </c>
      <c r="C9" s="6" t="s">
        <v>156</v>
      </c>
      <c r="D9" s="110" t="s">
        <v>451</v>
      </c>
      <c r="E9" s="6" t="s">
        <v>55</v>
      </c>
      <c r="G9" s="106"/>
    </row>
    <row r="10" spans="1:8" s="61" customFormat="1" x14ac:dyDescent="0.3">
      <c r="A10" s="61" t="s">
        <v>360</v>
      </c>
      <c r="B10" s="62" t="s">
        <v>311</v>
      </c>
      <c r="C10" s="61" t="s">
        <v>346</v>
      </c>
      <c r="D10" s="63" t="s">
        <v>312</v>
      </c>
      <c r="G10" s="64"/>
      <c r="H10" s="61" t="s">
        <v>347</v>
      </c>
    </row>
    <row r="11" spans="1:8" s="61" customFormat="1" x14ac:dyDescent="0.3">
      <c r="A11" s="61" t="s">
        <v>361</v>
      </c>
      <c r="B11" s="62" t="s">
        <v>311</v>
      </c>
      <c r="C11" s="61" t="s">
        <v>346</v>
      </c>
      <c r="D11" s="63" t="s">
        <v>314</v>
      </c>
      <c r="G11" s="64"/>
      <c r="H11" s="61" t="s">
        <v>348</v>
      </c>
    </row>
    <row r="12" spans="1:8" s="61" customFormat="1" x14ac:dyDescent="0.3">
      <c r="A12" s="61" t="s">
        <v>362</v>
      </c>
      <c r="B12" s="62" t="s">
        <v>67</v>
      </c>
      <c r="C12" s="61" t="s">
        <v>346</v>
      </c>
      <c r="D12" s="63" t="s">
        <v>316</v>
      </c>
      <c r="G12" s="64"/>
      <c r="H12" s="61" t="s">
        <v>349</v>
      </c>
    </row>
    <row r="13" spans="1:8" s="61" customFormat="1" x14ac:dyDescent="0.3">
      <c r="A13" s="61" t="s">
        <v>363</v>
      </c>
      <c r="B13" s="62" t="s">
        <v>139</v>
      </c>
      <c r="C13" s="61" t="s">
        <v>346</v>
      </c>
      <c r="D13" s="63" t="s">
        <v>319</v>
      </c>
      <c r="G13" s="64"/>
      <c r="H13" s="61" t="s">
        <v>350</v>
      </c>
    </row>
    <row r="14" spans="1:8" s="61" customFormat="1" x14ac:dyDescent="0.3">
      <c r="A14" s="61" t="s">
        <v>364</v>
      </c>
      <c r="B14" s="62" t="s">
        <v>301</v>
      </c>
      <c r="C14" s="61" t="s">
        <v>346</v>
      </c>
      <c r="D14" s="63" t="s">
        <v>456</v>
      </c>
      <c r="G14" s="64"/>
      <c r="H14" s="61" t="s">
        <v>351</v>
      </c>
    </row>
    <row r="15" spans="1:8" s="61" customFormat="1" x14ac:dyDescent="0.3">
      <c r="A15" s="61" t="s">
        <v>453</v>
      </c>
      <c r="B15" s="62" t="s">
        <v>301</v>
      </c>
      <c r="C15" s="61" t="s">
        <v>156</v>
      </c>
      <c r="D15" s="63" t="s">
        <v>322</v>
      </c>
      <c r="G15" s="64"/>
      <c r="H15" s="61" t="s">
        <v>353</v>
      </c>
    </row>
    <row r="16" spans="1:8" s="61" customFormat="1" ht="28.8" x14ac:dyDescent="0.3">
      <c r="A16" s="62" t="s">
        <v>365</v>
      </c>
      <c r="B16" s="62" t="s">
        <v>139</v>
      </c>
      <c r="C16" s="61" t="s">
        <v>156</v>
      </c>
      <c r="D16" s="65" t="s">
        <v>324</v>
      </c>
      <c r="G16" s="64"/>
      <c r="H16" s="61" t="s">
        <v>354</v>
      </c>
    </row>
    <row r="17" spans="1:8" s="66" customFormat="1" ht="28.8" x14ac:dyDescent="0.3">
      <c r="A17" s="66" t="s">
        <v>367</v>
      </c>
      <c r="B17" s="67" t="s">
        <v>139</v>
      </c>
      <c r="C17" s="61" t="s">
        <v>346</v>
      </c>
      <c r="D17" s="68" t="s">
        <v>368</v>
      </c>
      <c r="G17" s="69"/>
      <c r="H17" s="67" t="s">
        <v>454</v>
      </c>
    </row>
    <row r="18" spans="1:8" s="66" customFormat="1" ht="72" x14ac:dyDescent="0.3">
      <c r="A18" s="66" t="s">
        <v>355</v>
      </c>
      <c r="B18" s="67" t="s">
        <v>139</v>
      </c>
      <c r="C18" s="61" t="s">
        <v>156</v>
      </c>
      <c r="D18" s="68" t="s">
        <v>356</v>
      </c>
      <c r="G18" s="69"/>
      <c r="H18" s="67" t="s">
        <v>357</v>
      </c>
    </row>
    <row r="19" spans="1:8" s="66" customFormat="1" ht="28.8" x14ac:dyDescent="0.3">
      <c r="A19" s="66" t="s">
        <v>358</v>
      </c>
      <c r="B19" s="67" t="s">
        <v>139</v>
      </c>
      <c r="C19" s="61" t="s">
        <v>156</v>
      </c>
      <c r="D19" s="68" t="s">
        <v>359</v>
      </c>
      <c r="G19" s="69"/>
      <c r="H19" s="66" t="s">
        <v>366</v>
      </c>
    </row>
    <row r="20" spans="1:8" s="66" customFormat="1" ht="28.8" x14ac:dyDescent="0.3">
      <c r="A20" s="66" t="s">
        <v>369</v>
      </c>
      <c r="B20" s="67" t="s">
        <v>139</v>
      </c>
      <c r="C20" s="61" t="s">
        <v>156</v>
      </c>
      <c r="D20" s="68" t="s">
        <v>370</v>
      </c>
      <c r="G20" s="69"/>
      <c r="H20" s="66" t="s">
        <v>371</v>
      </c>
    </row>
    <row r="21" spans="1:8" s="66" customFormat="1" x14ac:dyDescent="0.3">
      <c r="A21" s="66" t="s">
        <v>372</v>
      </c>
      <c r="B21" s="67" t="s">
        <v>139</v>
      </c>
      <c r="C21" s="61" t="s">
        <v>156</v>
      </c>
      <c r="D21" s="68" t="s">
        <v>373</v>
      </c>
      <c r="G21" s="69"/>
      <c r="H21" s="66" t="s">
        <v>374</v>
      </c>
    </row>
    <row r="22" spans="1:8" s="70" customFormat="1" x14ac:dyDescent="0.3">
      <c r="A22" s="70" t="s">
        <v>149</v>
      </c>
      <c r="B22" s="70" t="s">
        <v>66</v>
      </c>
      <c r="C22" s="72" t="s">
        <v>156</v>
      </c>
      <c r="D22" s="71" t="s">
        <v>573</v>
      </c>
      <c r="F22" s="72"/>
      <c r="G22" s="72" t="s">
        <v>151</v>
      </c>
      <c r="H22" s="70" t="s">
        <v>142</v>
      </c>
    </row>
    <row r="23" spans="1:8" s="70" customFormat="1" x14ac:dyDescent="0.3">
      <c r="A23" s="70" t="s">
        <v>19</v>
      </c>
      <c r="B23" s="70" t="s">
        <v>20</v>
      </c>
      <c r="C23" s="72" t="s">
        <v>156</v>
      </c>
      <c r="D23" s="71" t="s">
        <v>148</v>
      </c>
      <c r="F23" s="109" t="s">
        <v>30</v>
      </c>
      <c r="G23" s="72">
        <v>1</v>
      </c>
      <c r="H23" s="70" t="s">
        <v>142</v>
      </c>
    </row>
    <row r="24" spans="1:8" s="70" customFormat="1" x14ac:dyDescent="0.3">
      <c r="C24" s="72"/>
      <c r="D24" s="71"/>
      <c r="F24" s="109"/>
      <c r="G24" s="72"/>
    </row>
    <row r="25" spans="1:8" s="70" customFormat="1" x14ac:dyDescent="0.3">
      <c r="C25" s="72"/>
      <c r="D25" s="71"/>
      <c r="F25" s="109"/>
      <c r="G25" s="72"/>
    </row>
    <row r="26" spans="1:8" x14ac:dyDescent="0.3">
      <c r="A26" s="6" t="s">
        <v>375</v>
      </c>
    </row>
    <row r="27" spans="1:8" s="73" customFormat="1" ht="28.8" x14ac:dyDescent="0.3">
      <c r="A27" s="73" t="s">
        <v>376</v>
      </c>
      <c r="B27" s="73" t="s">
        <v>139</v>
      </c>
      <c r="D27" s="74" t="s">
        <v>377</v>
      </c>
      <c r="H27" s="73" t="s">
        <v>378</v>
      </c>
    </row>
  </sheetData>
  <hyperlinks>
    <hyperlink ref="A1" location="Index!A1" display="Index" xr:uid="{00000000-0004-0000-1000-000000000000}"/>
    <hyperlink ref="F6" location="Date!A1" display="Date" xr:uid="{00000000-0004-0000-1000-000001000000}"/>
    <hyperlink ref="F7" location="Material!A1" display="Material" xr:uid="{00000000-0004-0000-1000-000002000000}"/>
    <hyperlink ref="F8" location="Stock_Take_Indicators!A1" display="Stock_Take_Indictors" xr:uid="{00000000-0004-0000-1000-000003000000}"/>
    <hyperlink ref="F23" location="'Process Metadata'!A25" display="Import_Batch_Process_Task" xr:uid="{00000000-0004-0000-1000-000004000000}"/>
  </hyperlinks>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K11"/>
  <sheetViews>
    <sheetView workbookViewId="0"/>
  </sheetViews>
  <sheetFormatPr defaultColWidth="44.109375" defaultRowHeight="14.4" x14ac:dyDescent="0.3"/>
  <cols>
    <col min="1" max="1" width="16.44140625" bestFit="1" customWidth="1"/>
    <col min="2" max="2" width="12" bestFit="1" customWidth="1"/>
    <col min="3" max="3" width="9.88671875" customWidth="1"/>
    <col min="4" max="4" width="43.6640625" bestFit="1" customWidth="1"/>
    <col min="5" max="5" width="5.33203125" bestFit="1" customWidth="1"/>
    <col min="6" max="6" width="5.44140625" bestFit="1" customWidth="1"/>
    <col min="7" max="7" width="9.109375" style="11" bestFit="1" customWidth="1"/>
    <col min="8" max="8" width="20.33203125" style="11" bestFit="1" customWidth="1"/>
    <col min="9" max="10" width="20.33203125" bestFit="1" customWidth="1"/>
    <col min="11" max="11" width="12.33203125" bestFit="1" customWidth="1"/>
  </cols>
  <sheetData>
    <row r="1" spans="1:11" x14ac:dyDescent="0.3">
      <c r="A1" s="5" t="s">
        <v>5</v>
      </c>
    </row>
    <row r="2" spans="1:11" x14ac:dyDescent="0.3">
      <c r="A2" s="8" t="s">
        <v>45</v>
      </c>
      <c r="B2" s="85" t="s">
        <v>46</v>
      </c>
      <c r="C2" s="85"/>
      <c r="D2" s="85"/>
      <c r="E2" s="85"/>
      <c r="F2" s="85"/>
      <c r="G2" s="85"/>
      <c r="H2" s="85"/>
      <c r="I2" s="85"/>
      <c r="J2" s="85"/>
      <c r="K2" s="85"/>
    </row>
    <row r="4" spans="1:11" ht="28.8" x14ac:dyDescent="0.3">
      <c r="A4" s="10" t="s">
        <v>15</v>
      </c>
      <c r="B4" s="10" t="s">
        <v>16</v>
      </c>
      <c r="C4" s="10" t="s">
        <v>465</v>
      </c>
      <c r="D4" s="10" t="s">
        <v>7</v>
      </c>
      <c r="E4" s="10" t="s">
        <v>47</v>
      </c>
      <c r="F4" s="10" t="s">
        <v>48</v>
      </c>
      <c r="G4" s="10" t="s">
        <v>49</v>
      </c>
      <c r="H4" s="10" t="s">
        <v>50</v>
      </c>
      <c r="I4" s="10" t="s">
        <v>51</v>
      </c>
      <c r="J4" s="10" t="s">
        <v>17</v>
      </c>
      <c r="K4" s="10" t="s">
        <v>52</v>
      </c>
    </row>
    <row r="5" spans="1:11" x14ac:dyDescent="0.3">
      <c r="A5" s="8" t="s">
        <v>53</v>
      </c>
      <c r="B5" s="88" t="s">
        <v>20</v>
      </c>
      <c r="C5" s="8"/>
      <c r="D5" s="8" t="s">
        <v>54</v>
      </c>
      <c r="E5" s="8" t="s">
        <v>55</v>
      </c>
      <c r="F5" s="8"/>
      <c r="G5" s="87" t="s">
        <v>56</v>
      </c>
      <c r="H5" s="101">
        <v>99990101</v>
      </c>
      <c r="I5" s="101">
        <v>19000101</v>
      </c>
      <c r="J5" s="101">
        <v>20180318</v>
      </c>
      <c r="K5" s="8"/>
    </row>
    <row r="6" spans="1:11" s="13" customFormat="1" x14ac:dyDescent="0.3">
      <c r="A6" s="89" t="s">
        <v>43</v>
      </c>
      <c r="B6" s="91" t="s">
        <v>57</v>
      </c>
      <c r="C6" s="89"/>
      <c r="D6" s="91" t="s">
        <v>58</v>
      </c>
      <c r="E6" s="89" t="s">
        <v>132</v>
      </c>
      <c r="F6" s="89"/>
      <c r="G6" s="90" t="s">
        <v>56</v>
      </c>
      <c r="H6" s="102">
        <v>2958101</v>
      </c>
      <c r="I6" s="102">
        <v>1</v>
      </c>
      <c r="J6" s="102">
        <v>43177</v>
      </c>
      <c r="K6" s="89" t="s">
        <v>59</v>
      </c>
    </row>
    <row r="7" spans="1:11" x14ac:dyDescent="0.3">
      <c r="A7" t="s">
        <v>60</v>
      </c>
      <c r="B7" s="2" t="s">
        <v>61</v>
      </c>
      <c r="D7" s="2" t="s">
        <v>62</v>
      </c>
      <c r="G7" s="11" t="s">
        <v>56</v>
      </c>
      <c r="H7" s="14" t="s">
        <v>63</v>
      </c>
      <c r="I7" s="14" t="s">
        <v>64</v>
      </c>
      <c r="J7" s="15" t="s">
        <v>65</v>
      </c>
    </row>
    <row r="8" spans="1:11" ht="28.8" x14ac:dyDescent="0.3">
      <c r="A8" t="s">
        <v>68</v>
      </c>
      <c r="B8" s="2" t="s">
        <v>37</v>
      </c>
      <c r="D8" s="2" t="s">
        <v>69</v>
      </c>
      <c r="G8" s="11" t="s">
        <v>56</v>
      </c>
      <c r="H8" s="17">
        <v>1</v>
      </c>
      <c r="I8" s="17">
        <v>1</v>
      </c>
      <c r="J8" s="17">
        <v>3</v>
      </c>
    </row>
    <row r="9" spans="1:11" x14ac:dyDescent="0.3">
      <c r="A9" t="s">
        <v>70</v>
      </c>
      <c r="B9" s="2" t="s">
        <v>66</v>
      </c>
      <c r="D9" s="2" t="s">
        <v>71</v>
      </c>
      <c r="G9" s="11" t="s">
        <v>56</v>
      </c>
      <c r="H9" s="17" t="s">
        <v>72</v>
      </c>
      <c r="I9" s="17" t="s">
        <v>72</v>
      </c>
      <c r="J9" s="17" t="s">
        <v>73</v>
      </c>
    </row>
    <row r="10" spans="1:11" x14ac:dyDescent="0.3">
      <c r="A10" t="s">
        <v>74</v>
      </c>
      <c r="B10" s="2" t="s">
        <v>20</v>
      </c>
      <c r="D10" s="2" t="s">
        <v>75</v>
      </c>
      <c r="G10" s="11" t="s">
        <v>56</v>
      </c>
      <c r="H10" s="14">
        <v>9999</v>
      </c>
      <c r="I10" s="14">
        <v>1900</v>
      </c>
      <c r="J10" s="14">
        <v>2018</v>
      </c>
    </row>
    <row r="11" spans="1:11" ht="43.2" x14ac:dyDescent="0.3">
      <c r="A11" t="s">
        <v>76</v>
      </c>
      <c r="B11" s="2" t="s">
        <v>77</v>
      </c>
      <c r="D11" s="2" t="s">
        <v>78</v>
      </c>
      <c r="G11" s="11" t="s">
        <v>56</v>
      </c>
      <c r="H11" s="16" t="s">
        <v>79</v>
      </c>
      <c r="I11" s="16" t="s">
        <v>80</v>
      </c>
      <c r="J11" s="16" t="s">
        <v>81</v>
      </c>
    </row>
  </sheetData>
  <hyperlinks>
    <hyperlink ref="A1" location="Index!A1" display="Index" xr:uid="{00000000-0004-0000-0C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G1100"/>
  <sheetViews>
    <sheetView workbookViewId="0">
      <pane ySplit="2" topLeftCell="A3" activePane="bottomLeft" state="frozen"/>
      <selection pane="bottomLeft" activeCell="B1" sqref="B1"/>
    </sheetView>
  </sheetViews>
  <sheetFormatPr defaultColWidth="9.109375" defaultRowHeight="14.4" x14ac:dyDescent="0.3"/>
  <cols>
    <col min="1" max="1" width="13" style="21" bestFit="1" customWidth="1"/>
    <col min="2" max="2" width="11.33203125" style="21" bestFit="1" customWidth="1"/>
    <col min="3" max="3" width="21.33203125" style="21" bestFit="1" customWidth="1"/>
    <col min="4" max="4" width="19.109375" style="21" bestFit="1" customWidth="1"/>
    <col min="5" max="5" width="11.6640625" style="21" bestFit="1" customWidth="1"/>
    <col min="6" max="6" width="8.44140625" style="21" bestFit="1" customWidth="1"/>
    <col min="7" max="7" width="15.6640625" style="21" bestFit="1" customWidth="1"/>
    <col min="8" max="16384" width="9.109375" style="21"/>
  </cols>
  <sheetData>
    <row r="1" spans="1:7" x14ac:dyDescent="0.3">
      <c r="A1" s="5" t="s">
        <v>5</v>
      </c>
    </row>
    <row r="2" spans="1:7" x14ac:dyDescent="0.3">
      <c r="A2" s="18" t="s">
        <v>53</v>
      </c>
      <c r="B2" s="19" t="s">
        <v>43</v>
      </c>
      <c r="C2" s="18" t="s">
        <v>60</v>
      </c>
      <c r="D2" s="20" t="s">
        <v>68</v>
      </c>
      <c r="E2" s="18" t="s">
        <v>70</v>
      </c>
      <c r="F2" s="18" t="s">
        <v>74</v>
      </c>
      <c r="G2" s="18" t="s">
        <v>76</v>
      </c>
    </row>
    <row r="3" spans="1:7" x14ac:dyDescent="0.3">
      <c r="A3" s="18">
        <f t="shared" ref="A3" si="0">YEAR(B3)*10000+MONTH(B3)*100+DAY(B3)</f>
        <v>19000101</v>
      </c>
      <c r="B3" s="19">
        <v>1</v>
      </c>
      <c r="C3" s="22" t="s">
        <v>64</v>
      </c>
      <c r="D3" s="21">
        <f t="shared" ref="D3" si="1">MONTH(B3)</f>
        <v>1</v>
      </c>
      <c r="E3" s="21" t="str">
        <f t="shared" ref="E3" si="2">TEXT(B3,"MMMM")</f>
        <v>January</v>
      </c>
      <c r="F3" s="22">
        <f t="shared" ref="F3" si="3">YEAR(B3)</f>
        <v>1900</v>
      </c>
      <c r="G3" s="23" t="str">
        <f t="shared" ref="G3" si="4">TEXT(B3,"YYYY-MM")</f>
        <v>1900-01</v>
      </c>
    </row>
    <row r="4" spans="1:7" x14ac:dyDescent="0.3">
      <c r="A4" s="18">
        <f t="shared" ref="A4:A61" si="5">YEAR(B4)*10000+MONTH(B4)*100+DAY(B4)</f>
        <v>20200101</v>
      </c>
      <c r="B4" s="19">
        <v>43831</v>
      </c>
      <c r="C4" s="24" t="str">
        <f t="shared" ref="C4:C62" si="6">TEXT(B4,"dd MMMM YYYY")</f>
        <v>01 January 2020</v>
      </c>
      <c r="D4" s="21">
        <f t="shared" ref="D4:D61" si="7">MONTH(B4)</f>
        <v>1</v>
      </c>
      <c r="E4" s="21" t="str">
        <f t="shared" ref="E4:E61" si="8">TEXT(B4,"MMMM")</f>
        <v>January</v>
      </c>
      <c r="F4" s="22">
        <f t="shared" ref="F4:F61" si="9">YEAR(B4)</f>
        <v>2020</v>
      </c>
      <c r="G4" s="23" t="str">
        <f t="shared" ref="G4:G61" si="10">TEXT(B4,"YYYY-MM")</f>
        <v>2020-01</v>
      </c>
    </row>
    <row r="5" spans="1:7" x14ac:dyDescent="0.3">
      <c r="A5" s="18">
        <f t="shared" si="5"/>
        <v>20200102</v>
      </c>
      <c r="B5" s="19">
        <v>43832</v>
      </c>
      <c r="C5" s="24" t="str">
        <f t="shared" si="6"/>
        <v>02 January 2020</v>
      </c>
      <c r="D5" s="21">
        <f t="shared" si="7"/>
        <v>1</v>
      </c>
      <c r="E5" s="21" t="str">
        <f t="shared" si="8"/>
        <v>January</v>
      </c>
      <c r="F5" s="22">
        <f t="shared" si="9"/>
        <v>2020</v>
      </c>
      <c r="G5" s="23" t="str">
        <f t="shared" si="10"/>
        <v>2020-01</v>
      </c>
    </row>
    <row r="6" spans="1:7" x14ac:dyDescent="0.3">
      <c r="A6" s="18">
        <f t="shared" si="5"/>
        <v>20200103</v>
      </c>
      <c r="B6" s="19">
        <v>43833</v>
      </c>
      <c r="C6" s="24" t="str">
        <f t="shared" si="6"/>
        <v>03 January 2020</v>
      </c>
      <c r="D6" s="21">
        <f t="shared" si="7"/>
        <v>1</v>
      </c>
      <c r="E6" s="21" t="str">
        <f t="shared" si="8"/>
        <v>January</v>
      </c>
      <c r="F6" s="22">
        <f t="shared" si="9"/>
        <v>2020</v>
      </c>
      <c r="G6" s="23" t="str">
        <f t="shared" si="10"/>
        <v>2020-01</v>
      </c>
    </row>
    <row r="7" spans="1:7" x14ac:dyDescent="0.3">
      <c r="A7" s="18">
        <f t="shared" si="5"/>
        <v>20200104</v>
      </c>
      <c r="B7" s="19">
        <v>43834</v>
      </c>
      <c r="C7" s="24" t="str">
        <f t="shared" si="6"/>
        <v>04 January 2020</v>
      </c>
      <c r="D7" s="21">
        <f t="shared" si="7"/>
        <v>1</v>
      </c>
      <c r="E7" s="21" t="str">
        <f t="shared" si="8"/>
        <v>January</v>
      </c>
      <c r="F7" s="22">
        <f t="shared" si="9"/>
        <v>2020</v>
      </c>
      <c r="G7" s="23" t="str">
        <f t="shared" si="10"/>
        <v>2020-01</v>
      </c>
    </row>
    <row r="8" spans="1:7" x14ac:dyDescent="0.3">
      <c r="A8" s="18">
        <f t="shared" si="5"/>
        <v>20200105</v>
      </c>
      <c r="B8" s="19">
        <v>43835</v>
      </c>
      <c r="C8" s="24" t="str">
        <f t="shared" si="6"/>
        <v>05 January 2020</v>
      </c>
      <c r="D8" s="21">
        <f t="shared" si="7"/>
        <v>1</v>
      </c>
      <c r="E8" s="21" t="str">
        <f t="shared" si="8"/>
        <v>January</v>
      </c>
      <c r="F8" s="22">
        <f t="shared" si="9"/>
        <v>2020</v>
      </c>
      <c r="G8" s="23" t="str">
        <f t="shared" si="10"/>
        <v>2020-01</v>
      </c>
    </row>
    <row r="9" spans="1:7" x14ac:dyDescent="0.3">
      <c r="A9" s="18">
        <f t="shared" si="5"/>
        <v>20200106</v>
      </c>
      <c r="B9" s="19">
        <v>43836</v>
      </c>
      <c r="C9" s="24" t="str">
        <f t="shared" si="6"/>
        <v>06 January 2020</v>
      </c>
      <c r="D9" s="21">
        <f t="shared" si="7"/>
        <v>1</v>
      </c>
      <c r="E9" s="21" t="str">
        <f t="shared" si="8"/>
        <v>January</v>
      </c>
      <c r="F9" s="22">
        <f t="shared" si="9"/>
        <v>2020</v>
      </c>
      <c r="G9" s="23" t="str">
        <f t="shared" si="10"/>
        <v>2020-01</v>
      </c>
    </row>
    <row r="10" spans="1:7" x14ac:dyDescent="0.3">
      <c r="A10" s="18">
        <f t="shared" si="5"/>
        <v>20200107</v>
      </c>
      <c r="B10" s="19">
        <v>43837</v>
      </c>
      <c r="C10" s="24" t="str">
        <f t="shared" si="6"/>
        <v>07 January 2020</v>
      </c>
      <c r="D10" s="21">
        <f t="shared" si="7"/>
        <v>1</v>
      </c>
      <c r="E10" s="21" t="str">
        <f t="shared" si="8"/>
        <v>January</v>
      </c>
      <c r="F10" s="22">
        <f t="shared" si="9"/>
        <v>2020</v>
      </c>
      <c r="G10" s="23" t="str">
        <f t="shared" si="10"/>
        <v>2020-01</v>
      </c>
    </row>
    <row r="11" spans="1:7" x14ac:dyDescent="0.3">
      <c r="A11" s="18">
        <f t="shared" si="5"/>
        <v>20200108</v>
      </c>
      <c r="B11" s="19">
        <v>43838</v>
      </c>
      <c r="C11" s="24" t="str">
        <f t="shared" si="6"/>
        <v>08 January 2020</v>
      </c>
      <c r="D11" s="21">
        <f t="shared" si="7"/>
        <v>1</v>
      </c>
      <c r="E11" s="21" t="str">
        <f t="shared" si="8"/>
        <v>January</v>
      </c>
      <c r="F11" s="22">
        <f t="shared" si="9"/>
        <v>2020</v>
      </c>
      <c r="G11" s="23" t="str">
        <f t="shared" si="10"/>
        <v>2020-01</v>
      </c>
    </row>
    <row r="12" spans="1:7" x14ac:dyDescent="0.3">
      <c r="A12" s="18">
        <f t="shared" si="5"/>
        <v>20200109</v>
      </c>
      <c r="B12" s="19">
        <v>43839</v>
      </c>
      <c r="C12" s="24" t="str">
        <f t="shared" si="6"/>
        <v>09 January 2020</v>
      </c>
      <c r="D12" s="21">
        <f t="shared" si="7"/>
        <v>1</v>
      </c>
      <c r="E12" s="21" t="str">
        <f t="shared" si="8"/>
        <v>January</v>
      </c>
      <c r="F12" s="22">
        <f t="shared" si="9"/>
        <v>2020</v>
      </c>
      <c r="G12" s="23" t="str">
        <f t="shared" si="10"/>
        <v>2020-01</v>
      </c>
    </row>
    <row r="13" spans="1:7" x14ac:dyDescent="0.3">
      <c r="A13" s="18">
        <f t="shared" si="5"/>
        <v>20200110</v>
      </c>
      <c r="B13" s="19">
        <v>43840</v>
      </c>
      <c r="C13" s="24" t="str">
        <f t="shared" si="6"/>
        <v>10 January 2020</v>
      </c>
      <c r="D13" s="21">
        <f t="shared" si="7"/>
        <v>1</v>
      </c>
      <c r="E13" s="21" t="str">
        <f t="shared" si="8"/>
        <v>January</v>
      </c>
      <c r="F13" s="22">
        <f t="shared" si="9"/>
        <v>2020</v>
      </c>
      <c r="G13" s="23" t="str">
        <f t="shared" si="10"/>
        <v>2020-01</v>
      </c>
    </row>
    <row r="14" spans="1:7" x14ac:dyDescent="0.3">
      <c r="A14" s="18">
        <f t="shared" si="5"/>
        <v>20200111</v>
      </c>
      <c r="B14" s="19">
        <v>43841</v>
      </c>
      <c r="C14" s="24" t="str">
        <f t="shared" si="6"/>
        <v>11 January 2020</v>
      </c>
      <c r="D14" s="21">
        <f t="shared" si="7"/>
        <v>1</v>
      </c>
      <c r="E14" s="21" t="str">
        <f t="shared" si="8"/>
        <v>January</v>
      </c>
      <c r="F14" s="22">
        <f t="shared" si="9"/>
        <v>2020</v>
      </c>
      <c r="G14" s="23" t="str">
        <f t="shared" si="10"/>
        <v>2020-01</v>
      </c>
    </row>
    <row r="15" spans="1:7" x14ac:dyDescent="0.3">
      <c r="A15" s="18">
        <f t="shared" si="5"/>
        <v>20200112</v>
      </c>
      <c r="B15" s="19">
        <v>43842</v>
      </c>
      <c r="C15" s="24" t="str">
        <f t="shared" si="6"/>
        <v>12 January 2020</v>
      </c>
      <c r="D15" s="21">
        <f t="shared" si="7"/>
        <v>1</v>
      </c>
      <c r="E15" s="21" t="str">
        <f t="shared" si="8"/>
        <v>January</v>
      </c>
      <c r="F15" s="22">
        <f t="shared" si="9"/>
        <v>2020</v>
      </c>
      <c r="G15" s="23" t="str">
        <f t="shared" si="10"/>
        <v>2020-01</v>
      </c>
    </row>
    <row r="16" spans="1:7" x14ac:dyDescent="0.3">
      <c r="A16" s="18">
        <f t="shared" si="5"/>
        <v>20200113</v>
      </c>
      <c r="B16" s="19">
        <v>43843</v>
      </c>
      <c r="C16" s="24" t="str">
        <f t="shared" si="6"/>
        <v>13 January 2020</v>
      </c>
      <c r="D16" s="21">
        <f t="shared" si="7"/>
        <v>1</v>
      </c>
      <c r="E16" s="21" t="str">
        <f t="shared" si="8"/>
        <v>January</v>
      </c>
      <c r="F16" s="22">
        <f t="shared" si="9"/>
        <v>2020</v>
      </c>
      <c r="G16" s="23" t="str">
        <f t="shared" si="10"/>
        <v>2020-01</v>
      </c>
    </row>
    <row r="17" spans="1:7" x14ac:dyDescent="0.3">
      <c r="A17" s="18">
        <f t="shared" si="5"/>
        <v>20200114</v>
      </c>
      <c r="B17" s="19">
        <v>43844</v>
      </c>
      <c r="C17" s="24" t="str">
        <f t="shared" si="6"/>
        <v>14 January 2020</v>
      </c>
      <c r="D17" s="21">
        <f t="shared" si="7"/>
        <v>1</v>
      </c>
      <c r="E17" s="21" t="str">
        <f t="shared" si="8"/>
        <v>January</v>
      </c>
      <c r="F17" s="22">
        <f t="shared" si="9"/>
        <v>2020</v>
      </c>
      <c r="G17" s="23" t="str">
        <f t="shared" si="10"/>
        <v>2020-01</v>
      </c>
    </row>
    <row r="18" spans="1:7" x14ac:dyDescent="0.3">
      <c r="A18" s="18">
        <f t="shared" si="5"/>
        <v>20200115</v>
      </c>
      <c r="B18" s="19">
        <v>43845</v>
      </c>
      <c r="C18" s="24" t="str">
        <f t="shared" si="6"/>
        <v>15 January 2020</v>
      </c>
      <c r="D18" s="21">
        <f t="shared" si="7"/>
        <v>1</v>
      </c>
      <c r="E18" s="21" t="str">
        <f t="shared" si="8"/>
        <v>January</v>
      </c>
      <c r="F18" s="22">
        <f t="shared" si="9"/>
        <v>2020</v>
      </c>
      <c r="G18" s="23" t="str">
        <f t="shared" si="10"/>
        <v>2020-01</v>
      </c>
    </row>
    <row r="19" spans="1:7" x14ac:dyDescent="0.3">
      <c r="A19" s="18">
        <f t="shared" si="5"/>
        <v>20200116</v>
      </c>
      <c r="B19" s="19">
        <v>43846</v>
      </c>
      <c r="C19" s="24" t="str">
        <f t="shared" si="6"/>
        <v>16 January 2020</v>
      </c>
      <c r="D19" s="21">
        <f t="shared" si="7"/>
        <v>1</v>
      </c>
      <c r="E19" s="21" t="str">
        <f t="shared" si="8"/>
        <v>January</v>
      </c>
      <c r="F19" s="22">
        <f t="shared" si="9"/>
        <v>2020</v>
      </c>
      <c r="G19" s="23" t="str">
        <f t="shared" si="10"/>
        <v>2020-01</v>
      </c>
    </row>
    <row r="20" spans="1:7" x14ac:dyDescent="0.3">
      <c r="A20" s="18">
        <f t="shared" si="5"/>
        <v>20200117</v>
      </c>
      <c r="B20" s="19">
        <v>43847</v>
      </c>
      <c r="C20" s="24" t="str">
        <f t="shared" si="6"/>
        <v>17 January 2020</v>
      </c>
      <c r="D20" s="21">
        <f t="shared" si="7"/>
        <v>1</v>
      </c>
      <c r="E20" s="21" t="str">
        <f t="shared" si="8"/>
        <v>January</v>
      </c>
      <c r="F20" s="22">
        <f t="shared" si="9"/>
        <v>2020</v>
      </c>
      <c r="G20" s="23" t="str">
        <f t="shared" si="10"/>
        <v>2020-01</v>
      </c>
    </row>
    <row r="21" spans="1:7" x14ac:dyDescent="0.3">
      <c r="A21" s="18">
        <f t="shared" si="5"/>
        <v>20200118</v>
      </c>
      <c r="B21" s="19">
        <v>43848</v>
      </c>
      <c r="C21" s="24" t="str">
        <f t="shared" si="6"/>
        <v>18 January 2020</v>
      </c>
      <c r="D21" s="21">
        <f t="shared" si="7"/>
        <v>1</v>
      </c>
      <c r="E21" s="21" t="str">
        <f t="shared" si="8"/>
        <v>January</v>
      </c>
      <c r="F21" s="22">
        <f t="shared" si="9"/>
        <v>2020</v>
      </c>
      <c r="G21" s="23" t="str">
        <f t="shared" si="10"/>
        <v>2020-01</v>
      </c>
    </row>
    <row r="22" spans="1:7" x14ac:dyDescent="0.3">
      <c r="A22" s="18">
        <f t="shared" si="5"/>
        <v>20200119</v>
      </c>
      <c r="B22" s="19">
        <v>43849</v>
      </c>
      <c r="C22" s="24" t="str">
        <f t="shared" si="6"/>
        <v>19 January 2020</v>
      </c>
      <c r="D22" s="21">
        <f t="shared" si="7"/>
        <v>1</v>
      </c>
      <c r="E22" s="21" t="str">
        <f t="shared" si="8"/>
        <v>January</v>
      </c>
      <c r="F22" s="22">
        <f t="shared" si="9"/>
        <v>2020</v>
      </c>
      <c r="G22" s="23" t="str">
        <f t="shared" si="10"/>
        <v>2020-01</v>
      </c>
    </row>
    <row r="23" spans="1:7" x14ac:dyDescent="0.3">
      <c r="A23" s="18">
        <f t="shared" si="5"/>
        <v>20200120</v>
      </c>
      <c r="B23" s="19">
        <v>43850</v>
      </c>
      <c r="C23" s="24" t="str">
        <f t="shared" si="6"/>
        <v>20 January 2020</v>
      </c>
      <c r="D23" s="21">
        <f t="shared" si="7"/>
        <v>1</v>
      </c>
      <c r="E23" s="21" t="str">
        <f t="shared" si="8"/>
        <v>January</v>
      </c>
      <c r="F23" s="22">
        <f t="shared" si="9"/>
        <v>2020</v>
      </c>
      <c r="G23" s="23" t="str">
        <f t="shared" si="10"/>
        <v>2020-01</v>
      </c>
    </row>
    <row r="24" spans="1:7" x14ac:dyDescent="0.3">
      <c r="A24" s="18">
        <f t="shared" si="5"/>
        <v>20200121</v>
      </c>
      <c r="B24" s="19">
        <v>43851</v>
      </c>
      <c r="C24" s="24" t="str">
        <f t="shared" si="6"/>
        <v>21 January 2020</v>
      </c>
      <c r="D24" s="21">
        <f t="shared" si="7"/>
        <v>1</v>
      </c>
      <c r="E24" s="21" t="str">
        <f t="shared" si="8"/>
        <v>January</v>
      </c>
      <c r="F24" s="22">
        <f t="shared" si="9"/>
        <v>2020</v>
      </c>
      <c r="G24" s="23" t="str">
        <f t="shared" si="10"/>
        <v>2020-01</v>
      </c>
    </row>
    <row r="25" spans="1:7" x14ac:dyDescent="0.3">
      <c r="A25" s="18">
        <f t="shared" si="5"/>
        <v>20200122</v>
      </c>
      <c r="B25" s="19">
        <v>43852</v>
      </c>
      <c r="C25" s="24" t="str">
        <f t="shared" si="6"/>
        <v>22 January 2020</v>
      </c>
      <c r="D25" s="21">
        <f t="shared" si="7"/>
        <v>1</v>
      </c>
      <c r="E25" s="21" t="str">
        <f t="shared" si="8"/>
        <v>January</v>
      </c>
      <c r="F25" s="22">
        <f t="shared" si="9"/>
        <v>2020</v>
      </c>
      <c r="G25" s="23" t="str">
        <f t="shared" si="10"/>
        <v>2020-01</v>
      </c>
    </row>
    <row r="26" spans="1:7" x14ac:dyDescent="0.3">
      <c r="A26" s="18">
        <f t="shared" si="5"/>
        <v>20200123</v>
      </c>
      <c r="B26" s="19">
        <v>43853</v>
      </c>
      <c r="C26" s="24" t="str">
        <f t="shared" si="6"/>
        <v>23 January 2020</v>
      </c>
      <c r="D26" s="21">
        <f t="shared" si="7"/>
        <v>1</v>
      </c>
      <c r="E26" s="21" t="str">
        <f t="shared" si="8"/>
        <v>January</v>
      </c>
      <c r="F26" s="22">
        <f t="shared" si="9"/>
        <v>2020</v>
      </c>
      <c r="G26" s="23" t="str">
        <f t="shared" si="10"/>
        <v>2020-01</v>
      </c>
    </row>
    <row r="27" spans="1:7" x14ac:dyDescent="0.3">
      <c r="A27" s="18">
        <f t="shared" si="5"/>
        <v>20200124</v>
      </c>
      <c r="B27" s="19">
        <v>43854</v>
      </c>
      <c r="C27" s="24" t="str">
        <f t="shared" si="6"/>
        <v>24 January 2020</v>
      </c>
      <c r="D27" s="21">
        <f t="shared" si="7"/>
        <v>1</v>
      </c>
      <c r="E27" s="21" t="str">
        <f t="shared" si="8"/>
        <v>January</v>
      </c>
      <c r="F27" s="22">
        <f t="shared" si="9"/>
        <v>2020</v>
      </c>
      <c r="G27" s="23" t="str">
        <f t="shared" si="10"/>
        <v>2020-01</v>
      </c>
    </row>
    <row r="28" spans="1:7" x14ac:dyDescent="0.3">
      <c r="A28" s="18">
        <f t="shared" si="5"/>
        <v>20200125</v>
      </c>
      <c r="B28" s="19">
        <v>43855</v>
      </c>
      <c r="C28" s="24" t="str">
        <f t="shared" si="6"/>
        <v>25 January 2020</v>
      </c>
      <c r="D28" s="21">
        <f t="shared" si="7"/>
        <v>1</v>
      </c>
      <c r="E28" s="21" t="str">
        <f t="shared" si="8"/>
        <v>January</v>
      </c>
      <c r="F28" s="22">
        <f t="shared" si="9"/>
        <v>2020</v>
      </c>
      <c r="G28" s="23" t="str">
        <f t="shared" si="10"/>
        <v>2020-01</v>
      </c>
    </row>
    <row r="29" spans="1:7" x14ac:dyDescent="0.3">
      <c r="A29" s="18">
        <f t="shared" si="5"/>
        <v>20200126</v>
      </c>
      <c r="B29" s="19">
        <v>43856</v>
      </c>
      <c r="C29" s="24" t="str">
        <f t="shared" si="6"/>
        <v>26 January 2020</v>
      </c>
      <c r="D29" s="21">
        <f t="shared" si="7"/>
        <v>1</v>
      </c>
      <c r="E29" s="21" t="str">
        <f t="shared" si="8"/>
        <v>January</v>
      </c>
      <c r="F29" s="22">
        <f t="shared" si="9"/>
        <v>2020</v>
      </c>
      <c r="G29" s="23" t="str">
        <f t="shared" si="10"/>
        <v>2020-01</v>
      </c>
    </row>
    <row r="30" spans="1:7" x14ac:dyDescent="0.3">
      <c r="A30" s="18">
        <f t="shared" si="5"/>
        <v>20200127</v>
      </c>
      <c r="B30" s="19">
        <v>43857</v>
      </c>
      <c r="C30" s="24" t="str">
        <f t="shared" si="6"/>
        <v>27 January 2020</v>
      </c>
      <c r="D30" s="21">
        <f t="shared" si="7"/>
        <v>1</v>
      </c>
      <c r="E30" s="21" t="str">
        <f t="shared" si="8"/>
        <v>January</v>
      </c>
      <c r="F30" s="22">
        <f t="shared" si="9"/>
        <v>2020</v>
      </c>
      <c r="G30" s="23" t="str">
        <f t="shared" si="10"/>
        <v>2020-01</v>
      </c>
    </row>
    <row r="31" spans="1:7" x14ac:dyDescent="0.3">
      <c r="A31" s="18">
        <f t="shared" si="5"/>
        <v>20200128</v>
      </c>
      <c r="B31" s="19">
        <v>43858</v>
      </c>
      <c r="C31" s="24" t="str">
        <f t="shared" si="6"/>
        <v>28 January 2020</v>
      </c>
      <c r="D31" s="21">
        <f t="shared" si="7"/>
        <v>1</v>
      </c>
      <c r="E31" s="21" t="str">
        <f t="shared" si="8"/>
        <v>January</v>
      </c>
      <c r="F31" s="22">
        <f t="shared" si="9"/>
        <v>2020</v>
      </c>
      <c r="G31" s="23" t="str">
        <f t="shared" si="10"/>
        <v>2020-01</v>
      </c>
    </row>
    <row r="32" spans="1:7" x14ac:dyDescent="0.3">
      <c r="A32" s="18">
        <f t="shared" si="5"/>
        <v>20200129</v>
      </c>
      <c r="B32" s="19">
        <v>43859</v>
      </c>
      <c r="C32" s="24" t="str">
        <f t="shared" si="6"/>
        <v>29 January 2020</v>
      </c>
      <c r="D32" s="21">
        <f t="shared" si="7"/>
        <v>1</v>
      </c>
      <c r="E32" s="21" t="str">
        <f t="shared" si="8"/>
        <v>January</v>
      </c>
      <c r="F32" s="22">
        <f t="shared" si="9"/>
        <v>2020</v>
      </c>
      <c r="G32" s="23" t="str">
        <f t="shared" si="10"/>
        <v>2020-01</v>
      </c>
    </row>
    <row r="33" spans="1:7" x14ac:dyDescent="0.3">
      <c r="A33" s="18">
        <f t="shared" si="5"/>
        <v>20200130</v>
      </c>
      <c r="B33" s="19">
        <v>43860</v>
      </c>
      <c r="C33" s="24" t="str">
        <f t="shared" si="6"/>
        <v>30 January 2020</v>
      </c>
      <c r="D33" s="21">
        <f t="shared" si="7"/>
        <v>1</v>
      </c>
      <c r="E33" s="21" t="str">
        <f t="shared" si="8"/>
        <v>January</v>
      </c>
      <c r="F33" s="22">
        <f t="shared" si="9"/>
        <v>2020</v>
      </c>
      <c r="G33" s="23" t="str">
        <f t="shared" si="10"/>
        <v>2020-01</v>
      </c>
    </row>
    <row r="34" spans="1:7" x14ac:dyDescent="0.3">
      <c r="A34" s="18">
        <f t="shared" si="5"/>
        <v>20200131</v>
      </c>
      <c r="B34" s="19">
        <v>43861</v>
      </c>
      <c r="C34" s="24" t="str">
        <f t="shared" si="6"/>
        <v>31 January 2020</v>
      </c>
      <c r="D34" s="21">
        <f t="shared" si="7"/>
        <v>1</v>
      </c>
      <c r="E34" s="21" t="str">
        <f t="shared" si="8"/>
        <v>January</v>
      </c>
      <c r="F34" s="22">
        <f t="shared" si="9"/>
        <v>2020</v>
      </c>
      <c r="G34" s="23" t="str">
        <f t="shared" si="10"/>
        <v>2020-01</v>
      </c>
    </row>
    <row r="35" spans="1:7" x14ac:dyDescent="0.3">
      <c r="A35" s="18">
        <f t="shared" si="5"/>
        <v>20200201</v>
      </c>
      <c r="B35" s="19">
        <v>43862</v>
      </c>
      <c r="C35" s="24" t="str">
        <f t="shared" si="6"/>
        <v>01 February 2020</v>
      </c>
      <c r="D35" s="21">
        <f t="shared" si="7"/>
        <v>2</v>
      </c>
      <c r="E35" s="21" t="str">
        <f t="shared" si="8"/>
        <v>February</v>
      </c>
      <c r="F35" s="22">
        <f t="shared" si="9"/>
        <v>2020</v>
      </c>
      <c r="G35" s="23" t="str">
        <f t="shared" si="10"/>
        <v>2020-02</v>
      </c>
    </row>
    <row r="36" spans="1:7" x14ac:dyDescent="0.3">
      <c r="A36" s="18">
        <f t="shared" si="5"/>
        <v>20200202</v>
      </c>
      <c r="B36" s="19">
        <v>43863</v>
      </c>
      <c r="C36" s="24" t="str">
        <f t="shared" si="6"/>
        <v>02 February 2020</v>
      </c>
      <c r="D36" s="21">
        <f t="shared" si="7"/>
        <v>2</v>
      </c>
      <c r="E36" s="21" t="str">
        <f t="shared" si="8"/>
        <v>February</v>
      </c>
      <c r="F36" s="22">
        <f t="shared" si="9"/>
        <v>2020</v>
      </c>
      <c r="G36" s="23" t="str">
        <f t="shared" si="10"/>
        <v>2020-02</v>
      </c>
    </row>
    <row r="37" spans="1:7" x14ac:dyDescent="0.3">
      <c r="A37" s="18">
        <f t="shared" si="5"/>
        <v>20200203</v>
      </c>
      <c r="B37" s="19">
        <v>43864</v>
      </c>
      <c r="C37" s="24" t="str">
        <f t="shared" si="6"/>
        <v>03 February 2020</v>
      </c>
      <c r="D37" s="21">
        <f t="shared" si="7"/>
        <v>2</v>
      </c>
      <c r="E37" s="21" t="str">
        <f t="shared" si="8"/>
        <v>February</v>
      </c>
      <c r="F37" s="22">
        <f t="shared" si="9"/>
        <v>2020</v>
      </c>
      <c r="G37" s="23" t="str">
        <f t="shared" si="10"/>
        <v>2020-02</v>
      </c>
    </row>
    <row r="38" spans="1:7" x14ac:dyDescent="0.3">
      <c r="A38" s="18">
        <f t="shared" si="5"/>
        <v>20200204</v>
      </c>
      <c r="B38" s="19">
        <v>43865</v>
      </c>
      <c r="C38" s="24" t="str">
        <f t="shared" si="6"/>
        <v>04 February 2020</v>
      </c>
      <c r="D38" s="21">
        <f t="shared" si="7"/>
        <v>2</v>
      </c>
      <c r="E38" s="21" t="str">
        <f t="shared" si="8"/>
        <v>February</v>
      </c>
      <c r="F38" s="22">
        <f t="shared" si="9"/>
        <v>2020</v>
      </c>
      <c r="G38" s="23" t="str">
        <f t="shared" si="10"/>
        <v>2020-02</v>
      </c>
    </row>
    <row r="39" spans="1:7" x14ac:dyDescent="0.3">
      <c r="A39" s="18">
        <f t="shared" si="5"/>
        <v>20200205</v>
      </c>
      <c r="B39" s="19">
        <v>43866</v>
      </c>
      <c r="C39" s="24" t="str">
        <f t="shared" si="6"/>
        <v>05 February 2020</v>
      </c>
      <c r="D39" s="21">
        <f t="shared" si="7"/>
        <v>2</v>
      </c>
      <c r="E39" s="21" t="str">
        <f t="shared" si="8"/>
        <v>February</v>
      </c>
      <c r="F39" s="22">
        <f t="shared" si="9"/>
        <v>2020</v>
      </c>
      <c r="G39" s="23" t="str">
        <f t="shared" si="10"/>
        <v>2020-02</v>
      </c>
    </row>
    <row r="40" spans="1:7" x14ac:dyDescent="0.3">
      <c r="A40" s="18">
        <f t="shared" si="5"/>
        <v>20200206</v>
      </c>
      <c r="B40" s="19">
        <v>43867</v>
      </c>
      <c r="C40" s="24" t="str">
        <f t="shared" si="6"/>
        <v>06 February 2020</v>
      </c>
      <c r="D40" s="21">
        <f t="shared" si="7"/>
        <v>2</v>
      </c>
      <c r="E40" s="21" t="str">
        <f t="shared" si="8"/>
        <v>February</v>
      </c>
      <c r="F40" s="22">
        <f t="shared" si="9"/>
        <v>2020</v>
      </c>
      <c r="G40" s="23" t="str">
        <f t="shared" si="10"/>
        <v>2020-02</v>
      </c>
    </row>
    <row r="41" spans="1:7" x14ac:dyDescent="0.3">
      <c r="A41" s="18">
        <f t="shared" si="5"/>
        <v>20200207</v>
      </c>
      <c r="B41" s="19">
        <v>43868</v>
      </c>
      <c r="C41" s="24" t="str">
        <f t="shared" si="6"/>
        <v>07 February 2020</v>
      </c>
      <c r="D41" s="21">
        <f t="shared" si="7"/>
        <v>2</v>
      </c>
      <c r="E41" s="21" t="str">
        <f t="shared" si="8"/>
        <v>February</v>
      </c>
      <c r="F41" s="22">
        <f t="shared" si="9"/>
        <v>2020</v>
      </c>
      <c r="G41" s="23" t="str">
        <f t="shared" si="10"/>
        <v>2020-02</v>
      </c>
    </row>
    <row r="42" spans="1:7" x14ac:dyDescent="0.3">
      <c r="A42" s="18">
        <f t="shared" si="5"/>
        <v>20200208</v>
      </c>
      <c r="B42" s="19">
        <v>43869</v>
      </c>
      <c r="C42" s="24" t="str">
        <f t="shared" si="6"/>
        <v>08 February 2020</v>
      </c>
      <c r="D42" s="21">
        <f t="shared" si="7"/>
        <v>2</v>
      </c>
      <c r="E42" s="21" t="str">
        <f t="shared" si="8"/>
        <v>February</v>
      </c>
      <c r="F42" s="22">
        <f t="shared" si="9"/>
        <v>2020</v>
      </c>
      <c r="G42" s="23" t="str">
        <f t="shared" si="10"/>
        <v>2020-02</v>
      </c>
    </row>
    <row r="43" spans="1:7" x14ac:dyDescent="0.3">
      <c r="A43" s="18">
        <f t="shared" si="5"/>
        <v>20200209</v>
      </c>
      <c r="B43" s="19">
        <v>43870</v>
      </c>
      <c r="C43" s="24" t="str">
        <f t="shared" si="6"/>
        <v>09 February 2020</v>
      </c>
      <c r="D43" s="21">
        <f t="shared" si="7"/>
        <v>2</v>
      </c>
      <c r="E43" s="21" t="str">
        <f t="shared" si="8"/>
        <v>February</v>
      </c>
      <c r="F43" s="22">
        <f t="shared" si="9"/>
        <v>2020</v>
      </c>
      <c r="G43" s="23" t="str">
        <f t="shared" si="10"/>
        <v>2020-02</v>
      </c>
    </row>
    <row r="44" spans="1:7" x14ac:dyDescent="0.3">
      <c r="A44" s="18">
        <f t="shared" si="5"/>
        <v>20200210</v>
      </c>
      <c r="B44" s="19">
        <v>43871</v>
      </c>
      <c r="C44" s="24" t="str">
        <f t="shared" si="6"/>
        <v>10 February 2020</v>
      </c>
      <c r="D44" s="21">
        <f t="shared" si="7"/>
        <v>2</v>
      </c>
      <c r="E44" s="21" t="str">
        <f t="shared" si="8"/>
        <v>February</v>
      </c>
      <c r="F44" s="22">
        <f t="shared" si="9"/>
        <v>2020</v>
      </c>
      <c r="G44" s="23" t="str">
        <f t="shared" si="10"/>
        <v>2020-02</v>
      </c>
    </row>
    <row r="45" spans="1:7" x14ac:dyDescent="0.3">
      <c r="A45" s="18">
        <f t="shared" si="5"/>
        <v>20200211</v>
      </c>
      <c r="B45" s="19">
        <v>43872</v>
      </c>
      <c r="C45" s="24" t="str">
        <f t="shared" si="6"/>
        <v>11 February 2020</v>
      </c>
      <c r="D45" s="21">
        <f t="shared" si="7"/>
        <v>2</v>
      </c>
      <c r="E45" s="21" t="str">
        <f t="shared" si="8"/>
        <v>February</v>
      </c>
      <c r="F45" s="22">
        <f t="shared" si="9"/>
        <v>2020</v>
      </c>
      <c r="G45" s="23" t="str">
        <f t="shared" si="10"/>
        <v>2020-02</v>
      </c>
    </row>
    <row r="46" spans="1:7" x14ac:dyDescent="0.3">
      <c r="A46" s="18">
        <f t="shared" si="5"/>
        <v>20200212</v>
      </c>
      <c r="B46" s="19">
        <v>43873</v>
      </c>
      <c r="C46" s="24" t="str">
        <f t="shared" si="6"/>
        <v>12 February 2020</v>
      </c>
      <c r="D46" s="21">
        <f t="shared" si="7"/>
        <v>2</v>
      </c>
      <c r="E46" s="21" t="str">
        <f t="shared" si="8"/>
        <v>February</v>
      </c>
      <c r="F46" s="22">
        <f t="shared" si="9"/>
        <v>2020</v>
      </c>
      <c r="G46" s="23" t="str">
        <f t="shared" si="10"/>
        <v>2020-02</v>
      </c>
    </row>
    <row r="47" spans="1:7" x14ac:dyDescent="0.3">
      <c r="A47" s="18">
        <f t="shared" si="5"/>
        <v>20200213</v>
      </c>
      <c r="B47" s="19">
        <v>43874</v>
      </c>
      <c r="C47" s="24" t="str">
        <f t="shared" si="6"/>
        <v>13 February 2020</v>
      </c>
      <c r="D47" s="21">
        <f t="shared" si="7"/>
        <v>2</v>
      </c>
      <c r="E47" s="21" t="str">
        <f t="shared" si="8"/>
        <v>February</v>
      </c>
      <c r="F47" s="22">
        <f t="shared" si="9"/>
        <v>2020</v>
      </c>
      <c r="G47" s="23" t="str">
        <f t="shared" si="10"/>
        <v>2020-02</v>
      </c>
    </row>
    <row r="48" spans="1:7" x14ac:dyDescent="0.3">
      <c r="A48" s="18">
        <f t="shared" si="5"/>
        <v>20200214</v>
      </c>
      <c r="B48" s="19">
        <v>43875</v>
      </c>
      <c r="C48" s="24" t="str">
        <f t="shared" si="6"/>
        <v>14 February 2020</v>
      </c>
      <c r="D48" s="21">
        <f t="shared" si="7"/>
        <v>2</v>
      </c>
      <c r="E48" s="21" t="str">
        <f t="shared" si="8"/>
        <v>February</v>
      </c>
      <c r="F48" s="22">
        <f t="shared" si="9"/>
        <v>2020</v>
      </c>
      <c r="G48" s="23" t="str">
        <f t="shared" si="10"/>
        <v>2020-02</v>
      </c>
    </row>
    <row r="49" spans="1:7" x14ac:dyDescent="0.3">
      <c r="A49" s="18">
        <f t="shared" si="5"/>
        <v>20200215</v>
      </c>
      <c r="B49" s="19">
        <v>43876</v>
      </c>
      <c r="C49" s="24" t="str">
        <f t="shared" si="6"/>
        <v>15 February 2020</v>
      </c>
      <c r="D49" s="21">
        <f t="shared" si="7"/>
        <v>2</v>
      </c>
      <c r="E49" s="21" t="str">
        <f t="shared" si="8"/>
        <v>February</v>
      </c>
      <c r="F49" s="22">
        <f t="shared" si="9"/>
        <v>2020</v>
      </c>
      <c r="G49" s="23" t="str">
        <f t="shared" si="10"/>
        <v>2020-02</v>
      </c>
    </row>
    <row r="50" spans="1:7" x14ac:dyDescent="0.3">
      <c r="A50" s="18">
        <f t="shared" si="5"/>
        <v>20200216</v>
      </c>
      <c r="B50" s="19">
        <v>43877</v>
      </c>
      <c r="C50" s="24" t="str">
        <f t="shared" si="6"/>
        <v>16 February 2020</v>
      </c>
      <c r="D50" s="21">
        <f t="shared" si="7"/>
        <v>2</v>
      </c>
      <c r="E50" s="21" t="str">
        <f t="shared" si="8"/>
        <v>February</v>
      </c>
      <c r="F50" s="22">
        <f t="shared" si="9"/>
        <v>2020</v>
      </c>
      <c r="G50" s="23" t="str">
        <f t="shared" si="10"/>
        <v>2020-02</v>
      </c>
    </row>
    <row r="51" spans="1:7" x14ac:dyDescent="0.3">
      <c r="A51" s="18">
        <f t="shared" si="5"/>
        <v>20200217</v>
      </c>
      <c r="B51" s="19">
        <v>43878</v>
      </c>
      <c r="C51" s="24" t="str">
        <f t="shared" si="6"/>
        <v>17 February 2020</v>
      </c>
      <c r="D51" s="21">
        <f t="shared" si="7"/>
        <v>2</v>
      </c>
      <c r="E51" s="21" t="str">
        <f t="shared" si="8"/>
        <v>February</v>
      </c>
      <c r="F51" s="22">
        <f t="shared" si="9"/>
        <v>2020</v>
      </c>
      <c r="G51" s="23" t="str">
        <f t="shared" si="10"/>
        <v>2020-02</v>
      </c>
    </row>
    <row r="52" spans="1:7" x14ac:dyDescent="0.3">
      <c r="A52" s="18">
        <f t="shared" si="5"/>
        <v>20200218</v>
      </c>
      <c r="B52" s="19">
        <v>43879</v>
      </c>
      <c r="C52" s="24" t="str">
        <f t="shared" si="6"/>
        <v>18 February 2020</v>
      </c>
      <c r="D52" s="21">
        <f t="shared" si="7"/>
        <v>2</v>
      </c>
      <c r="E52" s="21" t="str">
        <f t="shared" si="8"/>
        <v>February</v>
      </c>
      <c r="F52" s="22">
        <f t="shared" si="9"/>
        <v>2020</v>
      </c>
      <c r="G52" s="23" t="str">
        <f t="shared" si="10"/>
        <v>2020-02</v>
      </c>
    </row>
    <row r="53" spans="1:7" x14ac:dyDescent="0.3">
      <c r="A53" s="18">
        <f t="shared" si="5"/>
        <v>20200219</v>
      </c>
      <c r="B53" s="19">
        <v>43880</v>
      </c>
      <c r="C53" s="24" t="str">
        <f t="shared" si="6"/>
        <v>19 February 2020</v>
      </c>
      <c r="D53" s="21">
        <f t="shared" si="7"/>
        <v>2</v>
      </c>
      <c r="E53" s="21" t="str">
        <f t="shared" si="8"/>
        <v>February</v>
      </c>
      <c r="F53" s="22">
        <f t="shared" si="9"/>
        <v>2020</v>
      </c>
      <c r="G53" s="23" t="str">
        <f t="shared" si="10"/>
        <v>2020-02</v>
      </c>
    </row>
    <row r="54" spans="1:7" x14ac:dyDescent="0.3">
      <c r="A54" s="18">
        <f t="shared" si="5"/>
        <v>20200220</v>
      </c>
      <c r="B54" s="19">
        <v>43881</v>
      </c>
      <c r="C54" s="24" t="str">
        <f t="shared" si="6"/>
        <v>20 February 2020</v>
      </c>
      <c r="D54" s="21">
        <f t="shared" si="7"/>
        <v>2</v>
      </c>
      <c r="E54" s="21" t="str">
        <f t="shared" si="8"/>
        <v>February</v>
      </c>
      <c r="F54" s="22">
        <f t="shared" si="9"/>
        <v>2020</v>
      </c>
      <c r="G54" s="23" t="str">
        <f t="shared" si="10"/>
        <v>2020-02</v>
      </c>
    </row>
    <row r="55" spans="1:7" x14ac:dyDescent="0.3">
      <c r="A55" s="18">
        <f t="shared" si="5"/>
        <v>20200221</v>
      </c>
      <c r="B55" s="19">
        <v>43882</v>
      </c>
      <c r="C55" s="24" t="str">
        <f t="shared" si="6"/>
        <v>21 February 2020</v>
      </c>
      <c r="D55" s="21">
        <f t="shared" si="7"/>
        <v>2</v>
      </c>
      <c r="E55" s="21" t="str">
        <f t="shared" si="8"/>
        <v>February</v>
      </c>
      <c r="F55" s="22">
        <f t="shared" si="9"/>
        <v>2020</v>
      </c>
      <c r="G55" s="23" t="str">
        <f t="shared" si="10"/>
        <v>2020-02</v>
      </c>
    </row>
    <row r="56" spans="1:7" x14ac:dyDescent="0.3">
      <c r="A56" s="18">
        <f t="shared" si="5"/>
        <v>20200222</v>
      </c>
      <c r="B56" s="19">
        <v>43883</v>
      </c>
      <c r="C56" s="24" t="str">
        <f t="shared" si="6"/>
        <v>22 February 2020</v>
      </c>
      <c r="D56" s="21">
        <f t="shared" si="7"/>
        <v>2</v>
      </c>
      <c r="E56" s="21" t="str">
        <f t="shared" si="8"/>
        <v>February</v>
      </c>
      <c r="F56" s="22">
        <f t="shared" si="9"/>
        <v>2020</v>
      </c>
      <c r="G56" s="23" t="str">
        <f t="shared" si="10"/>
        <v>2020-02</v>
      </c>
    </row>
    <row r="57" spans="1:7" x14ac:dyDescent="0.3">
      <c r="A57" s="18">
        <f t="shared" si="5"/>
        <v>20200223</v>
      </c>
      <c r="B57" s="19">
        <v>43884</v>
      </c>
      <c r="C57" s="24" t="str">
        <f t="shared" si="6"/>
        <v>23 February 2020</v>
      </c>
      <c r="D57" s="21">
        <f t="shared" si="7"/>
        <v>2</v>
      </c>
      <c r="E57" s="21" t="str">
        <f t="shared" si="8"/>
        <v>February</v>
      </c>
      <c r="F57" s="22">
        <f t="shared" si="9"/>
        <v>2020</v>
      </c>
      <c r="G57" s="23" t="str">
        <f t="shared" si="10"/>
        <v>2020-02</v>
      </c>
    </row>
    <row r="58" spans="1:7" x14ac:dyDescent="0.3">
      <c r="A58" s="18">
        <f t="shared" si="5"/>
        <v>20200224</v>
      </c>
      <c r="B58" s="19">
        <v>43885</v>
      </c>
      <c r="C58" s="24" t="str">
        <f t="shared" si="6"/>
        <v>24 February 2020</v>
      </c>
      <c r="D58" s="21">
        <f t="shared" si="7"/>
        <v>2</v>
      </c>
      <c r="E58" s="21" t="str">
        <f t="shared" si="8"/>
        <v>February</v>
      </c>
      <c r="F58" s="22">
        <f t="shared" si="9"/>
        <v>2020</v>
      </c>
      <c r="G58" s="23" t="str">
        <f t="shared" si="10"/>
        <v>2020-02</v>
      </c>
    </row>
    <row r="59" spans="1:7" x14ac:dyDescent="0.3">
      <c r="A59" s="18">
        <f t="shared" si="5"/>
        <v>20200225</v>
      </c>
      <c r="B59" s="19">
        <v>43886</v>
      </c>
      <c r="C59" s="24" t="str">
        <f t="shared" si="6"/>
        <v>25 February 2020</v>
      </c>
      <c r="D59" s="21">
        <f t="shared" si="7"/>
        <v>2</v>
      </c>
      <c r="E59" s="21" t="str">
        <f t="shared" si="8"/>
        <v>February</v>
      </c>
      <c r="F59" s="22">
        <f t="shared" si="9"/>
        <v>2020</v>
      </c>
      <c r="G59" s="23" t="str">
        <f t="shared" si="10"/>
        <v>2020-02</v>
      </c>
    </row>
    <row r="60" spans="1:7" x14ac:dyDescent="0.3">
      <c r="A60" s="18">
        <f t="shared" si="5"/>
        <v>20200226</v>
      </c>
      <c r="B60" s="19">
        <v>43887</v>
      </c>
      <c r="C60" s="24" t="str">
        <f t="shared" si="6"/>
        <v>26 February 2020</v>
      </c>
      <c r="D60" s="21">
        <f t="shared" si="7"/>
        <v>2</v>
      </c>
      <c r="E60" s="21" t="str">
        <f t="shared" si="8"/>
        <v>February</v>
      </c>
      <c r="F60" s="22">
        <f t="shared" si="9"/>
        <v>2020</v>
      </c>
      <c r="G60" s="23" t="str">
        <f t="shared" si="10"/>
        <v>2020-02</v>
      </c>
    </row>
    <row r="61" spans="1:7" x14ac:dyDescent="0.3">
      <c r="A61" s="18">
        <f t="shared" si="5"/>
        <v>20200227</v>
      </c>
      <c r="B61" s="19">
        <v>43888</v>
      </c>
      <c r="C61" s="24" t="str">
        <f t="shared" si="6"/>
        <v>27 February 2020</v>
      </c>
      <c r="D61" s="21">
        <f t="shared" si="7"/>
        <v>2</v>
      </c>
      <c r="E61" s="21" t="str">
        <f t="shared" si="8"/>
        <v>February</v>
      </c>
      <c r="F61" s="22">
        <f t="shared" si="9"/>
        <v>2020</v>
      </c>
      <c r="G61" s="23" t="str">
        <f t="shared" si="10"/>
        <v>2020-02</v>
      </c>
    </row>
    <row r="62" spans="1:7" x14ac:dyDescent="0.3">
      <c r="A62" s="18">
        <f t="shared" ref="A62:A125" si="11">YEAR(B62)*10000+MONTH(B62)*100+DAY(B62)</f>
        <v>20200228</v>
      </c>
      <c r="B62" s="19">
        <v>43889</v>
      </c>
      <c r="C62" s="24" t="str">
        <f t="shared" si="6"/>
        <v>28 February 2020</v>
      </c>
      <c r="D62" s="21">
        <f t="shared" ref="D62:D125" si="12">MONTH(B62)</f>
        <v>2</v>
      </c>
      <c r="E62" s="21" t="str">
        <f t="shared" ref="E62:E125" si="13">TEXT(B62,"MMMM")</f>
        <v>February</v>
      </c>
      <c r="F62" s="22">
        <f t="shared" ref="F62:F125" si="14">YEAR(B62)</f>
        <v>2020</v>
      </c>
      <c r="G62" s="23" t="str">
        <f t="shared" ref="G62:G125" si="15">TEXT(B62,"YYYY-MM")</f>
        <v>2020-02</v>
      </c>
    </row>
    <row r="63" spans="1:7" x14ac:dyDescent="0.3">
      <c r="A63" s="18">
        <f t="shared" si="11"/>
        <v>20200229</v>
      </c>
      <c r="B63" s="19">
        <v>43890</v>
      </c>
      <c r="C63" s="24" t="str">
        <f t="shared" ref="C63:C126" si="16">TEXT(B63,"dd MMMM YYYY")</f>
        <v>29 February 2020</v>
      </c>
      <c r="D63" s="21">
        <f t="shared" si="12"/>
        <v>2</v>
      </c>
      <c r="E63" s="21" t="str">
        <f t="shared" si="13"/>
        <v>February</v>
      </c>
      <c r="F63" s="22">
        <f t="shared" si="14"/>
        <v>2020</v>
      </c>
      <c r="G63" s="23" t="str">
        <f t="shared" si="15"/>
        <v>2020-02</v>
      </c>
    </row>
    <row r="64" spans="1:7" x14ac:dyDescent="0.3">
      <c r="A64" s="18">
        <f t="shared" si="11"/>
        <v>20200301</v>
      </c>
      <c r="B64" s="19">
        <v>43891</v>
      </c>
      <c r="C64" s="24" t="str">
        <f t="shared" si="16"/>
        <v>01 March 2020</v>
      </c>
      <c r="D64" s="21">
        <f t="shared" si="12"/>
        <v>3</v>
      </c>
      <c r="E64" s="21" t="str">
        <f t="shared" si="13"/>
        <v>March</v>
      </c>
      <c r="F64" s="22">
        <f t="shared" si="14"/>
        <v>2020</v>
      </c>
      <c r="G64" s="23" t="str">
        <f t="shared" si="15"/>
        <v>2020-03</v>
      </c>
    </row>
    <row r="65" spans="1:7" x14ac:dyDescent="0.3">
      <c r="A65" s="18">
        <f t="shared" si="11"/>
        <v>20200302</v>
      </c>
      <c r="B65" s="19">
        <v>43892</v>
      </c>
      <c r="C65" s="24" t="str">
        <f t="shared" si="16"/>
        <v>02 March 2020</v>
      </c>
      <c r="D65" s="21">
        <f t="shared" si="12"/>
        <v>3</v>
      </c>
      <c r="E65" s="21" t="str">
        <f t="shared" si="13"/>
        <v>March</v>
      </c>
      <c r="F65" s="22">
        <f t="shared" si="14"/>
        <v>2020</v>
      </c>
      <c r="G65" s="23" t="str">
        <f t="shared" si="15"/>
        <v>2020-03</v>
      </c>
    </row>
    <row r="66" spans="1:7" x14ac:dyDescent="0.3">
      <c r="A66" s="18">
        <f t="shared" si="11"/>
        <v>20200303</v>
      </c>
      <c r="B66" s="19">
        <v>43893</v>
      </c>
      <c r="C66" s="24" t="str">
        <f t="shared" si="16"/>
        <v>03 March 2020</v>
      </c>
      <c r="D66" s="21">
        <f t="shared" si="12"/>
        <v>3</v>
      </c>
      <c r="E66" s="21" t="str">
        <f t="shared" si="13"/>
        <v>March</v>
      </c>
      <c r="F66" s="22">
        <f t="shared" si="14"/>
        <v>2020</v>
      </c>
      <c r="G66" s="23" t="str">
        <f t="shared" si="15"/>
        <v>2020-03</v>
      </c>
    </row>
    <row r="67" spans="1:7" x14ac:dyDescent="0.3">
      <c r="A67" s="18">
        <f t="shared" si="11"/>
        <v>20200304</v>
      </c>
      <c r="B67" s="19">
        <v>43894</v>
      </c>
      <c r="C67" s="24" t="str">
        <f t="shared" si="16"/>
        <v>04 March 2020</v>
      </c>
      <c r="D67" s="21">
        <f t="shared" si="12"/>
        <v>3</v>
      </c>
      <c r="E67" s="21" t="str">
        <f t="shared" si="13"/>
        <v>March</v>
      </c>
      <c r="F67" s="22">
        <f t="shared" si="14"/>
        <v>2020</v>
      </c>
      <c r="G67" s="23" t="str">
        <f t="shared" si="15"/>
        <v>2020-03</v>
      </c>
    </row>
    <row r="68" spans="1:7" x14ac:dyDescent="0.3">
      <c r="A68" s="18">
        <f t="shared" si="11"/>
        <v>20200305</v>
      </c>
      <c r="B68" s="19">
        <v>43895</v>
      </c>
      <c r="C68" s="24" t="str">
        <f t="shared" si="16"/>
        <v>05 March 2020</v>
      </c>
      <c r="D68" s="21">
        <f t="shared" si="12"/>
        <v>3</v>
      </c>
      <c r="E68" s="21" t="str">
        <f t="shared" si="13"/>
        <v>March</v>
      </c>
      <c r="F68" s="22">
        <f t="shared" si="14"/>
        <v>2020</v>
      </c>
      <c r="G68" s="23" t="str">
        <f t="shared" si="15"/>
        <v>2020-03</v>
      </c>
    </row>
    <row r="69" spans="1:7" x14ac:dyDescent="0.3">
      <c r="A69" s="18">
        <f t="shared" si="11"/>
        <v>20200306</v>
      </c>
      <c r="B69" s="19">
        <v>43896</v>
      </c>
      <c r="C69" s="24" t="str">
        <f t="shared" si="16"/>
        <v>06 March 2020</v>
      </c>
      <c r="D69" s="21">
        <f t="shared" si="12"/>
        <v>3</v>
      </c>
      <c r="E69" s="21" t="str">
        <f t="shared" si="13"/>
        <v>March</v>
      </c>
      <c r="F69" s="22">
        <f t="shared" si="14"/>
        <v>2020</v>
      </c>
      <c r="G69" s="23" t="str">
        <f t="shared" si="15"/>
        <v>2020-03</v>
      </c>
    </row>
    <row r="70" spans="1:7" x14ac:dyDescent="0.3">
      <c r="A70" s="18">
        <f t="shared" si="11"/>
        <v>20200307</v>
      </c>
      <c r="B70" s="19">
        <v>43897</v>
      </c>
      <c r="C70" s="24" t="str">
        <f t="shared" si="16"/>
        <v>07 March 2020</v>
      </c>
      <c r="D70" s="21">
        <f t="shared" si="12"/>
        <v>3</v>
      </c>
      <c r="E70" s="21" t="str">
        <f t="shared" si="13"/>
        <v>March</v>
      </c>
      <c r="F70" s="22">
        <f t="shared" si="14"/>
        <v>2020</v>
      </c>
      <c r="G70" s="23" t="str">
        <f t="shared" si="15"/>
        <v>2020-03</v>
      </c>
    </row>
    <row r="71" spans="1:7" x14ac:dyDescent="0.3">
      <c r="A71" s="18">
        <f t="shared" si="11"/>
        <v>20200308</v>
      </c>
      <c r="B71" s="19">
        <v>43898</v>
      </c>
      <c r="C71" s="24" t="str">
        <f t="shared" si="16"/>
        <v>08 March 2020</v>
      </c>
      <c r="D71" s="21">
        <f t="shared" si="12"/>
        <v>3</v>
      </c>
      <c r="E71" s="21" t="str">
        <f t="shared" si="13"/>
        <v>March</v>
      </c>
      <c r="F71" s="22">
        <f t="shared" si="14"/>
        <v>2020</v>
      </c>
      <c r="G71" s="23" t="str">
        <f t="shared" si="15"/>
        <v>2020-03</v>
      </c>
    </row>
    <row r="72" spans="1:7" x14ac:dyDescent="0.3">
      <c r="A72" s="18">
        <f t="shared" si="11"/>
        <v>20200309</v>
      </c>
      <c r="B72" s="19">
        <v>43899</v>
      </c>
      <c r="C72" s="24" t="str">
        <f t="shared" si="16"/>
        <v>09 March 2020</v>
      </c>
      <c r="D72" s="21">
        <f t="shared" si="12"/>
        <v>3</v>
      </c>
      <c r="E72" s="21" t="str">
        <f t="shared" si="13"/>
        <v>March</v>
      </c>
      <c r="F72" s="22">
        <f t="shared" si="14"/>
        <v>2020</v>
      </c>
      <c r="G72" s="23" t="str">
        <f t="shared" si="15"/>
        <v>2020-03</v>
      </c>
    </row>
    <row r="73" spans="1:7" x14ac:dyDescent="0.3">
      <c r="A73" s="18">
        <f t="shared" si="11"/>
        <v>20200310</v>
      </c>
      <c r="B73" s="19">
        <v>43900</v>
      </c>
      <c r="C73" s="24" t="str">
        <f t="shared" si="16"/>
        <v>10 March 2020</v>
      </c>
      <c r="D73" s="21">
        <f t="shared" si="12"/>
        <v>3</v>
      </c>
      <c r="E73" s="21" t="str">
        <f t="shared" si="13"/>
        <v>March</v>
      </c>
      <c r="F73" s="22">
        <f t="shared" si="14"/>
        <v>2020</v>
      </c>
      <c r="G73" s="23" t="str">
        <f t="shared" si="15"/>
        <v>2020-03</v>
      </c>
    </row>
    <row r="74" spans="1:7" x14ac:dyDescent="0.3">
      <c r="A74" s="18">
        <f t="shared" si="11"/>
        <v>20200311</v>
      </c>
      <c r="B74" s="19">
        <v>43901</v>
      </c>
      <c r="C74" s="24" t="str">
        <f t="shared" si="16"/>
        <v>11 March 2020</v>
      </c>
      <c r="D74" s="21">
        <f t="shared" si="12"/>
        <v>3</v>
      </c>
      <c r="E74" s="21" t="str">
        <f t="shared" si="13"/>
        <v>March</v>
      </c>
      <c r="F74" s="22">
        <f t="shared" si="14"/>
        <v>2020</v>
      </c>
      <c r="G74" s="23" t="str">
        <f t="shared" si="15"/>
        <v>2020-03</v>
      </c>
    </row>
    <row r="75" spans="1:7" x14ac:dyDescent="0.3">
      <c r="A75" s="18">
        <f t="shared" si="11"/>
        <v>20200312</v>
      </c>
      <c r="B75" s="19">
        <v>43902</v>
      </c>
      <c r="C75" s="24" t="str">
        <f t="shared" si="16"/>
        <v>12 March 2020</v>
      </c>
      <c r="D75" s="21">
        <f t="shared" si="12"/>
        <v>3</v>
      </c>
      <c r="E75" s="21" t="str">
        <f t="shared" si="13"/>
        <v>March</v>
      </c>
      <c r="F75" s="22">
        <f t="shared" si="14"/>
        <v>2020</v>
      </c>
      <c r="G75" s="23" t="str">
        <f t="shared" si="15"/>
        <v>2020-03</v>
      </c>
    </row>
    <row r="76" spans="1:7" x14ac:dyDescent="0.3">
      <c r="A76" s="18">
        <f t="shared" si="11"/>
        <v>20200313</v>
      </c>
      <c r="B76" s="19">
        <v>43903</v>
      </c>
      <c r="C76" s="24" t="str">
        <f t="shared" si="16"/>
        <v>13 March 2020</v>
      </c>
      <c r="D76" s="21">
        <f t="shared" si="12"/>
        <v>3</v>
      </c>
      <c r="E76" s="21" t="str">
        <f t="shared" si="13"/>
        <v>March</v>
      </c>
      <c r="F76" s="22">
        <f t="shared" si="14"/>
        <v>2020</v>
      </c>
      <c r="G76" s="23" t="str">
        <f t="shared" si="15"/>
        <v>2020-03</v>
      </c>
    </row>
    <row r="77" spans="1:7" x14ac:dyDescent="0.3">
      <c r="A77" s="18">
        <f t="shared" si="11"/>
        <v>20200314</v>
      </c>
      <c r="B77" s="19">
        <v>43904</v>
      </c>
      <c r="C77" s="24" t="str">
        <f t="shared" si="16"/>
        <v>14 March 2020</v>
      </c>
      <c r="D77" s="21">
        <f t="shared" si="12"/>
        <v>3</v>
      </c>
      <c r="E77" s="21" t="str">
        <f t="shared" si="13"/>
        <v>March</v>
      </c>
      <c r="F77" s="22">
        <f t="shared" si="14"/>
        <v>2020</v>
      </c>
      <c r="G77" s="23" t="str">
        <f t="shared" si="15"/>
        <v>2020-03</v>
      </c>
    </row>
    <row r="78" spans="1:7" x14ac:dyDescent="0.3">
      <c r="A78" s="18">
        <f t="shared" si="11"/>
        <v>20200315</v>
      </c>
      <c r="B78" s="19">
        <v>43905</v>
      </c>
      <c r="C78" s="24" t="str">
        <f t="shared" si="16"/>
        <v>15 March 2020</v>
      </c>
      <c r="D78" s="21">
        <f t="shared" si="12"/>
        <v>3</v>
      </c>
      <c r="E78" s="21" t="str">
        <f t="shared" si="13"/>
        <v>March</v>
      </c>
      <c r="F78" s="22">
        <f t="shared" si="14"/>
        <v>2020</v>
      </c>
      <c r="G78" s="23" t="str">
        <f t="shared" si="15"/>
        <v>2020-03</v>
      </c>
    </row>
    <row r="79" spans="1:7" x14ac:dyDescent="0.3">
      <c r="A79" s="18">
        <f t="shared" si="11"/>
        <v>20200316</v>
      </c>
      <c r="B79" s="19">
        <v>43906</v>
      </c>
      <c r="C79" s="24" t="str">
        <f t="shared" si="16"/>
        <v>16 March 2020</v>
      </c>
      <c r="D79" s="21">
        <f t="shared" si="12"/>
        <v>3</v>
      </c>
      <c r="E79" s="21" t="str">
        <f t="shared" si="13"/>
        <v>March</v>
      </c>
      <c r="F79" s="22">
        <f t="shared" si="14"/>
        <v>2020</v>
      </c>
      <c r="G79" s="23" t="str">
        <f t="shared" si="15"/>
        <v>2020-03</v>
      </c>
    </row>
    <row r="80" spans="1:7" x14ac:dyDescent="0.3">
      <c r="A80" s="18">
        <f t="shared" si="11"/>
        <v>20200317</v>
      </c>
      <c r="B80" s="19">
        <v>43907</v>
      </c>
      <c r="C80" s="24" t="str">
        <f t="shared" si="16"/>
        <v>17 March 2020</v>
      </c>
      <c r="D80" s="21">
        <f t="shared" si="12"/>
        <v>3</v>
      </c>
      <c r="E80" s="21" t="str">
        <f t="shared" si="13"/>
        <v>March</v>
      </c>
      <c r="F80" s="22">
        <f t="shared" si="14"/>
        <v>2020</v>
      </c>
      <c r="G80" s="23" t="str">
        <f t="shared" si="15"/>
        <v>2020-03</v>
      </c>
    </row>
    <row r="81" spans="1:7" x14ac:dyDescent="0.3">
      <c r="A81" s="18">
        <f t="shared" si="11"/>
        <v>20200318</v>
      </c>
      <c r="B81" s="19">
        <v>43908</v>
      </c>
      <c r="C81" s="24" t="str">
        <f t="shared" si="16"/>
        <v>18 March 2020</v>
      </c>
      <c r="D81" s="21">
        <f t="shared" si="12"/>
        <v>3</v>
      </c>
      <c r="E81" s="21" t="str">
        <f t="shared" si="13"/>
        <v>March</v>
      </c>
      <c r="F81" s="22">
        <f t="shared" si="14"/>
        <v>2020</v>
      </c>
      <c r="G81" s="23" t="str">
        <f t="shared" si="15"/>
        <v>2020-03</v>
      </c>
    </row>
    <row r="82" spans="1:7" x14ac:dyDescent="0.3">
      <c r="A82" s="18">
        <f t="shared" si="11"/>
        <v>20200319</v>
      </c>
      <c r="B82" s="19">
        <v>43909</v>
      </c>
      <c r="C82" s="24" t="str">
        <f t="shared" si="16"/>
        <v>19 March 2020</v>
      </c>
      <c r="D82" s="21">
        <f t="shared" si="12"/>
        <v>3</v>
      </c>
      <c r="E82" s="21" t="str">
        <f t="shared" si="13"/>
        <v>March</v>
      </c>
      <c r="F82" s="22">
        <f t="shared" si="14"/>
        <v>2020</v>
      </c>
      <c r="G82" s="23" t="str">
        <f t="shared" si="15"/>
        <v>2020-03</v>
      </c>
    </row>
    <row r="83" spans="1:7" x14ac:dyDescent="0.3">
      <c r="A83" s="18">
        <f t="shared" si="11"/>
        <v>20200320</v>
      </c>
      <c r="B83" s="19">
        <v>43910</v>
      </c>
      <c r="C83" s="24" t="str">
        <f t="shared" si="16"/>
        <v>20 March 2020</v>
      </c>
      <c r="D83" s="21">
        <f t="shared" si="12"/>
        <v>3</v>
      </c>
      <c r="E83" s="21" t="str">
        <f t="shared" si="13"/>
        <v>March</v>
      </c>
      <c r="F83" s="22">
        <f t="shared" si="14"/>
        <v>2020</v>
      </c>
      <c r="G83" s="23" t="str">
        <f t="shared" si="15"/>
        <v>2020-03</v>
      </c>
    </row>
    <row r="84" spans="1:7" x14ac:dyDescent="0.3">
      <c r="A84" s="18">
        <f t="shared" si="11"/>
        <v>20200321</v>
      </c>
      <c r="B84" s="19">
        <v>43911</v>
      </c>
      <c r="C84" s="24" t="str">
        <f t="shared" si="16"/>
        <v>21 March 2020</v>
      </c>
      <c r="D84" s="21">
        <f t="shared" si="12"/>
        <v>3</v>
      </c>
      <c r="E84" s="21" t="str">
        <f t="shared" si="13"/>
        <v>March</v>
      </c>
      <c r="F84" s="22">
        <f t="shared" si="14"/>
        <v>2020</v>
      </c>
      <c r="G84" s="23" t="str">
        <f t="shared" si="15"/>
        <v>2020-03</v>
      </c>
    </row>
    <row r="85" spans="1:7" x14ac:dyDescent="0.3">
      <c r="A85" s="18">
        <f t="shared" si="11"/>
        <v>20200322</v>
      </c>
      <c r="B85" s="19">
        <v>43912</v>
      </c>
      <c r="C85" s="24" t="str">
        <f t="shared" si="16"/>
        <v>22 March 2020</v>
      </c>
      <c r="D85" s="21">
        <f t="shared" si="12"/>
        <v>3</v>
      </c>
      <c r="E85" s="21" t="str">
        <f t="shared" si="13"/>
        <v>March</v>
      </c>
      <c r="F85" s="22">
        <f t="shared" si="14"/>
        <v>2020</v>
      </c>
      <c r="G85" s="23" t="str">
        <f t="shared" si="15"/>
        <v>2020-03</v>
      </c>
    </row>
    <row r="86" spans="1:7" x14ac:dyDescent="0.3">
      <c r="A86" s="18">
        <f t="shared" si="11"/>
        <v>20200323</v>
      </c>
      <c r="B86" s="19">
        <v>43913</v>
      </c>
      <c r="C86" s="24" t="str">
        <f t="shared" si="16"/>
        <v>23 March 2020</v>
      </c>
      <c r="D86" s="21">
        <f t="shared" si="12"/>
        <v>3</v>
      </c>
      <c r="E86" s="21" t="str">
        <f t="shared" si="13"/>
        <v>March</v>
      </c>
      <c r="F86" s="22">
        <f t="shared" si="14"/>
        <v>2020</v>
      </c>
      <c r="G86" s="23" t="str">
        <f t="shared" si="15"/>
        <v>2020-03</v>
      </c>
    </row>
    <row r="87" spans="1:7" x14ac:dyDescent="0.3">
      <c r="A87" s="18">
        <f t="shared" si="11"/>
        <v>20200324</v>
      </c>
      <c r="B87" s="19">
        <v>43914</v>
      </c>
      <c r="C87" s="24" t="str">
        <f t="shared" si="16"/>
        <v>24 March 2020</v>
      </c>
      <c r="D87" s="21">
        <f t="shared" si="12"/>
        <v>3</v>
      </c>
      <c r="E87" s="21" t="str">
        <f t="shared" si="13"/>
        <v>March</v>
      </c>
      <c r="F87" s="22">
        <f t="shared" si="14"/>
        <v>2020</v>
      </c>
      <c r="G87" s="23" t="str">
        <f t="shared" si="15"/>
        <v>2020-03</v>
      </c>
    </row>
    <row r="88" spans="1:7" x14ac:dyDescent="0.3">
      <c r="A88" s="18">
        <f t="shared" si="11"/>
        <v>20200325</v>
      </c>
      <c r="B88" s="19">
        <v>43915</v>
      </c>
      <c r="C88" s="24" t="str">
        <f t="shared" si="16"/>
        <v>25 March 2020</v>
      </c>
      <c r="D88" s="21">
        <f t="shared" si="12"/>
        <v>3</v>
      </c>
      <c r="E88" s="21" t="str">
        <f t="shared" si="13"/>
        <v>March</v>
      </c>
      <c r="F88" s="22">
        <f t="shared" si="14"/>
        <v>2020</v>
      </c>
      <c r="G88" s="23" t="str">
        <f t="shared" si="15"/>
        <v>2020-03</v>
      </c>
    </row>
    <row r="89" spans="1:7" x14ac:dyDescent="0.3">
      <c r="A89" s="18">
        <f t="shared" si="11"/>
        <v>20200326</v>
      </c>
      <c r="B89" s="19">
        <v>43916</v>
      </c>
      <c r="C89" s="24" t="str">
        <f t="shared" si="16"/>
        <v>26 March 2020</v>
      </c>
      <c r="D89" s="21">
        <f t="shared" si="12"/>
        <v>3</v>
      </c>
      <c r="E89" s="21" t="str">
        <f t="shared" si="13"/>
        <v>March</v>
      </c>
      <c r="F89" s="22">
        <f t="shared" si="14"/>
        <v>2020</v>
      </c>
      <c r="G89" s="23" t="str">
        <f t="shared" si="15"/>
        <v>2020-03</v>
      </c>
    </row>
    <row r="90" spans="1:7" x14ac:dyDescent="0.3">
      <c r="A90" s="18">
        <f t="shared" si="11"/>
        <v>20200327</v>
      </c>
      <c r="B90" s="19">
        <v>43917</v>
      </c>
      <c r="C90" s="24" t="str">
        <f t="shared" si="16"/>
        <v>27 March 2020</v>
      </c>
      <c r="D90" s="21">
        <f t="shared" si="12"/>
        <v>3</v>
      </c>
      <c r="E90" s="21" t="str">
        <f t="shared" si="13"/>
        <v>March</v>
      </c>
      <c r="F90" s="22">
        <f t="shared" si="14"/>
        <v>2020</v>
      </c>
      <c r="G90" s="23" t="str">
        <f t="shared" si="15"/>
        <v>2020-03</v>
      </c>
    </row>
    <row r="91" spans="1:7" x14ac:dyDescent="0.3">
      <c r="A91" s="18">
        <f t="shared" si="11"/>
        <v>20200328</v>
      </c>
      <c r="B91" s="19">
        <v>43918</v>
      </c>
      <c r="C91" s="24" t="str">
        <f t="shared" si="16"/>
        <v>28 March 2020</v>
      </c>
      <c r="D91" s="21">
        <f t="shared" si="12"/>
        <v>3</v>
      </c>
      <c r="E91" s="21" t="str">
        <f t="shared" si="13"/>
        <v>March</v>
      </c>
      <c r="F91" s="22">
        <f t="shared" si="14"/>
        <v>2020</v>
      </c>
      <c r="G91" s="23" t="str">
        <f t="shared" si="15"/>
        <v>2020-03</v>
      </c>
    </row>
    <row r="92" spans="1:7" x14ac:dyDescent="0.3">
      <c r="A92" s="18">
        <f t="shared" si="11"/>
        <v>20200329</v>
      </c>
      <c r="B92" s="19">
        <v>43919</v>
      </c>
      <c r="C92" s="24" t="str">
        <f t="shared" si="16"/>
        <v>29 March 2020</v>
      </c>
      <c r="D92" s="21">
        <f t="shared" si="12"/>
        <v>3</v>
      </c>
      <c r="E92" s="21" t="str">
        <f t="shared" si="13"/>
        <v>March</v>
      </c>
      <c r="F92" s="22">
        <f t="shared" si="14"/>
        <v>2020</v>
      </c>
      <c r="G92" s="23" t="str">
        <f t="shared" si="15"/>
        <v>2020-03</v>
      </c>
    </row>
    <row r="93" spans="1:7" x14ac:dyDescent="0.3">
      <c r="A93" s="18">
        <f t="shared" si="11"/>
        <v>20200330</v>
      </c>
      <c r="B93" s="19">
        <v>43920</v>
      </c>
      <c r="C93" s="24" t="str">
        <f t="shared" si="16"/>
        <v>30 March 2020</v>
      </c>
      <c r="D93" s="21">
        <f t="shared" si="12"/>
        <v>3</v>
      </c>
      <c r="E93" s="21" t="str">
        <f t="shared" si="13"/>
        <v>March</v>
      </c>
      <c r="F93" s="22">
        <f t="shared" si="14"/>
        <v>2020</v>
      </c>
      <c r="G93" s="23" t="str">
        <f t="shared" si="15"/>
        <v>2020-03</v>
      </c>
    </row>
    <row r="94" spans="1:7" x14ac:dyDescent="0.3">
      <c r="A94" s="18">
        <f t="shared" si="11"/>
        <v>20200331</v>
      </c>
      <c r="B94" s="19">
        <v>43921</v>
      </c>
      <c r="C94" s="24" t="str">
        <f t="shared" si="16"/>
        <v>31 March 2020</v>
      </c>
      <c r="D94" s="21">
        <f t="shared" si="12"/>
        <v>3</v>
      </c>
      <c r="E94" s="21" t="str">
        <f t="shared" si="13"/>
        <v>March</v>
      </c>
      <c r="F94" s="22">
        <f t="shared" si="14"/>
        <v>2020</v>
      </c>
      <c r="G94" s="23" t="str">
        <f t="shared" si="15"/>
        <v>2020-03</v>
      </c>
    </row>
    <row r="95" spans="1:7" x14ac:dyDescent="0.3">
      <c r="A95" s="18">
        <f t="shared" si="11"/>
        <v>20200401</v>
      </c>
      <c r="B95" s="19">
        <v>43922</v>
      </c>
      <c r="C95" s="24" t="str">
        <f t="shared" si="16"/>
        <v>01 April 2020</v>
      </c>
      <c r="D95" s="21">
        <f t="shared" si="12"/>
        <v>4</v>
      </c>
      <c r="E95" s="21" t="str">
        <f t="shared" si="13"/>
        <v>April</v>
      </c>
      <c r="F95" s="22">
        <f t="shared" si="14"/>
        <v>2020</v>
      </c>
      <c r="G95" s="23" t="str">
        <f t="shared" si="15"/>
        <v>2020-04</v>
      </c>
    </row>
    <row r="96" spans="1:7" x14ac:dyDescent="0.3">
      <c r="A96" s="18">
        <f t="shared" si="11"/>
        <v>20200402</v>
      </c>
      <c r="B96" s="19">
        <v>43923</v>
      </c>
      <c r="C96" s="24" t="str">
        <f t="shared" si="16"/>
        <v>02 April 2020</v>
      </c>
      <c r="D96" s="21">
        <f t="shared" si="12"/>
        <v>4</v>
      </c>
      <c r="E96" s="21" t="str">
        <f t="shared" si="13"/>
        <v>April</v>
      </c>
      <c r="F96" s="22">
        <f t="shared" si="14"/>
        <v>2020</v>
      </c>
      <c r="G96" s="23" t="str">
        <f t="shared" si="15"/>
        <v>2020-04</v>
      </c>
    </row>
    <row r="97" spans="1:7" x14ac:dyDescent="0.3">
      <c r="A97" s="18">
        <f t="shared" si="11"/>
        <v>20200403</v>
      </c>
      <c r="B97" s="19">
        <v>43924</v>
      </c>
      <c r="C97" s="24" t="str">
        <f t="shared" si="16"/>
        <v>03 April 2020</v>
      </c>
      <c r="D97" s="21">
        <f t="shared" si="12"/>
        <v>4</v>
      </c>
      <c r="E97" s="21" t="str">
        <f t="shared" si="13"/>
        <v>April</v>
      </c>
      <c r="F97" s="22">
        <f t="shared" si="14"/>
        <v>2020</v>
      </c>
      <c r="G97" s="23" t="str">
        <f t="shared" si="15"/>
        <v>2020-04</v>
      </c>
    </row>
    <row r="98" spans="1:7" x14ac:dyDescent="0.3">
      <c r="A98" s="18">
        <f t="shared" si="11"/>
        <v>20200404</v>
      </c>
      <c r="B98" s="19">
        <v>43925</v>
      </c>
      <c r="C98" s="24" t="str">
        <f t="shared" si="16"/>
        <v>04 April 2020</v>
      </c>
      <c r="D98" s="21">
        <f t="shared" si="12"/>
        <v>4</v>
      </c>
      <c r="E98" s="21" t="str">
        <f t="shared" si="13"/>
        <v>April</v>
      </c>
      <c r="F98" s="22">
        <f t="shared" si="14"/>
        <v>2020</v>
      </c>
      <c r="G98" s="23" t="str">
        <f t="shared" si="15"/>
        <v>2020-04</v>
      </c>
    </row>
    <row r="99" spans="1:7" x14ac:dyDescent="0.3">
      <c r="A99" s="18">
        <f t="shared" si="11"/>
        <v>20200405</v>
      </c>
      <c r="B99" s="19">
        <v>43926</v>
      </c>
      <c r="C99" s="24" t="str">
        <f t="shared" si="16"/>
        <v>05 April 2020</v>
      </c>
      <c r="D99" s="21">
        <f t="shared" si="12"/>
        <v>4</v>
      </c>
      <c r="E99" s="21" t="str">
        <f t="shared" si="13"/>
        <v>April</v>
      </c>
      <c r="F99" s="22">
        <f t="shared" si="14"/>
        <v>2020</v>
      </c>
      <c r="G99" s="23" t="str">
        <f t="shared" si="15"/>
        <v>2020-04</v>
      </c>
    </row>
    <row r="100" spans="1:7" x14ac:dyDescent="0.3">
      <c r="A100" s="18">
        <f t="shared" si="11"/>
        <v>20200406</v>
      </c>
      <c r="B100" s="19">
        <v>43927</v>
      </c>
      <c r="C100" s="24" t="str">
        <f t="shared" si="16"/>
        <v>06 April 2020</v>
      </c>
      <c r="D100" s="21">
        <f t="shared" si="12"/>
        <v>4</v>
      </c>
      <c r="E100" s="21" t="str">
        <f t="shared" si="13"/>
        <v>April</v>
      </c>
      <c r="F100" s="22">
        <f t="shared" si="14"/>
        <v>2020</v>
      </c>
      <c r="G100" s="23" t="str">
        <f t="shared" si="15"/>
        <v>2020-04</v>
      </c>
    </row>
    <row r="101" spans="1:7" x14ac:dyDescent="0.3">
      <c r="A101" s="18">
        <f t="shared" si="11"/>
        <v>20200407</v>
      </c>
      <c r="B101" s="19">
        <v>43928</v>
      </c>
      <c r="C101" s="24" t="str">
        <f t="shared" si="16"/>
        <v>07 April 2020</v>
      </c>
      <c r="D101" s="21">
        <f t="shared" si="12"/>
        <v>4</v>
      </c>
      <c r="E101" s="21" t="str">
        <f t="shared" si="13"/>
        <v>April</v>
      </c>
      <c r="F101" s="22">
        <f t="shared" si="14"/>
        <v>2020</v>
      </c>
      <c r="G101" s="23" t="str">
        <f t="shared" si="15"/>
        <v>2020-04</v>
      </c>
    </row>
    <row r="102" spans="1:7" x14ac:dyDescent="0.3">
      <c r="A102" s="18">
        <f t="shared" si="11"/>
        <v>20200408</v>
      </c>
      <c r="B102" s="19">
        <v>43929</v>
      </c>
      <c r="C102" s="24" t="str">
        <f t="shared" si="16"/>
        <v>08 April 2020</v>
      </c>
      <c r="D102" s="21">
        <f t="shared" si="12"/>
        <v>4</v>
      </c>
      <c r="E102" s="21" t="str">
        <f t="shared" si="13"/>
        <v>April</v>
      </c>
      <c r="F102" s="22">
        <f t="shared" si="14"/>
        <v>2020</v>
      </c>
      <c r="G102" s="23" t="str">
        <f t="shared" si="15"/>
        <v>2020-04</v>
      </c>
    </row>
    <row r="103" spans="1:7" x14ac:dyDescent="0.3">
      <c r="A103" s="18">
        <f t="shared" si="11"/>
        <v>20200409</v>
      </c>
      <c r="B103" s="19">
        <v>43930</v>
      </c>
      <c r="C103" s="24" t="str">
        <f t="shared" si="16"/>
        <v>09 April 2020</v>
      </c>
      <c r="D103" s="21">
        <f t="shared" si="12"/>
        <v>4</v>
      </c>
      <c r="E103" s="21" t="str">
        <f t="shared" si="13"/>
        <v>April</v>
      </c>
      <c r="F103" s="22">
        <f t="shared" si="14"/>
        <v>2020</v>
      </c>
      <c r="G103" s="23" t="str">
        <f t="shared" si="15"/>
        <v>2020-04</v>
      </c>
    </row>
    <row r="104" spans="1:7" x14ac:dyDescent="0.3">
      <c r="A104" s="18">
        <f t="shared" si="11"/>
        <v>20200410</v>
      </c>
      <c r="B104" s="19">
        <v>43931</v>
      </c>
      <c r="C104" s="24" t="str">
        <f t="shared" si="16"/>
        <v>10 April 2020</v>
      </c>
      <c r="D104" s="21">
        <f t="shared" si="12"/>
        <v>4</v>
      </c>
      <c r="E104" s="21" t="str">
        <f t="shared" si="13"/>
        <v>April</v>
      </c>
      <c r="F104" s="22">
        <f t="shared" si="14"/>
        <v>2020</v>
      </c>
      <c r="G104" s="23" t="str">
        <f t="shared" si="15"/>
        <v>2020-04</v>
      </c>
    </row>
    <row r="105" spans="1:7" x14ac:dyDescent="0.3">
      <c r="A105" s="18">
        <f t="shared" si="11"/>
        <v>20200411</v>
      </c>
      <c r="B105" s="19">
        <v>43932</v>
      </c>
      <c r="C105" s="24" t="str">
        <f t="shared" si="16"/>
        <v>11 April 2020</v>
      </c>
      <c r="D105" s="21">
        <f t="shared" si="12"/>
        <v>4</v>
      </c>
      <c r="E105" s="21" t="str">
        <f t="shared" si="13"/>
        <v>April</v>
      </c>
      <c r="F105" s="22">
        <f t="shared" si="14"/>
        <v>2020</v>
      </c>
      <c r="G105" s="23" t="str">
        <f t="shared" si="15"/>
        <v>2020-04</v>
      </c>
    </row>
    <row r="106" spans="1:7" x14ac:dyDescent="0.3">
      <c r="A106" s="18">
        <f t="shared" si="11"/>
        <v>20200412</v>
      </c>
      <c r="B106" s="19">
        <v>43933</v>
      </c>
      <c r="C106" s="24" t="str">
        <f t="shared" si="16"/>
        <v>12 April 2020</v>
      </c>
      <c r="D106" s="21">
        <f t="shared" si="12"/>
        <v>4</v>
      </c>
      <c r="E106" s="21" t="str">
        <f t="shared" si="13"/>
        <v>April</v>
      </c>
      <c r="F106" s="22">
        <f t="shared" si="14"/>
        <v>2020</v>
      </c>
      <c r="G106" s="23" t="str">
        <f t="shared" si="15"/>
        <v>2020-04</v>
      </c>
    </row>
    <row r="107" spans="1:7" x14ac:dyDescent="0.3">
      <c r="A107" s="18">
        <f t="shared" si="11"/>
        <v>20200413</v>
      </c>
      <c r="B107" s="19">
        <v>43934</v>
      </c>
      <c r="C107" s="24" t="str">
        <f t="shared" si="16"/>
        <v>13 April 2020</v>
      </c>
      <c r="D107" s="21">
        <f t="shared" si="12"/>
        <v>4</v>
      </c>
      <c r="E107" s="21" t="str">
        <f t="shared" si="13"/>
        <v>April</v>
      </c>
      <c r="F107" s="22">
        <f t="shared" si="14"/>
        <v>2020</v>
      </c>
      <c r="G107" s="23" t="str">
        <f t="shared" si="15"/>
        <v>2020-04</v>
      </c>
    </row>
    <row r="108" spans="1:7" x14ac:dyDescent="0.3">
      <c r="A108" s="18">
        <f t="shared" si="11"/>
        <v>20200414</v>
      </c>
      <c r="B108" s="19">
        <v>43935</v>
      </c>
      <c r="C108" s="24" t="str">
        <f t="shared" si="16"/>
        <v>14 April 2020</v>
      </c>
      <c r="D108" s="21">
        <f t="shared" si="12"/>
        <v>4</v>
      </c>
      <c r="E108" s="21" t="str">
        <f t="shared" si="13"/>
        <v>April</v>
      </c>
      <c r="F108" s="22">
        <f t="shared" si="14"/>
        <v>2020</v>
      </c>
      <c r="G108" s="23" t="str">
        <f t="shared" si="15"/>
        <v>2020-04</v>
      </c>
    </row>
    <row r="109" spans="1:7" x14ac:dyDescent="0.3">
      <c r="A109" s="18">
        <f t="shared" si="11"/>
        <v>20200415</v>
      </c>
      <c r="B109" s="19">
        <v>43936</v>
      </c>
      <c r="C109" s="24" t="str">
        <f t="shared" si="16"/>
        <v>15 April 2020</v>
      </c>
      <c r="D109" s="21">
        <f t="shared" si="12"/>
        <v>4</v>
      </c>
      <c r="E109" s="21" t="str">
        <f t="shared" si="13"/>
        <v>April</v>
      </c>
      <c r="F109" s="22">
        <f t="shared" si="14"/>
        <v>2020</v>
      </c>
      <c r="G109" s="23" t="str">
        <f t="shared" si="15"/>
        <v>2020-04</v>
      </c>
    </row>
    <row r="110" spans="1:7" x14ac:dyDescent="0.3">
      <c r="A110" s="18">
        <f t="shared" si="11"/>
        <v>20200416</v>
      </c>
      <c r="B110" s="19">
        <v>43937</v>
      </c>
      <c r="C110" s="24" t="str">
        <f t="shared" si="16"/>
        <v>16 April 2020</v>
      </c>
      <c r="D110" s="21">
        <f t="shared" si="12"/>
        <v>4</v>
      </c>
      <c r="E110" s="21" t="str">
        <f t="shared" si="13"/>
        <v>April</v>
      </c>
      <c r="F110" s="22">
        <f t="shared" si="14"/>
        <v>2020</v>
      </c>
      <c r="G110" s="23" t="str">
        <f t="shared" si="15"/>
        <v>2020-04</v>
      </c>
    </row>
    <row r="111" spans="1:7" x14ac:dyDescent="0.3">
      <c r="A111" s="18">
        <f t="shared" si="11"/>
        <v>20200417</v>
      </c>
      <c r="B111" s="19">
        <v>43938</v>
      </c>
      <c r="C111" s="24" t="str">
        <f t="shared" si="16"/>
        <v>17 April 2020</v>
      </c>
      <c r="D111" s="21">
        <f t="shared" si="12"/>
        <v>4</v>
      </c>
      <c r="E111" s="21" t="str">
        <f t="shared" si="13"/>
        <v>April</v>
      </c>
      <c r="F111" s="22">
        <f t="shared" si="14"/>
        <v>2020</v>
      </c>
      <c r="G111" s="23" t="str">
        <f t="shared" si="15"/>
        <v>2020-04</v>
      </c>
    </row>
    <row r="112" spans="1:7" x14ac:dyDescent="0.3">
      <c r="A112" s="18">
        <f t="shared" si="11"/>
        <v>20200418</v>
      </c>
      <c r="B112" s="19">
        <v>43939</v>
      </c>
      <c r="C112" s="24" t="str">
        <f t="shared" si="16"/>
        <v>18 April 2020</v>
      </c>
      <c r="D112" s="21">
        <f t="shared" si="12"/>
        <v>4</v>
      </c>
      <c r="E112" s="21" t="str">
        <f t="shared" si="13"/>
        <v>April</v>
      </c>
      <c r="F112" s="22">
        <f t="shared" si="14"/>
        <v>2020</v>
      </c>
      <c r="G112" s="23" t="str">
        <f t="shared" si="15"/>
        <v>2020-04</v>
      </c>
    </row>
    <row r="113" spans="1:7" x14ac:dyDescent="0.3">
      <c r="A113" s="18">
        <f t="shared" si="11"/>
        <v>20200419</v>
      </c>
      <c r="B113" s="19">
        <v>43940</v>
      </c>
      <c r="C113" s="24" t="str">
        <f t="shared" si="16"/>
        <v>19 April 2020</v>
      </c>
      <c r="D113" s="21">
        <f t="shared" si="12"/>
        <v>4</v>
      </c>
      <c r="E113" s="21" t="str">
        <f t="shared" si="13"/>
        <v>April</v>
      </c>
      <c r="F113" s="22">
        <f t="shared" si="14"/>
        <v>2020</v>
      </c>
      <c r="G113" s="23" t="str">
        <f t="shared" si="15"/>
        <v>2020-04</v>
      </c>
    </row>
    <row r="114" spans="1:7" x14ac:dyDescent="0.3">
      <c r="A114" s="18">
        <f t="shared" si="11"/>
        <v>20200420</v>
      </c>
      <c r="B114" s="19">
        <v>43941</v>
      </c>
      <c r="C114" s="24" t="str">
        <f t="shared" si="16"/>
        <v>20 April 2020</v>
      </c>
      <c r="D114" s="21">
        <f t="shared" si="12"/>
        <v>4</v>
      </c>
      <c r="E114" s="21" t="str">
        <f t="shared" si="13"/>
        <v>April</v>
      </c>
      <c r="F114" s="22">
        <f t="shared" si="14"/>
        <v>2020</v>
      </c>
      <c r="G114" s="23" t="str">
        <f t="shared" si="15"/>
        <v>2020-04</v>
      </c>
    </row>
    <row r="115" spans="1:7" x14ac:dyDescent="0.3">
      <c r="A115" s="18">
        <f t="shared" si="11"/>
        <v>20200421</v>
      </c>
      <c r="B115" s="19">
        <v>43942</v>
      </c>
      <c r="C115" s="24" t="str">
        <f t="shared" si="16"/>
        <v>21 April 2020</v>
      </c>
      <c r="D115" s="21">
        <f t="shared" si="12"/>
        <v>4</v>
      </c>
      <c r="E115" s="21" t="str">
        <f t="shared" si="13"/>
        <v>April</v>
      </c>
      <c r="F115" s="22">
        <f t="shared" si="14"/>
        <v>2020</v>
      </c>
      <c r="G115" s="23" t="str">
        <f t="shared" si="15"/>
        <v>2020-04</v>
      </c>
    </row>
    <row r="116" spans="1:7" x14ac:dyDescent="0.3">
      <c r="A116" s="18">
        <f t="shared" si="11"/>
        <v>20200422</v>
      </c>
      <c r="B116" s="19">
        <v>43943</v>
      </c>
      <c r="C116" s="24" t="str">
        <f t="shared" si="16"/>
        <v>22 April 2020</v>
      </c>
      <c r="D116" s="21">
        <f t="shared" si="12"/>
        <v>4</v>
      </c>
      <c r="E116" s="21" t="str">
        <f t="shared" si="13"/>
        <v>April</v>
      </c>
      <c r="F116" s="22">
        <f t="shared" si="14"/>
        <v>2020</v>
      </c>
      <c r="G116" s="23" t="str">
        <f t="shared" si="15"/>
        <v>2020-04</v>
      </c>
    </row>
    <row r="117" spans="1:7" x14ac:dyDescent="0.3">
      <c r="A117" s="18">
        <f t="shared" si="11"/>
        <v>20200423</v>
      </c>
      <c r="B117" s="19">
        <v>43944</v>
      </c>
      <c r="C117" s="24" t="str">
        <f t="shared" si="16"/>
        <v>23 April 2020</v>
      </c>
      <c r="D117" s="21">
        <f t="shared" si="12"/>
        <v>4</v>
      </c>
      <c r="E117" s="21" t="str">
        <f t="shared" si="13"/>
        <v>April</v>
      </c>
      <c r="F117" s="22">
        <f t="shared" si="14"/>
        <v>2020</v>
      </c>
      <c r="G117" s="23" t="str">
        <f t="shared" si="15"/>
        <v>2020-04</v>
      </c>
    </row>
    <row r="118" spans="1:7" x14ac:dyDescent="0.3">
      <c r="A118" s="18">
        <f t="shared" si="11"/>
        <v>20200424</v>
      </c>
      <c r="B118" s="19">
        <v>43945</v>
      </c>
      <c r="C118" s="24" t="str">
        <f t="shared" si="16"/>
        <v>24 April 2020</v>
      </c>
      <c r="D118" s="21">
        <f t="shared" si="12"/>
        <v>4</v>
      </c>
      <c r="E118" s="21" t="str">
        <f t="shared" si="13"/>
        <v>April</v>
      </c>
      <c r="F118" s="22">
        <f t="shared" si="14"/>
        <v>2020</v>
      </c>
      <c r="G118" s="23" t="str">
        <f t="shared" si="15"/>
        <v>2020-04</v>
      </c>
    </row>
    <row r="119" spans="1:7" x14ac:dyDescent="0.3">
      <c r="A119" s="18">
        <f t="shared" si="11"/>
        <v>20200425</v>
      </c>
      <c r="B119" s="19">
        <v>43946</v>
      </c>
      <c r="C119" s="24" t="str">
        <f t="shared" si="16"/>
        <v>25 April 2020</v>
      </c>
      <c r="D119" s="21">
        <f t="shared" si="12"/>
        <v>4</v>
      </c>
      <c r="E119" s="21" t="str">
        <f t="shared" si="13"/>
        <v>April</v>
      </c>
      <c r="F119" s="22">
        <f t="shared" si="14"/>
        <v>2020</v>
      </c>
      <c r="G119" s="23" t="str">
        <f t="shared" si="15"/>
        <v>2020-04</v>
      </c>
    </row>
    <row r="120" spans="1:7" x14ac:dyDescent="0.3">
      <c r="A120" s="18">
        <f t="shared" si="11"/>
        <v>20200426</v>
      </c>
      <c r="B120" s="19">
        <v>43947</v>
      </c>
      <c r="C120" s="24" t="str">
        <f t="shared" si="16"/>
        <v>26 April 2020</v>
      </c>
      <c r="D120" s="21">
        <f t="shared" si="12"/>
        <v>4</v>
      </c>
      <c r="E120" s="21" t="str">
        <f t="shared" si="13"/>
        <v>April</v>
      </c>
      <c r="F120" s="22">
        <f t="shared" si="14"/>
        <v>2020</v>
      </c>
      <c r="G120" s="23" t="str">
        <f t="shared" si="15"/>
        <v>2020-04</v>
      </c>
    </row>
    <row r="121" spans="1:7" x14ac:dyDescent="0.3">
      <c r="A121" s="18">
        <f t="shared" si="11"/>
        <v>20200427</v>
      </c>
      <c r="B121" s="19">
        <v>43948</v>
      </c>
      <c r="C121" s="24" t="str">
        <f t="shared" si="16"/>
        <v>27 April 2020</v>
      </c>
      <c r="D121" s="21">
        <f t="shared" si="12"/>
        <v>4</v>
      </c>
      <c r="E121" s="21" t="str">
        <f t="shared" si="13"/>
        <v>April</v>
      </c>
      <c r="F121" s="22">
        <f t="shared" si="14"/>
        <v>2020</v>
      </c>
      <c r="G121" s="23" t="str">
        <f t="shared" si="15"/>
        <v>2020-04</v>
      </c>
    </row>
    <row r="122" spans="1:7" x14ac:dyDescent="0.3">
      <c r="A122" s="18">
        <f t="shared" si="11"/>
        <v>20200428</v>
      </c>
      <c r="B122" s="19">
        <v>43949</v>
      </c>
      <c r="C122" s="24" t="str">
        <f t="shared" si="16"/>
        <v>28 April 2020</v>
      </c>
      <c r="D122" s="21">
        <f t="shared" si="12"/>
        <v>4</v>
      </c>
      <c r="E122" s="21" t="str">
        <f t="shared" si="13"/>
        <v>April</v>
      </c>
      <c r="F122" s="22">
        <f t="shared" si="14"/>
        <v>2020</v>
      </c>
      <c r="G122" s="23" t="str">
        <f t="shared" si="15"/>
        <v>2020-04</v>
      </c>
    </row>
    <row r="123" spans="1:7" x14ac:dyDescent="0.3">
      <c r="A123" s="18">
        <f t="shared" si="11"/>
        <v>20200429</v>
      </c>
      <c r="B123" s="19">
        <v>43950</v>
      </c>
      <c r="C123" s="24" t="str">
        <f t="shared" si="16"/>
        <v>29 April 2020</v>
      </c>
      <c r="D123" s="21">
        <f t="shared" si="12"/>
        <v>4</v>
      </c>
      <c r="E123" s="21" t="str">
        <f t="shared" si="13"/>
        <v>April</v>
      </c>
      <c r="F123" s="22">
        <f t="shared" si="14"/>
        <v>2020</v>
      </c>
      <c r="G123" s="23" t="str">
        <f t="shared" si="15"/>
        <v>2020-04</v>
      </c>
    </row>
    <row r="124" spans="1:7" x14ac:dyDescent="0.3">
      <c r="A124" s="18">
        <f t="shared" si="11"/>
        <v>20200430</v>
      </c>
      <c r="B124" s="19">
        <v>43951</v>
      </c>
      <c r="C124" s="24" t="str">
        <f t="shared" si="16"/>
        <v>30 April 2020</v>
      </c>
      <c r="D124" s="21">
        <f t="shared" si="12"/>
        <v>4</v>
      </c>
      <c r="E124" s="21" t="str">
        <f t="shared" si="13"/>
        <v>April</v>
      </c>
      <c r="F124" s="22">
        <f t="shared" si="14"/>
        <v>2020</v>
      </c>
      <c r="G124" s="23" t="str">
        <f t="shared" si="15"/>
        <v>2020-04</v>
      </c>
    </row>
    <row r="125" spans="1:7" x14ac:dyDescent="0.3">
      <c r="A125" s="18">
        <f t="shared" si="11"/>
        <v>20200501</v>
      </c>
      <c r="B125" s="19">
        <v>43952</v>
      </c>
      <c r="C125" s="24" t="str">
        <f t="shared" si="16"/>
        <v>01 May 2020</v>
      </c>
      <c r="D125" s="21">
        <f t="shared" si="12"/>
        <v>5</v>
      </c>
      <c r="E125" s="21" t="str">
        <f t="shared" si="13"/>
        <v>May</v>
      </c>
      <c r="F125" s="22">
        <f t="shared" si="14"/>
        <v>2020</v>
      </c>
      <c r="G125" s="23" t="str">
        <f t="shared" si="15"/>
        <v>2020-05</v>
      </c>
    </row>
    <row r="126" spans="1:7" x14ac:dyDescent="0.3">
      <c r="A126" s="18">
        <f t="shared" ref="A126:A189" si="17">YEAR(B126)*10000+MONTH(B126)*100+DAY(B126)</f>
        <v>20200502</v>
      </c>
      <c r="B126" s="19">
        <v>43953</v>
      </c>
      <c r="C126" s="24" t="str">
        <f t="shared" si="16"/>
        <v>02 May 2020</v>
      </c>
      <c r="D126" s="21">
        <f t="shared" ref="D126:D189" si="18">MONTH(B126)</f>
        <v>5</v>
      </c>
      <c r="E126" s="21" t="str">
        <f t="shared" ref="E126:E189" si="19">TEXT(B126,"MMMM")</f>
        <v>May</v>
      </c>
      <c r="F126" s="22">
        <f t="shared" ref="F126:F189" si="20">YEAR(B126)</f>
        <v>2020</v>
      </c>
      <c r="G126" s="23" t="str">
        <f t="shared" ref="G126:G189" si="21">TEXT(B126,"YYYY-MM")</f>
        <v>2020-05</v>
      </c>
    </row>
    <row r="127" spans="1:7" x14ac:dyDescent="0.3">
      <c r="A127" s="18">
        <f t="shared" si="17"/>
        <v>20200503</v>
      </c>
      <c r="B127" s="19">
        <v>43954</v>
      </c>
      <c r="C127" s="24" t="str">
        <f t="shared" ref="C127:C190" si="22">TEXT(B127,"dd MMMM YYYY")</f>
        <v>03 May 2020</v>
      </c>
      <c r="D127" s="21">
        <f t="shared" si="18"/>
        <v>5</v>
      </c>
      <c r="E127" s="21" t="str">
        <f t="shared" si="19"/>
        <v>May</v>
      </c>
      <c r="F127" s="22">
        <f t="shared" si="20"/>
        <v>2020</v>
      </c>
      <c r="G127" s="23" t="str">
        <f t="shared" si="21"/>
        <v>2020-05</v>
      </c>
    </row>
    <row r="128" spans="1:7" x14ac:dyDescent="0.3">
      <c r="A128" s="18">
        <f t="shared" si="17"/>
        <v>20200504</v>
      </c>
      <c r="B128" s="19">
        <v>43955</v>
      </c>
      <c r="C128" s="24" t="str">
        <f t="shared" si="22"/>
        <v>04 May 2020</v>
      </c>
      <c r="D128" s="21">
        <f t="shared" si="18"/>
        <v>5</v>
      </c>
      <c r="E128" s="21" t="str">
        <f t="shared" si="19"/>
        <v>May</v>
      </c>
      <c r="F128" s="22">
        <f t="shared" si="20"/>
        <v>2020</v>
      </c>
      <c r="G128" s="23" t="str">
        <f t="shared" si="21"/>
        <v>2020-05</v>
      </c>
    </row>
    <row r="129" spans="1:7" x14ac:dyDescent="0.3">
      <c r="A129" s="18">
        <f t="shared" si="17"/>
        <v>20200505</v>
      </c>
      <c r="B129" s="19">
        <v>43956</v>
      </c>
      <c r="C129" s="24" t="str">
        <f t="shared" si="22"/>
        <v>05 May 2020</v>
      </c>
      <c r="D129" s="21">
        <f t="shared" si="18"/>
        <v>5</v>
      </c>
      <c r="E129" s="21" t="str">
        <f t="shared" si="19"/>
        <v>May</v>
      </c>
      <c r="F129" s="22">
        <f t="shared" si="20"/>
        <v>2020</v>
      </c>
      <c r="G129" s="23" t="str">
        <f t="shared" si="21"/>
        <v>2020-05</v>
      </c>
    </row>
    <row r="130" spans="1:7" x14ac:dyDescent="0.3">
      <c r="A130" s="18">
        <f t="shared" si="17"/>
        <v>20200506</v>
      </c>
      <c r="B130" s="19">
        <v>43957</v>
      </c>
      <c r="C130" s="24" t="str">
        <f t="shared" si="22"/>
        <v>06 May 2020</v>
      </c>
      <c r="D130" s="21">
        <f t="shared" si="18"/>
        <v>5</v>
      </c>
      <c r="E130" s="21" t="str">
        <f t="shared" si="19"/>
        <v>May</v>
      </c>
      <c r="F130" s="22">
        <f t="shared" si="20"/>
        <v>2020</v>
      </c>
      <c r="G130" s="23" t="str">
        <f t="shared" si="21"/>
        <v>2020-05</v>
      </c>
    </row>
    <row r="131" spans="1:7" x14ac:dyDescent="0.3">
      <c r="A131" s="18">
        <f t="shared" si="17"/>
        <v>20200507</v>
      </c>
      <c r="B131" s="19">
        <v>43958</v>
      </c>
      <c r="C131" s="24" t="str">
        <f t="shared" si="22"/>
        <v>07 May 2020</v>
      </c>
      <c r="D131" s="21">
        <f t="shared" si="18"/>
        <v>5</v>
      </c>
      <c r="E131" s="21" t="str">
        <f t="shared" si="19"/>
        <v>May</v>
      </c>
      <c r="F131" s="22">
        <f t="shared" si="20"/>
        <v>2020</v>
      </c>
      <c r="G131" s="23" t="str">
        <f t="shared" si="21"/>
        <v>2020-05</v>
      </c>
    </row>
    <row r="132" spans="1:7" x14ac:dyDescent="0.3">
      <c r="A132" s="18">
        <f t="shared" si="17"/>
        <v>20200508</v>
      </c>
      <c r="B132" s="19">
        <v>43959</v>
      </c>
      <c r="C132" s="24" t="str">
        <f t="shared" si="22"/>
        <v>08 May 2020</v>
      </c>
      <c r="D132" s="21">
        <f t="shared" si="18"/>
        <v>5</v>
      </c>
      <c r="E132" s="21" t="str">
        <f t="shared" si="19"/>
        <v>May</v>
      </c>
      <c r="F132" s="22">
        <f t="shared" si="20"/>
        <v>2020</v>
      </c>
      <c r="G132" s="23" t="str">
        <f t="shared" si="21"/>
        <v>2020-05</v>
      </c>
    </row>
    <row r="133" spans="1:7" x14ac:dyDescent="0.3">
      <c r="A133" s="18">
        <f t="shared" si="17"/>
        <v>20200509</v>
      </c>
      <c r="B133" s="19">
        <v>43960</v>
      </c>
      <c r="C133" s="24" t="str">
        <f t="shared" si="22"/>
        <v>09 May 2020</v>
      </c>
      <c r="D133" s="21">
        <f t="shared" si="18"/>
        <v>5</v>
      </c>
      <c r="E133" s="21" t="str">
        <f t="shared" si="19"/>
        <v>May</v>
      </c>
      <c r="F133" s="22">
        <f t="shared" si="20"/>
        <v>2020</v>
      </c>
      <c r="G133" s="23" t="str">
        <f t="shared" si="21"/>
        <v>2020-05</v>
      </c>
    </row>
    <row r="134" spans="1:7" x14ac:dyDescent="0.3">
      <c r="A134" s="18">
        <f t="shared" si="17"/>
        <v>20200510</v>
      </c>
      <c r="B134" s="19">
        <v>43961</v>
      </c>
      <c r="C134" s="24" t="str">
        <f t="shared" si="22"/>
        <v>10 May 2020</v>
      </c>
      <c r="D134" s="21">
        <f t="shared" si="18"/>
        <v>5</v>
      </c>
      <c r="E134" s="21" t="str">
        <f t="shared" si="19"/>
        <v>May</v>
      </c>
      <c r="F134" s="22">
        <f t="shared" si="20"/>
        <v>2020</v>
      </c>
      <c r="G134" s="23" t="str">
        <f t="shared" si="21"/>
        <v>2020-05</v>
      </c>
    </row>
    <row r="135" spans="1:7" x14ac:dyDescent="0.3">
      <c r="A135" s="18">
        <f t="shared" si="17"/>
        <v>20200511</v>
      </c>
      <c r="B135" s="19">
        <v>43962</v>
      </c>
      <c r="C135" s="24" t="str">
        <f t="shared" si="22"/>
        <v>11 May 2020</v>
      </c>
      <c r="D135" s="21">
        <f t="shared" si="18"/>
        <v>5</v>
      </c>
      <c r="E135" s="21" t="str">
        <f t="shared" si="19"/>
        <v>May</v>
      </c>
      <c r="F135" s="22">
        <f t="shared" si="20"/>
        <v>2020</v>
      </c>
      <c r="G135" s="23" t="str">
        <f t="shared" si="21"/>
        <v>2020-05</v>
      </c>
    </row>
    <row r="136" spans="1:7" x14ac:dyDescent="0.3">
      <c r="A136" s="18">
        <f t="shared" si="17"/>
        <v>20200512</v>
      </c>
      <c r="B136" s="19">
        <v>43963</v>
      </c>
      <c r="C136" s="24" t="str">
        <f t="shared" si="22"/>
        <v>12 May 2020</v>
      </c>
      <c r="D136" s="21">
        <f t="shared" si="18"/>
        <v>5</v>
      </c>
      <c r="E136" s="21" t="str">
        <f t="shared" si="19"/>
        <v>May</v>
      </c>
      <c r="F136" s="22">
        <f t="shared" si="20"/>
        <v>2020</v>
      </c>
      <c r="G136" s="23" t="str">
        <f t="shared" si="21"/>
        <v>2020-05</v>
      </c>
    </row>
    <row r="137" spans="1:7" x14ac:dyDescent="0.3">
      <c r="A137" s="18">
        <f t="shared" si="17"/>
        <v>20200513</v>
      </c>
      <c r="B137" s="19">
        <v>43964</v>
      </c>
      <c r="C137" s="24" t="str">
        <f t="shared" si="22"/>
        <v>13 May 2020</v>
      </c>
      <c r="D137" s="21">
        <f t="shared" si="18"/>
        <v>5</v>
      </c>
      <c r="E137" s="21" t="str">
        <f t="shared" si="19"/>
        <v>May</v>
      </c>
      <c r="F137" s="22">
        <f t="shared" si="20"/>
        <v>2020</v>
      </c>
      <c r="G137" s="23" t="str">
        <f t="shared" si="21"/>
        <v>2020-05</v>
      </c>
    </row>
    <row r="138" spans="1:7" x14ac:dyDescent="0.3">
      <c r="A138" s="18">
        <f t="shared" si="17"/>
        <v>20200514</v>
      </c>
      <c r="B138" s="19">
        <v>43965</v>
      </c>
      <c r="C138" s="24" t="str">
        <f t="shared" si="22"/>
        <v>14 May 2020</v>
      </c>
      <c r="D138" s="21">
        <f t="shared" si="18"/>
        <v>5</v>
      </c>
      <c r="E138" s="21" t="str">
        <f t="shared" si="19"/>
        <v>May</v>
      </c>
      <c r="F138" s="22">
        <f t="shared" si="20"/>
        <v>2020</v>
      </c>
      <c r="G138" s="23" t="str">
        <f t="shared" si="21"/>
        <v>2020-05</v>
      </c>
    </row>
    <row r="139" spans="1:7" x14ac:dyDescent="0.3">
      <c r="A139" s="18">
        <f t="shared" si="17"/>
        <v>20200515</v>
      </c>
      <c r="B139" s="19">
        <v>43966</v>
      </c>
      <c r="C139" s="24" t="str">
        <f t="shared" si="22"/>
        <v>15 May 2020</v>
      </c>
      <c r="D139" s="21">
        <f t="shared" si="18"/>
        <v>5</v>
      </c>
      <c r="E139" s="21" t="str">
        <f t="shared" si="19"/>
        <v>May</v>
      </c>
      <c r="F139" s="22">
        <f t="shared" si="20"/>
        <v>2020</v>
      </c>
      <c r="G139" s="23" t="str">
        <f t="shared" si="21"/>
        <v>2020-05</v>
      </c>
    </row>
    <row r="140" spans="1:7" x14ac:dyDescent="0.3">
      <c r="A140" s="18">
        <f t="shared" si="17"/>
        <v>20200516</v>
      </c>
      <c r="B140" s="19">
        <v>43967</v>
      </c>
      <c r="C140" s="24" t="str">
        <f t="shared" si="22"/>
        <v>16 May 2020</v>
      </c>
      <c r="D140" s="21">
        <f t="shared" si="18"/>
        <v>5</v>
      </c>
      <c r="E140" s="21" t="str">
        <f t="shared" si="19"/>
        <v>May</v>
      </c>
      <c r="F140" s="22">
        <f t="shared" si="20"/>
        <v>2020</v>
      </c>
      <c r="G140" s="23" t="str">
        <f t="shared" si="21"/>
        <v>2020-05</v>
      </c>
    </row>
    <row r="141" spans="1:7" x14ac:dyDescent="0.3">
      <c r="A141" s="18">
        <f t="shared" si="17"/>
        <v>20200517</v>
      </c>
      <c r="B141" s="19">
        <v>43968</v>
      </c>
      <c r="C141" s="24" t="str">
        <f t="shared" si="22"/>
        <v>17 May 2020</v>
      </c>
      <c r="D141" s="21">
        <f t="shared" si="18"/>
        <v>5</v>
      </c>
      <c r="E141" s="21" t="str">
        <f t="shared" si="19"/>
        <v>May</v>
      </c>
      <c r="F141" s="22">
        <f t="shared" si="20"/>
        <v>2020</v>
      </c>
      <c r="G141" s="23" t="str">
        <f t="shared" si="21"/>
        <v>2020-05</v>
      </c>
    </row>
    <row r="142" spans="1:7" x14ac:dyDescent="0.3">
      <c r="A142" s="18">
        <f t="shared" si="17"/>
        <v>20200518</v>
      </c>
      <c r="B142" s="19">
        <v>43969</v>
      </c>
      <c r="C142" s="24" t="str">
        <f t="shared" si="22"/>
        <v>18 May 2020</v>
      </c>
      <c r="D142" s="21">
        <f t="shared" si="18"/>
        <v>5</v>
      </c>
      <c r="E142" s="21" t="str">
        <f t="shared" si="19"/>
        <v>May</v>
      </c>
      <c r="F142" s="22">
        <f t="shared" si="20"/>
        <v>2020</v>
      </c>
      <c r="G142" s="23" t="str">
        <f t="shared" si="21"/>
        <v>2020-05</v>
      </c>
    </row>
    <row r="143" spans="1:7" x14ac:dyDescent="0.3">
      <c r="A143" s="18">
        <f t="shared" si="17"/>
        <v>20200519</v>
      </c>
      <c r="B143" s="19">
        <v>43970</v>
      </c>
      <c r="C143" s="24" t="str">
        <f t="shared" si="22"/>
        <v>19 May 2020</v>
      </c>
      <c r="D143" s="21">
        <f t="shared" si="18"/>
        <v>5</v>
      </c>
      <c r="E143" s="21" t="str">
        <f t="shared" si="19"/>
        <v>May</v>
      </c>
      <c r="F143" s="22">
        <f t="shared" si="20"/>
        <v>2020</v>
      </c>
      <c r="G143" s="23" t="str">
        <f t="shared" si="21"/>
        <v>2020-05</v>
      </c>
    </row>
    <row r="144" spans="1:7" x14ac:dyDescent="0.3">
      <c r="A144" s="18">
        <f t="shared" si="17"/>
        <v>20200520</v>
      </c>
      <c r="B144" s="19">
        <v>43971</v>
      </c>
      <c r="C144" s="24" t="str">
        <f t="shared" si="22"/>
        <v>20 May 2020</v>
      </c>
      <c r="D144" s="21">
        <f t="shared" si="18"/>
        <v>5</v>
      </c>
      <c r="E144" s="21" t="str">
        <f t="shared" si="19"/>
        <v>May</v>
      </c>
      <c r="F144" s="22">
        <f t="shared" si="20"/>
        <v>2020</v>
      </c>
      <c r="G144" s="23" t="str">
        <f t="shared" si="21"/>
        <v>2020-05</v>
      </c>
    </row>
    <row r="145" spans="1:7" x14ac:dyDescent="0.3">
      <c r="A145" s="18">
        <f t="shared" si="17"/>
        <v>20200521</v>
      </c>
      <c r="B145" s="19">
        <v>43972</v>
      </c>
      <c r="C145" s="24" t="str">
        <f t="shared" si="22"/>
        <v>21 May 2020</v>
      </c>
      <c r="D145" s="21">
        <f t="shared" si="18"/>
        <v>5</v>
      </c>
      <c r="E145" s="21" t="str">
        <f t="shared" si="19"/>
        <v>May</v>
      </c>
      <c r="F145" s="22">
        <f t="shared" si="20"/>
        <v>2020</v>
      </c>
      <c r="G145" s="23" t="str">
        <f t="shared" si="21"/>
        <v>2020-05</v>
      </c>
    </row>
    <row r="146" spans="1:7" x14ac:dyDescent="0.3">
      <c r="A146" s="18">
        <f t="shared" si="17"/>
        <v>20200522</v>
      </c>
      <c r="B146" s="19">
        <v>43973</v>
      </c>
      <c r="C146" s="24" t="str">
        <f t="shared" si="22"/>
        <v>22 May 2020</v>
      </c>
      <c r="D146" s="21">
        <f t="shared" si="18"/>
        <v>5</v>
      </c>
      <c r="E146" s="21" t="str">
        <f t="shared" si="19"/>
        <v>May</v>
      </c>
      <c r="F146" s="22">
        <f t="shared" si="20"/>
        <v>2020</v>
      </c>
      <c r="G146" s="23" t="str">
        <f t="shared" si="21"/>
        <v>2020-05</v>
      </c>
    </row>
    <row r="147" spans="1:7" x14ac:dyDescent="0.3">
      <c r="A147" s="18">
        <f t="shared" si="17"/>
        <v>20200523</v>
      </c>
      <c r="B147" s="19">
        <v>43974</v>
      </c>
      <c r="C147" s="24" t="str">
        <f t="shared" si="22"/>
        <v>23 May 2020</v>
      </c>
      <c r="D147" s="21">
        <f t="shared" si="18"/>
        <v>5</v>
      </c>
      <c r="E147" s="21" t="str">
        <f t="shared" si="19"/>
        <v>May</v>
      </c>
      <c r="F147" s="22">
        <f t="shared" si="20"/>
        <v>2020</v>
      </c>
      <c r="G147" s="23" t="str">
        <f t="shared" si="21"/>
        <v>2020-05</v>
      </c>
    </row>
    <row r="148" spans="1:7" x14ac:dyDescent="0.3">
      <c r="A148" s="18">
        <f t="shared" si="17"/>
        <v>20200524</v>
      </c>
      <c r="B148" s="19">
        <v>43975</v>
      </c>
      <c r="C148" s="24" t="str">
        <f t="shared" si="22"/>
        <v>24 May 2020</v>
      </c>
      <c r="D148" s="21">
        <f t="shared" si="18"/>
        <v>5</v>
      </c>
      <c r="E148" s="21" t="str">
        <f t="shared" si="19"/>
        <v>May</v>
      </c>
      <c r="F148" s="22">
        <f t="shared" si="20"/>
        <v>2020</v>
      </c>
      <c r="G148" s="23" t="str">
        <f t="shared" si="21"/>
        <v>2020-05</v>
      </c>
    </row>
    <row r="149" spans="1:7" x14ac:dyDescent="0.3">
      <c r="A149" s="18">
        <f t="shared" si="17"/>
        <v>20200525</v>
      </c>
      <c r="B149" s="19">
        <v>43976</v>
      </c>
      <c r="C149" s="24" t="str">
        <f t="shared" si="22"/>
        <v>25 May 2020</v>
      </c>
      <c r="D149" s="21">
        <f t="shared" si="18"/>
        <v>5</v>
      </c>
      <c r="E149" s="21" t="str">
        <f t="shared" si="19"/>
        <v>May</v>
      </c>
      <c r="F149" s="22">
        <f t="shared" si="20"/>
        <v>2020</v>
      </c>
      <c r="G149" s="23" t="str">
        <f t="shared" si="21"/>
        <v>2020-05</v>
      </c>
    </row>
    <row r="150" spans="1:7" x14ac:dyDescent="0.3">
      <c r="A150" s="18">
        <f t="shared" si="17"/>
        <v>20200526</v>
      </c>
      <c r="B150" s="19">
        <v>43977</v>
      </c>
      <c r="C150" s="24" t="str">
        <f t="shared" si="22"/>
        <v>26 May 2020</v>
      </c>
      <c r="D150" s="21">
        <f t="shared" si="18"/>
        <v>5</v>
      </c>
      <c r="E150" s="21" t="str">
        <f t="shared" si="19"/>
        <v>May</v>
      </c>
      <c r="F150" s="22">
        <f t="shared" si="20"/>
        <v>2020</v>
      </c>
      <c r="G150" s="23" t="str">
        <f t="shared" si="21"/>
        <v>2020-05</v>
      </c>
    </row>
    <row r="151" spans="1:7" x14ac:dyDescent="0.3">
      <c r="A151" s="18">
        <f t="shared" si="17"/>
        <v>20200527</v>
      </c>
      <c r="B151" s="19">
        <v>43978</v>
      </c>
      <c r="C151" s="24" t="str">
        <f t="shared" si="22"/>
        <v>27 May 2020</v>
      </c>
      <c r="D151" s="21">
        <f t="shared" si="18"/>
        <v>5</v>
      </c>
      <c r="E151" s="21" t="str">
        <f t="shared" si="19"/>
        <v>May</v>
      </c>
      <c r="F151" s="22">
        <f t="shared" si="20"/>
        <v>2020</v>
      </c>
      <c r="G151" s="23" t="str">
        <f t="shared" si="21"/>
        <v>2020-05</v>
      </c>
    </row>
    <row r="152" spans="1:7" x14ac:dyDescent="0.3">
      <c r="A152" s="18">
        <f t="shared" si="17"/>
        <v>20200528</v>
      </c>
      <c r="B152" s="19">
        <v>43979</v>
      </c>
      <c r="C152" s="24" t="str">
        <f t="shared" si="22"/>
        <v>28 May 2020</v>
      </c>
      <c r="D152" s="21">
        <f t="shared" si="18"/>
        <v>5</v>
      </c>
      <c r="E152" s="21" t="str">
        <f t="shared" si="19"/>
        <v>May</v>
      </c>
      <c r="F152" s="22">
        <f t="shared" si="20"/>
        <v>2020</v>
      </c>
      <c r="G152" s="23" t="str">
        <f t="shared" si="21"/>
        <v>2020-05</v>
      </c>
    </row>
    <row r="153" spans="1:7" x14ac:dyDescent="0.3">
      <c r="A153" s="18">
        <f t="shared" si="17"/>
        <v>20200529</v>
      </c>
      <c r="B153" s="19">
        <v>43980</v>
      </c>
      <c r="C153" s="24" t="str">
        <f t="shared" si="22"/>
        <v>29 May 2020</v>
      </c>
      <c r="D153" s="21">
        <f t="shared" si="18"/>
        <v>5</v>
      </c>
      <c r="E153" s="21" t="str">
        <f t="shared" si="19"/>
        <v>May</v>
      </c>
      <c r="F153" s="22">
        <f t="shared" si="20"/>
        <v>2020</v>
      </c>
      <c r="G153" s="23" t="str">
        <f t="shared" si="21"/>
        <v>2020-05</v>
      </c>
    </row>
    <row r="154" spans="1:7" x14ac:dyDescent="0.3">
      <c r="A154" s="18">
        <f t="shared" si="17"/>
        <v>20200530</v>
      </c>
      <c r="B154" s="19">
        <v>43981</v>
      </c>
      <c r="C154" s="24" t="str">
        <f t="shared" si="22"/>
        <v>30 May 2020</v>
      </c>
      <c r="D154" s="21">
        <f t="shared" si="18"/>
        <v>5</v>
      </c>
      <c r="E154" s="21" t="str">
        <f t="shared" si="19"/>
        <v>May</v>
      </c>
      <c r="F154" s="22">
        <f t="shared" si="20"/>
        <v>2020</v>
      </c>
      <c r="G154" s="23" t="str">
        <f t="shared" si="21"/>
        <v>2020-05</v>
      </c>
    </row>
    <row r="155" spans="1:7" x14ac:dyDescent="0.3">
      <c r="A155" s="18">
        <f t="shared" si="17"/>
        <v>20200531</v>
      </c>
      <c r="B155" s="19">
        <v>43982</v>
      </c>
      <c r="C155" s="24" t="str">
        <f t="shared" si="22"/>
        <v>31 May 2020</v>
      </c>
      <c r="D155" s="21">
        <f t="shared" si="18"/>
        <v>5</v>
      </c>
      <c r="E155" s="21" t="str">
        <f t="shared" si="19"/>
        <v>May</v>
      </c>
      <c r="F155" s="22">
        <f t="shared" si="20"/>
        <v>2020</v>
      </c>
      <c r="G155" s="23" t="str">
        <f t="shared" si="21"/>
        <v>2020-05</v>
      </c>
    </row>
    <row r="156" spans="1:7" x14ac:dyDescent="0.3">
      <c r="A156" s="18">
        <f t="shared" si="17"/>
        <v>20200601</v>
      </c>
      <c r="B156" s="19">
        <v>43983</v>
      </c>
      <c r="C156" s="24" t="str">
        <f t="shared" si="22"/>
        <v>01 June 2020</v>
      </c>
      <c r="D156" s="21">
        <f t="shared" si="18"/>
        <v>6</v>
      </c>
      <c r="E156" s="21" t="str">
        <f t="shared" si="19"/>
        <v>June</v>
      </c>
      <c r="F156" s="22">
        <f t="shared" si="20"/>
        <v>2020</v>
      </c>
      <c r="G156" s="23" t="str">
        <f t="shared" si="21"/>
        <v>2020-06</v>
      </c>
    </row>
    <row r="157" spans="1:7" x14ac:dyDescent="0.3">
      <c r="A157" s="18">
        <f t="shared" si="17"/>
        <v>20200602</v>
      </c>
      <c r="B157" s="19">
        <v>43984</v>
      </c>
      <c r="C157" s="24" t="str">
        <f t="shared" si="22"/>
        <v>02 June 2020</v>
      </c>
      <c r="D157" s="21">
        <f t="shared" si="18"/>
        <v>6</v>
      </c>
      <c r="E157" s="21" t="str">
        <f t="shared" si="19"/>
        <v>June</v>
      </c>
      <c r="F157" s="22">
        <f t="shared" si="20"/>
        <v>2020</v>
      </c>
      <c r="G157" s="23" t="str">
        <f t="shared" si="21"/>
        <v>2020-06</v>
      </c>
    </row>
    <row r="158" spans="1:7" x14ac:dyDescent="0.3">
      <c r="A158" s="18">
        <f t="shared" si="17"/>
        <v>20200603</v>
      </c>
      <c r="B158" s="19">
        <v>43985</v>
      </c>
      <c r="C158" s="24" t="str">
        <f t="shared" si="22"/>
        <v>03 June 2020</v>
      </c>
      <c r="D158" s="21">
        <f t="shared" si="18"/>
        <v>6</v>
      </c>
      <c r="E158" s="21" t="str">
        <f t="shared" si="19"/>
        <v>June</v>
      </c>
      <c r="F158" s="22">
        <f t="shared" si="20"/>
        <v>2020</v>
      </c>
      <c r="G158" s="23" t="str">
        <f t="shared" si="21"/>
        <v>2020-06</v>
      </c>
    </row>
    <row r="159" spans="1:7" x14ac:dyDescent="0.3">
      <c r="A159" s="18">
        <f t="shared" si="17"/>
        <v>20200604</v>
      </c>
      <c r="B159" s="19">
        <v>43986</v>
      </c>
      <c r="C159" s="24" t="str">
        <f t="shared" si="22"/>
        <v>04 June 2020</v>
      </c>
      <c r="D159" s="21">
        <f t="shared" si="18"/>
        <v>6</v>
      </c>
      <c r="E159" s="21" t="str">
        <f t="shared" si="19"/>
        <v>June</v>
      </c>
      <c r="F159" s="22">
        <f t="shared" si="20"/>
        <v>2020</v>
      </c>
      <c r="G159" s="23" t="str">
        <f t="shared" si="21"/>
        <v>2020-06</v>
      </c>
    </row>
    <row r="160" spans="1:7" x14ac:dyDescent="0.3">
      <c r="A160" s="18">
        <f t="shared" si="17"/>
        <v>20200605</v>
      </c>
      <c r="B160" s="19">
        <v>43987</v>
      </c>
      <c r="C160" s="24" t="str">
        <f t="shared" si="22"/>
        <v>05 June 2020</v>
      </c>
      <c r="D160" s="21">
        <f t="shared" si="18"/>
        <v>6</v>
      </c>
      <c r="E160" s="21" t="str">
        <f t="shared" si="19"/>
        <v>June</v>
      </c>
      <c r="F160" s="22">
        <f t="shared" si="20"/>
        <v>2020</v>
      </c>
      <c r="G160" s="23" t="str">
        <f t="shared" si="21"/>
        <v>2020-06</v>
      </c>
    </row>
    <row r="161" spans="1:7" x14ac:dyDescent="0.3">
      <c r="A161" s="18">
        <f t="shared" si="17"/>
        <v>20200606</v>
      </c>
      <c r="B161" s="19">
        <v>43988</v>
      </c>
      <c r="C161" s="24" t="str">
        <f t="shared" si="22"/>
        <v>06 June 2020</v>
      </c>
      <c r="D161" s="21">
        <f t="shared" si="18"/>
        <v>6</v>
      </c>
      <c r="E161" s="21" t="str">
        <f t="shared" si="19"/>
        <v>June</v>
      </c>
      <c r="F161" s="22">
        <f t="shared" si="20"/>
        <v>2020</v>
      </c>
      <c r="G161" s="23" t="str">
        <f t="shared" si="21"/>
        <v>2020-06</v>
      </c>
    </row>
    <row r="162" spans="1:7" x14ac:dyDescent="0.3">
      <c r="A162" s="18">
        <f t="shared" si="17"/>
        <v>20200607</v>
      </c>
      <c r="B162" s="19">
        <v>43989</v>
      </c>
      <c r="C162" s="24" t="str">
        <f t="shared" si="22"/>
        <v>07 June 2020</v>
      </c>
      <c r="D162" s="21">
        <f t="shared" si="18"/>
        <v>6</v>
      </c>
      <c r="E162" s="21" t="str">
        <f t="shared" si="19"/>
        <v>June</v>
      </c>
      <c r="F162" s="22">
        <f t="shared" si="20"/>
        <v>2020</v>
      </c>
      <c r="G162" s="23" t="str">
        <f t="shared" si="21"/>
        <v>2020-06</v>
      </c>
    </row>
    <row r="163" spans="1:7" x14ac:dyDescent="0.3">
      <c r="A163" s="18">
        <f t="shared" si="17"/>
        <v>20200608</v>
      </c>
      <c r="B163" s="19">
        <v>43990</v>
      </c>
      <c r="C163" s="24" t="str">
        <f t="shared" si="22"/>
        <v>08 June 2020</v>
      </c>
      <c r="D163" s="21">
        <f t="shared" si="18"/>
        <v>6</v>
      </c>
      <c r="E163" s="21" t="str">
        <f t="shared" si="19"/>
        <v>June</v>
      </c>
      <c r="F163" s="22">
        <f t="shared" si="20"/>
        <v>2020</v>
      </c>
      <c r="G163" s="23" t="str">
        <f t="shared" si="21"/>
        <v>2020-06</v>
      </c>
    </row>
    <row r="164" spans="1:7" x14ac:dyDescent="0.3">
      <c r="A164" s="18">
        <f t="shared" si="17"/>
        <v>20200609</v>
      </c>
      <c r="B164" s="19">
        <v>43991</v>
      </c>
      <c r="C164" s="24" t="str">
        <f t="shared" si="22"/>
        <v>09 June 2020</v>
      </c>
      <c r="D164" s="21">
        <f t="shared" si="18"/>
        <v>6</v>
      </c>
      <c r="E164" s="21" t="str">
        <f t="shared" si="19"/>
        <v>June</v>
      </c>
      <c r="F164" s="22">
        <f t="shared" si="20"/>
        <v>2020</v>
      </c>
      <c r="G164" s="23" t="str">
        <f t="shared" si="21"/>
        <v>2020-06</v>
      </c>
    </row>
    <row r="165" spans="1:7" x14ac:dyDescent="0.3">
      <c r="A165" s="18">
        <f t="shared" si="17"/>
        <v>20200610</v>
      </c>
      <c r="B165" s="19">
        <v>43992</v>
      </c>
      <c r="C165" s="24" t="str">
        <f t="shared" si="22"/>
        <v>10 June 2020</v>
      </c>
      <c r="D165" s="21">
        <f t="shared" si="18"/>
        <v>6</v>
      </c>
      <c r="E165" s="21" t="str">
        <f t="shared" si="19"/>
        <v>June</v>
      </c>
      <c r="F165" s="22">
        <f t="shared" si="20"/>
        <v>2020</v>
      </c>
      <c r="G165" s="23" t="str">
        <f t="shared" si="21"/>
        <v>2020-06</v>
      </c>
    </row>
    <row r="166" spans="1:7" x14ac:dyDescent="0.3">
      <c r="A166" s="18">
        <f t="shared" si="17"/>
        <v>20200611</v>
      </c>
      <c r="B166" s="19">
        <v>43993</v>
      </c>
      <c r="C166" s="24" t="str">
        <f t="shared" si="22"/>
        <v>11 June 2020</v>
      </c>
      <c r="D166" s="21">
        <f t="shared" si="18"/>
        <v>6</v>
      </c>
      <c r="E166" s="21" t="str">
        <f t="shared" si="19"/>
        <v>June</v>
      </c>
      <c r="F166" s="22">
        <f t="shared" si="20"/>
        <v>2020</v>
      </c>
      <c r="G166" s="23" t="str">
        <f t="shared" si="21"/>
        <v>2020-06</v>
      </c>
    </row>
    <row r="167" spans="1:7" x14ac:dyDescent="0.3">
      <c r="A167" s="18">
        <f t="shared" si="17"/>
        <v>20200612</v>
      </c>
      <c r="B167" s="19">
        <v>43994</v>
      </c>
      <c r="C167" s="24" t="str">
        <f t="shared" si="22"/>
        <v>12 June 2020</v>
      </c>
      <c r="D167" s="21">
        <f t="shared" si="18"/>
        <v>6</v>
      </c>
      <c r="E167" s="21" t="str">
        <f t="shared" si="19"/>
        <v>June</v>
      </c>
      <c r="F167" s="22">
        <f t="shared" si="20"/>
        <v>2020</v>
      </c>
      <c r="G167" s="23" t="str">
        <f t="shared" si="21"/>
        <v>2020-06</v>
      </c>
    </row>
    <row r="168" spans="1:7" x14ac:dyDescent="0.3">
      <c r="A168" s="18">
        <f t="shared" si="17"/>
        <v>20200613</v>
      </c>
      <c r="B168" s="19">
        <v>43995</v>
      </c>
      <c r="C168" s="24" t="str">
        <f t="shared" si="22"/>
        <v>13 June 2020</v>
      </c>
      <c r="D168" s="21">
        <f t="shared" si="18"/>
        <v>6</v>
      </c>
      <c r="E168" s="21" t="str">
        <f t="shared" si="19"/>
        <v>June</v>
      </c>
      <c r="F168" s="22">
        <f t="shared" si="20"/>
        <v>2020</v>
      </c>
      <c r="G168" s="23" t="str">
        <f t="shared" si="21"/>
        <v>2020-06</v>
      </c>
    </row>
    <row r="169" spans="1:7" x14ac:dyDescent="0.3">
      <c r="A169" s="18">
        <f t="shared" si="17"/>
        <v>20200614</v>
      </c>
      <c r="B169" s="19">
        <v>43996</v>
      </c>
      <c r="C169" s="24" t="str">
        <f t="shared" si="22"/>
        <v>14 June 2020</v>
      </c>
      <c r="D169" s="21">
        <f t="shared" si="18"/>
        <v>6</v>
      </c>
      <c r="E169" s="21" t="str">
        <f t="shared" si="19"/>
        <v>June</v>
      </c>
      <c r="F169" s="22">
        <f t="shared" si="20"/>
        <v>2020</v>
      </c>
      <c r="G169" s="23" t="str">
        <f t="shared" si="21"/>
        <v>2020-06</v>
      </c>
    </row>
    <row r="170" spans="1:7" x14ac:dyDescent="0.3">
      <c r="A170" s="18">
        <f t="shared" si="17"/>
        <v>20200615</v>
      </c>
      <c r="B170" s="19">
        <v>43997</v>
      </c>
      <c r="C170" s="24" t="str">
        <f t="shared" si="22"/>
        <v>15 June 2020</v>
      </c>
      <c r="D170" s="21">
        <f t="shared" si="18"/>
        <v>6</v>
      </c>
      <c r="E170" s="21" t="str">
        <f t="shared" si="19"/>
        <v>June</v>
      </c>
      <c r="F170" s="22">
        <f t="shared" si="20"/>
        <v>2020</v>
      </c>
      <c r="G170" s="23" t="str">
        <f t="shared" si="21"/>
        <v>2020-06</v>
      </c>
    </row>
    <row r="171" spans="1:7" x14ac:dyDescent="0.3">
      <c r="A171" s="18">
        <f t="shared" si="17"/>
        <v>20200616</v>
      </c>
      <c r="B171" s="19">
        <v>43998</v>
      </c>
      <c r="C171" s="24" t="str">
        <f t="shared" si="22"/>
        <v>16 June 2020</v>
      </c>
      <c r="D171" s="21">
        <f t="shared" si="18"/>
        <v>6</v>
      </c>
      <c r="E171" s="21" t="str">
        <f t="shared" si="19"/>
        <v>June</v>
      </c>
      <c r="F171" s="22">
        <f t="shared" si="20"/>
        <v>2020</v>
      </c>
      <c r="G171" s="23" t="str">
        <f t="shared" si="21"/>
        <v>2020-06</v>
      </c>
    </row>
    <row r="172" spans="1:7" x14ac:dyDescent="0.3">
      <c r="A172" s="18">
        <f t="shared" si="17"/>
        <v>20200617</v>
      </c>
      <c r="B172" s="19">
        <v>43999</v>
      </c>
      <c r="C172" s="24" t="str">
        <f t="shared" si="22"/>
        <v>17 June 2020</v>
      </c>
      <c r="D172" s="21">
        <f t="shared" si="18"/>
        <v>6</v>
      </c>
      <c r="E172" s="21" t="str">
        <f t="shared" si="19"/>
        <v>June</v>
      </c>
      <c r="F172" s="22">
        <f t="shared" si="20"/>
        <v>2020</v>
      </c>
      <c r="G172" s="23" t="str">
        <f t="shared" si="21"/>
        <v>2020-06</v>
      </c>
    </row>
    <row r="173" spans="1:7" x14ac:dyDescent="0.3">
      <c r="A173" s="18">
        <f t="shared" si="17"/>
        <v>20200618</v>
      </c>
      <c r="B173" s="19">
        <v>44000</v>
      </c>
      <c r="C173" s="24" t="str">
        <f t="shared" si="22"/>
        <v>18 June 2020</v>
      </c>
      <c r="D173" s="21">
        <f t="shared" si="18"/>
        <v>6</v>
      </c>
      <c r="E173" s="21" t="str">
        <f t="shared" si="19"/>
        <v>June</v>
      </c>
      <c r="F173" s="22">
        <f t="shared" si="20"/>
        <v>2020</v>
      </c>
      <c r="G173" s="23" t="str">
        <f t="shared" si="21"/>
        <v>2020-06</v>
      </c>
    </row>
    <row r="174" spans="1:7" x14ac:dyDescent="0.3">
      <c r="A174" s="18">
        <f t="shared" si="17"/>
        <v>20200619</v>
      </c>
      <c r="B174" s="19">
        <v>44001</v>
      </c>
      <c r="C174" s="24" t="str">
        <f t="shared" si="22"/>
        <v>19 June 2020</v>
      </c>
      <c r="D174" s="21">
        <f t="shared" si="18"/>
        <v>6</v>
      </c>
      <c r="E174" s="21" t="str">
        <f t="shared" si="19"/>
        <v>June</v>
      </c>
      <c r="F174" s="22">
        <f t="shared" si="20"/>
        <v>2020</v>
      </c>
      <c r="G174" s="23" t="str">
        <f t="shared" si="21"/>
        <v>2020-06</v>
      </c>
    </row>
    <row r="175" spans="1:7" x14ac:dyDescent="0.3">
      <c r="A175" s="18">
        <f t="shared" si="17"/>
        <v>20200620</v>
      </c>
      <c r="B175" s="19">
        <v>44002</v>
      </c>
      <c r="C175" s="24" t="str">
        <f t="shared" si="22"/>
        <v>20 June 2020</v>
      </c>
      <c r="D175" s="21">
        <f t="shared" si="18"/>
        <v>6</v>
      </c>
      <c r="E175" s="21" t="str">
        <f t="shared" si="19"/>
        <v>June</v>
      </c>
      <c r="F175" s="22">
        <f t="shared" si="20"/>
        <v>2020</v>
      </c>
      <c r="G175" s="23" t="str">
        <f t="shared" si="21"/>
        <v>2020-06</v>
      </c>
    </row>
    <row r="176" spans="1:7" x14ac:dyDescent="0.3">
      <c r="A176" s="18">
        <f t="shared" si="17"/>
        <v>20200621</v>
      </c>
      <c r="B176" s="19">
        <v>44003</v>
      </c>
      <c r="C176" s="24" t="str">
        <f t="shared" si="22"/>
        <v>21 June 2020</v>
      </c>
      <c r="D176" s="21">
        <f t="shared" si="18"/>
        <v>6</v>
      </c>
      <c r="E176" s="21" t="str">
        <f t="shared" si="19"/>
        <v>June</v>
      </c>
      <c r="F176" s="22">
        <f t="shared" si="20"/>
        <v>2020</v>
      </c>
      <c r="G176" s="23" t="str">
        <f t="shared" si="21"/>
        <v>2020-06</v>
      </c>
    </row>
    <row r="177" spans="1:7" x14ac:dyDescent="0.3">
      <c r="A177" s="18">
        <f t="shared" si="17"/>
        <v>20200622</v>
      </c>
      <c r="B177" s="19">
        <v>44004</v>
      </c>
      <c r="C177" s="24" t="str">
        <f t="shared" si="22"/>
        <v>22 June 2020</v>
      </c>
      <c r="D177" s="21">
        <f t="shared" si="18"/>
        <v>6</v>
      </c>
      <c r="E177" s="21" t="str">
        <f t="shared" si="19"/>
        <v>June</v>
      </c>
      <c r="F177" s="22">
        <f t="shared" si="20"/>
        <v>2020</v>
      </c>
      <c r="G177" s="23" t="str">
        <f t="shared" si="21"/>
        <v>2020-06</v>
      </c>
    </row>
    <row r="178" spans="1:7" x14ac:dyDescent="0.3">
      <c r="A178" s="18">
        <f t="shared" si="17"/>
        <v>20200623</v>
      </c>
      <c r="B178" s="19">
        <v>44005</v>
      </c>
      <c r="C178" s="24" t="str">
        <f t="shared" si="22"/>
        <v>23 June 2020</v>
      </c>
      <c r="D178" s="21">
        <f t="shared" si="18"/>
        <v>6</v>
      </c>
      <c r="E178" s="21" t="str">
        <f t="shared" si="19"/>
        <v>June</v>
      </c>
      <c r="F178" s="22">
        <f t="shared" si="20"/>
        <v>2020</v>
      </c>
      <c r="G178" s="23" t="str">
        <f t="shared" si="21"/>
        <v>2020-06</v>
      </c>
    </row>
    <row r="179" spans="1:7" x14ac:dyDescent="0.3">
      <c r="A179" s="18">
        <f t="shared" si="17"/>
        <v>20200624</v>
      </c>
      <c r="B179" s="19">
        <v>44006</v>
      </c>
      <c r="C179" s="24" t="str">
        <f t="shared" si="22"/>
        <v>24 June 2020</v>
      </c>
      <c r="D179" s="21">
        <f t="shared" si="18"/>
        <v>6</v>
      </c>
      <c r="E179" s="21" t="str">
        <f t="shared" si="19"/>
        <v>June</v>
      </c>
      <c r="F179" s="22">
        <f t="shared" si="20"/>
        <v>2020</v>
      </c>
      <c r="G179" s="23" t="str">
        <f t="shared" si="21"/>
        <v>2020-06</v>
      </c>
    </row>
    <row r="180" spans="1:7" x14ac:dyDescent="0.3">
      <c r="A180" s="18">
        <f t="shared" si="17"/>
        <v>20200625</v>
      </c>
      <c r="B180" s="19">
        <v>44007</v>
      </c>
      <c r="C180" s="24" t="str">
        <f t="shared" si="22"/>
        <v>25 June 2020</v>
      </c>
      <c r="D180" s="21">
        <f t="shared" si="18"/>
        <v>6</v>
      </c>
      <c r="E180" s="21" t="str">
        <f t="shared" si="19"/>
        <v>June</v>
      </c>
      <c r="F180" s="22">
        <f t="shared" si="20"/>
        <v>2020</v>
      </c>
      <c r="G180" s="23" t="str">
        <f t="shared" si="21"/>
        <v>2020-06</v>
      </c>
    </row>
    <row r="181" spans="1:7" x14ac:dyDescent="0.3">
      <c r="A181" s="18">
        <f t="shared" si="17"/>
        <v>20200626</v>
      </c>
      <c r="B181" s="19">
        <v>44008</v>
      </c>
      <c r="C181" s="24" t="str">
        <f t="shared" si="22"/>
        <v>26 June 2020</v>
      </c>
      <c r="D181" s="21">
        <f t="shared" si="18"/>
        <v>6</v>
      </c>
      <c r="E181" s="21" t="str">
        <f t="shared" si="19"/>
        <v>June</v>
      </c>
      <c r="F181" s="22">
        <f t="shared" si="20"/>
        <v>2020</v>
      </c>
      <c r="G181" s="23" t="str">
        <f t="shared" si="21"/>
        <v>2020-06</v>
      </c>
    </row>
    <row r="182" spans="1:7" x14ac:dyDescent="0.3">
      <c r="A182" s="18">
        <f t="shared" si="17"/>
        <v>20200627</v>
      </c>
      <c r="B182" s="19">
        <v>44009</v>
      </c>
      <c r="C182" s="24" t="str">
        <f t="shared" si="22"/>
        <v>27 June 2020</v>
      </c>
      <c r="D182" s="21">
        <f t="shared" si="18"/>
        <v>6</v>
      </c>
      <c r="E182" s="21" t="str">
        <f t="shared" si="19"/>
        <v>June</v>
      </c>
      <c r="F182" s="22">
        <f t="shared" si="20"/>
        <v>2020</v>
      </c>
      <c r="G182" s="23" t="str">
        <f t="shared" si="21"/>
        <v>2020-06</v>
      </c>
    </row>
    <row r="183" spans="1:7" x14ac:dyDescent="0.3">
      <c r="A183" s="18">
        <f t="shared" si="17"/>
        <v>20200628</v>
      </c>
      <c r="B183" s="19">
        <v>44010</v>
      </c>
      <c r="C183" s="24" t="str">
        <f t="shared" si="22"/>
        <v>28 June 2020</v>
      </c>
      <c r="D183" s="21">
        <f t="shared" si="18"/>
        <v>6</v>
      </c>
      <c r="E183" s="21" t="str">
        <f t="shared" si="19"/>
        <v>June</v>
      </c>
      <c r="F183" s="22">
        <f t="shared" si="20"/>
        <v>2020</v>
      </c>
      <c r="G183" s="23" t="str">
        <f t="shared" si="21"/>
        <v>2020-06</v>
      </c>
    </row>
    <row r="184" spans="1:7" x14ac:dyDescent="0.3">
      <c r="A184" s="18">
        <f t="shared" si="17"/>
        <v>20200629</v>
      </c>
      <c r="B184" s="19">
        <v>44011</v>
      </c>
      <c r="C184" s="24" t="str">
        <f t="shared" si="22"/>
        <v>29 June 2020</v>
      </c>
      <c r="D184" s="21">
        <f t="shared" si="18"/>
        <v>6</v>
      </c>
      <c r="E184" s="21" t="str">
        <f t="shared" si="19"/>
        <v>June</v>
      </c>
      <c r="F184" s="22">
        <f t="shared" si="20"/>
        <v>2020</v>
      </c>
      <c r="G184" s="23" t="str">
        <f t="shared" si="21"/>
        <v>2020-06</v>
      </c>
    </row>
    <row r="185" spans="1:7" x14ac:dyDescent="0.3">
      <c r="A185" s="18">
        <f t="shared" si="17"/>
        <v>20200630</v>
      </c>
      <c r="B185" s="19">
        <v>44012</v>
      </c>
      <c r="C185" s="24" t="str">
        <f t="shared" si="22"/>
        <v>30 June 2020</v>
      </c>
      <c r="D185" s="21">
        <f t="shared" si="18"/>
        <v>6</v>
      </c>
      <c r="E185" s="21" t="str">
        <f t="shared" si="19"/>
        <v>June</v>
      </c>
      <c r="F185" s="22">
        <f t="shared" si="20"/>
        <v>2020</v>
      </c>
      <c r="G185" s="23" t="str">
        <f t="shared" si="21"/>
        <v>2020-06</v>
      </c>
    </row>
    <row r="186" spans="1:7" x14ac:dyDescent="0.3">
      <c r="A186" s="18">
        <f t="shared" si="17"/>
        <v>20200701</v>
      </c>
      <c r="B186" s="19">
        <v>44013</v>
      </c>
      <c r="C186" s="24" t="str">
        <f t="shared" si="22"/>
        <v>01 July 2020</v>
      </c>
      <c r="D186" s="21">
        <f t="shared" si="18"/>
        <v>7</v>
      </c>
      <c r="E186" s="21" t="str">
        <f t="shared" si="19"/>
        <v>July</v>
      </c>
      <c r="F186" s="22">
        <f t="shared" si="20"/>
        <v>2020</v>
      </c>
      <c r="G186" s="23" t="str">
        <f t="shared" si="21"/>
        <v>2020-07</v>
      </c>
    </row>
    <row r="187" spans="1:7" x14ac:dyDescent="0.3">
      <c r="A187" s="18">
        <f t="shared" si="17"/>
        <v>20200702</v>
      </c>
      <c r="B187" s="19">
        <v>44014</v>
      </c>
      <c r="C187" s="24" t="str">
        <f t="shared" si="22"/>
        <v>02 July 2020</v>
      </c>
      <c r="D187" s="21">
        <f t="shared" si="18"/>
        <v>7</v>
      </c>
      <c r="E187" s="21" t="str">
        <f t="shared" si="19"/>
        <v>July</v>
      </c>
      <c r="F187" s="22">
        <f t="shared" si="20"/>
        <v>2020</v>
      </c>
      <c r="G187" s="23" t="str">
        <f t="shared" si="21"/>
        <v>2020-07</v>
      </c>
    </row>
    <row r="188" spans="1:7" x14ac:dyDescent="0.3">
      <c r="A188" s="18">
        <f t="shared" si="17"/>
        <v>20200703</v>
      </c>
      <c r="B188" s="19">
        <v>44015</v>
      </c>
      <c r="C188" s="24" t="str">
        <f t="shared" si="22"/>
        <v>03 July 2020</v>
      </c>
      <c r="D188" s="21">
        <f t="shared" si="18"/>
        <v>7</v>
      </c>
      <c r="E188" s="21" t="str">
        <f t="shared" si="19"/>
        <v>July</v>
      </c>
      <c r="F188" s="22">
        <f t="shared" si="20"/>
        <v>2020</v>
      </c>
      <c r="G188" s="23" t="str">
        <f t="shared" si="21"/>
        <v>2020-07</v>
      </c>
    </row>
    <row r="189" spans="1:7" x14ac:dyDescent="0.3">
      <c r="A189" s="18">
        <f t="shared" si="17"/>
        <v>20200704</v>
      </c>
      <c r="B189" s="19">
        <v>44016</v>
      </c>
      <c r="C189" s="24" t="str">
        <f t="shared" si="22"/>
        <v>04 July 2020</v>
      </c>
      <c r="D189" s="21">
        <f t="shared" si="18"/>
        <v>7</v>
      </c>
      <c r="E189" s="21" t="str">
        <f t="shared" si="19"/>
        <v>July</v>
      </c>
      <c r="F189" s="22">
        <f t="shared" si="20"/>
        <v>2020</v>
      </c>
      <c r="G189" s="23" t="str">
        <f t="shared" si="21"/>
        <v>2020-07</v>
      </c>
    </row>
    <row r="190" spans="1:7" x14ac:dyDescent="0.3">
      <c r="A190" s="18">
        <f t="shared" ref="A190:A253" si="23">YEAR(B190)*10000+MONTH(B190)*100+DAY(B190)</f>
        <v>20200705</v>
      </c>
      <c r="B190" s="19">
        <v>44017</v>
      </c>
      <c r="C190" s="24" t="str">
        <f t="shared" si="22"/>
        <v>05 July 2020</v>
      </c>
      <c r="D190" s="21">
        <f t="shared" ref="D190:D253" si="24">MONTH(B190)</f>
        <v>7</v>
      </c>
      <c r="E190" s="21" t="str">
        <f t="shared" ref="E190:E253" si="25">TEXT(B190,"MMMM")</f>
        <v>July</v>
      </c>
      <c r="F190" s="22">
        <f t="shared" ref="F190:F253" si="26">YEAR(B190)</f>
        <v>2020</v>
      </c>
      <c r="G190" s="23" t="str">
        <f t="shared" ref="G190:G253" si="27">TEXT(B190,"YYYY-MM")</f>
        <v>2020-07</v>
      </c>
    </row>
    <row r="191" spans="1:7" x14ac:dyDescent="0.3">
      <c r="A191" s="18">
        <f t="shared" si="23"/>
        <v>20200706</v>
      </c>
      <c r="B191" s="19">
        <v>44018</v>
      </c>
      <c r="C191" s="24" t="str">
        <f t="shared" ref="C191:C254" si="28">TEXT(B191,"dd MMMM YYYY")</f>
        <v>06 July 2020</v>
      </c>
      <c r="D191" s="21">
        <f t="shared" si="24"/>
        <v>7</v>
      </c>
      <c r="E191" s="21" t="str">
        <f t="shared" si="25"/>
        <v>July</v>
      </c>
      <c r="F191" s="22">
        <f t="shared" si="26"/>
        <v>2020</v>
      </c>
      <c r="G191" s="23" t="str">
        <f t="shared" si="27"/>
        <v>2020-07</v>
      </c>
    </row>
    <row r="192" spans="1:7" x14ac:dyDescent="0.3">
      <c r="A192" s="18">
        <f t="shared" si="23"/>
        <v>20200707</v>
      </c>
      <c r="B192" s="19">
        <v>44019</v>
      </c>
      <c r="C192" s="24" t="str">
        <f t="shared" si="28"/>
        <v>07 July 2020</v>
      </c>
      <c r="D192" s="21">
        <f t="shared" si="24"/>
        <v>7</v>
      </c>
      <c r="E192" s="21" t="str">
        <f t="shared" si="25"/>
        <v>July</v>
      </c>
      <c r="F192" s="22">
        <f t="shared" si="26"/>
        <v>2020</v>
      </c>
      <c r="G192" s="23" t="str">
        <f t="shared" si="27"/>
        <v>2020-07</v>
      </c>
    </row>
    <row r="193" spans="1:7" x14ac:dyDescent="0.3">
      <c r="A193" s="18">
        <f t="shared" si="23"/>
        <v>20200708</v>
      </c>
      <c r="B193" s="19">
        <v>44020</v>
      </c>
      <c r="C193" s="24" t="str">
        <f t="shared" si="28"/>
        <v>08 July 2020</v>
      </c>
      <c r="D193" s="21">
        <f t="shared" si="24"/>
        <v>7</v>
      </c>
      <c r="E193" s="21" t="str">
        <f t="shared" si="25"/>
        <v>July</v>
      </c>
      <c r="F193" s="22">
        <f t="shared" si="26"/>
        <v>2020</v>
      </c>
      <c r="G193" s="23" t="str">
        <f t="shared" si="27"/>
        <v>2020-07</v>
      </c>
    </row>
    <row r="194" spans="1:7" x14ac:dyDescent="0.3">
      <c r="A194" s="18">
        <f t="shared" si="23"/>
        <v>20200709</v>
      </c>
      <c r="B194" s="19">
        <v>44021</v>
      </c>
      <c r="C194" s="24" t="str">
        <f t="shared" si="28"/>
        <v>09 July 2020</v>
      </c>
      <c r="D194" s="21">
        <f t="shared" si="24"/>
        <v>7</v>
      </c>
      <c r="E194" s="21" t="str">
        <f t="shared" si="25"/>
        <v>July</v>
      </c>
      <c r="F194" s="22">
        <f t="shared" si="26"/>
        <v>2020</v>
      </c>
      <c r="G194" s="23" t="str">
        <f t="shared" si="27"/>
        <v>2020-07</v>
      </c>
    </row>
    <row r="195" spans="1:7" x14ac:dyDescent="0.3">
      <c r="A195" s="18">
        <f t="shared" si="23"/>
        <v>20200710</v>
      </c>
      <c r="B195" s="19">
        <v>44022</v>
      </c>
      <c r="C195" s="24" t="str">
        <f t="shared" si="28"/>
        <v>10 July 2020</v>
      </c>
      <c r="D195" s="21">
        <f t="shared" si="24"/>
        <v>7</v>
      </c>
      <c r="E195" s="21" t="str">
        <f t="shared" si="25"/>
        <v>July</v>
      </c>
      <c r="F195" s="22">
        <f t="shared" si="26"/>
        <v>2020</v>
      </c>
      <c r="G195" s="23" t="str">
        <f t="shared" si="27"/>
        <v>2020-07</v>
      </c>
    </row>
    <row r="196" spans="1:7" x14ac:dyDescent="0.3">
      <c r="A196" s="18">
        <f t="shared" si="23"/>
        <v>20200711</v>
      </c>
      <c r="B196" s="19">
        <v>44023</v>
      </c>
      <c r="C196" s="24" t="str">
        <f t="shared" si="28"/>
        <v>11 July 2020</v>
      </c>
      <c r="D196" s="21">
        <f t="shared" si="24"/>
        <v>7</v>
      </c>
      <c r="E196" s="21" t="str">
        <f t="shared" si="25"/>
        <v>July</v>
      </c>
      <c r="F196" s="22">
        <f t="shared" si="26"/>
        <v>2020</v>
      </c>
      <c r="G196" s="23" t="str">
        <f t="shared" si="27"/>
        <v>2020-07</v>
      </c>
    </row>
    <row r="197" spans="1:7" x14ac:dyDescent="0.3">
      <c r="A197" s="18">
        <f t="shared" si="23"/>
        <v>20200712</v>
      </c>
      <c r="B197" s="19">
        <v>44024</v>
      </c>
      <c r="C197" s="24" t="str">
        <f t="shared" si="28"/>
        <v>12 July 2020</v>
      </c>
      <c r="D197" s="21">
        <f t="shared" si="24"/>
        <v>7</v>
      </c>
      <c r="E197" s="21" t="str">
        <f t="shared" si="25"/>
        <v>July</v>
      </c>
      <c r="F197" s="22">
        <f t="shared" si="26"/>
        <v>2020</v>
      </c>
      <c r="G197" s="23" t="str">
        <f t="shared" si="27"/>
        <v>2020-07</v>
      </c>
    </row>
    <row r="198" spans="1:7" x14ac:dyDescent="0.3">
      <c r="A198" s="18">
        <f t="shared" si="23"/>
        <v>20200713</v>
      </c>
      <c r="B198" s="19">
        <v>44025</v>
      </c>
      <c r="C198" s="24" t="str">
        <f t="shared" si="28"/>
        <v>13 July 2020</v>
      </c>
      <c r="D198" s="21">
        <f t="shared" si="24"/>
        <v>7</v>
      </c>
      <c r="E198" s="21" t="str">
        <f t="shared" si="25"/>
        <v>July</v>
      </c>
      <c r="F198" s="22">
        <f t="shared" si="26"/>
        <v>2020</v>
      </c>
      <c r="G198" s="23" t="str">
        <f t="shared" si="27"/>
        <v>2020-07</v>
      </c>
    </row>
    <row r="199" spans="1:7" x14ac:dyDescent="0.3">
      <c r="A199" s="18">
        <f t="shared" si="23"/>
        <v>20200714</v>
      </c>
      <c r="B199" s="19">
        <v>44026</v>
      </c>
      <c r="C199" s="24" t="str">
        <f t="shared" si="28"/>
        <v>14 July 2020</v>
      </c>
      <c r="D199" s="21">
        <f t="shared" si="24"/>
        <v>7</v>
      </c>
      <c r="E199" s="21" t="str">
        <f t="shared" si="25"/>
        <v>July</v>
      </c>
      <c r="F199" s="22">
        <f t="shared" si="26"/>
        <v>2020</v>
      </c>
      <c r="G199" s="23" t="str">
        <f t="shared" si="27"/>
        <v>2020-07</v>
      </c>
    </row>
    <row r="200" spans="1:7" x14ac:dyDescent="0.3">
      <c r="A200" s="18">
        <f t="shared" si="23"/>
        <v>20200715</v>
      </c>
      <c r="B200" s="19">
        <v>44027</v>
      </c>
      <c r="C200" s="24" t="str">
        <f t="shared" si="28"/>
        <v>15 July 2020</v>
      </c>
      <c r="D200" s="21">
        <f t="shared" si="24"/>
        <v>7</v>
      </c>
      <c r="E200" s="21" t="str">
        <f t="shared" si="25"/>
        <v>July</v>
      </c>
      <c r="F200" s="22">
        <f t="shared" si="26"/>
        <v>2020</v>
      </c>
      <c r="G200" s="23" t="str">
        <f t="shared" si="27"/>
        <v>2020-07</v>
      </c>
    </row>
    <row r="201" spans="1:7" x14ac:dyDescent="0.3">
      <c r="A201" s="18">
        <f t="shared" si="23"/>
        <v>20200716</v>
      </c>
      <c r="B201" s="19">
        <v>44028</v>
      </c>
      <c r="C201" s="24" t="str">
        <f t="shared" si="28"/>
        <v>16 July 2020</v>
      </c>
      <c r="D201" s="21">
        <f t="shared" si="24"/>
        <v>7</v>
      </c>
      <c r="E201" s="21" t="str">
        <f t="shared" si="25"/>
        <v>July</v>
      </c>
      <c r="F201" s="22">
        <f t="shared" si="26"/>
        <v>2020</v>
      </c>
      <c r="G201" s="23" t="str">
        <f t="shared" si="27"/>
        <v>2020-07</v>
      </c>
    </row>
    <row r="202" spans="1:7" x14ac:dyDescent="0.3">
      <c r="A202" s="18">
        <f t="shared" si="23"/>
        <v>20200717</v>
      </c>
      <c r="B202" s="19">
        <v>44029</v>
      </c>
      <c r="C202" s="24" t="str">
        <f t="shared" si="28"/>
        <v>17 July 2020</v>
      </c>
      <c r="D202" s="21">
        <f t="shared" si="24"/>
        <v>7</v>
      </c>
      <c r="E202" s="21" t="str">
        <f t="shared" si="25"/>
        <v>July</v>
      </c>
      <c r="F202" s="22">
        <f t="shared" si="26"/>
        <v>2020</v>
      </c>
      <c r="G202" s="23" t="str">
        <f t="shared" si="27"/>
        <v>2020-07</v>
      </c>
    </row>
    <row r="203" spans="1:7" x14ac:dyDescent="0.3">
      <c r="A203" s="18">
        <f t="shared" si="23"/>
        <v>20200718</v>
      </c>
      <c r="B203" s="19">
        <v>44030</v>
      </c>
      <c r="C203" s="24" t="str">
        <f t="shared" si="28"/>
        <v>18 July 2020</v>
      </c>
      <c r="D203" s="21">
        <f t="shared" si="24"/>
        <v>7</v>
      </c>
      <c r="E203" s="21" t="str">
        <f t="shared" si="25"/>
        <v>July</v>
      </c>
      <c r="F203" s="22">
        <f t="shared" si="26"/>
        <v>2020</v>
      </c>
      <c r="G203" s="23" t="str">
        <f t="shared" si="27"/>
        <v>2020-07</v>
      </c>
    </row>
    <row r="204" spans="1:7" x14ac:dyDescent="0.3">
      <c r="A204" s="18">
        <f t="shared" si="23"/>
        <v>20200719</v>
      </c>
      <c r="B204" s="19">
        <v>44031</v>
      </c>
      <c r="C204" s="24" t="str">
        <f t="shared" si="28"/>
        <v>19 July 2020</v>
      </c>
      <c r="D204" s="21">
        <f t="shared" si="24"/>
        <v>7</v>
      </c>
      <c r="E204" s="21" t="str">
        <f t="shared" si="25"/>
        <v>July</v>
      </c>
      <c r="F204" s="22">
        <f t="shared" si="26"/>
        <v>2020</v>
      </c>
      <c r="G204" s="23" t="str">
        <f t="shared" si="27"/>
        <v>2020-07</v>
      </c>
    </row>
    <row r="205" spans="1:7" x14ac:dyDescent="0.3">
      <c r="A205" s="18">
        <f t="shared" si="23"/>
        <v>20200720</v>
      </c>
      <c r="B205" s="19">
        <v>44032</v>
      </c>
      <c r="C205" s="24" t="str">
        <f t="shared" si="28"/>
        <v>20 July 2020</v>
      </c>
      <c r="D205" s="21">
        <f t="shared" si="24"/>
        <v>7</v>
      </c>
      <c r="E205" s="21" t="str">
        <f t="shared" si="25"/>
        <v>July</v>
      </c>
      <c r="F205" s="22">
        <f t="shared" si="26"/>
        <v>2020</v>
      </c>
      <c r="G205" s="23" t="str">
        <f t="shared" si="27"/>
        <v>2020-07</v>
      </c>
    </row>
    <row r="206" spans="1:7" x14ac:dyDescent="0.3">
      <c r="A206" s="18">
        <f t="shared" si="23"/>
        <v>20200721</v>
      </c>
      <c r="B206" s="19">
        <v>44033</v>
      </c>
      <c r="C206" s="24" t="str">
        <f t="shared" si="28"/>
        <v>21 July 2020</v>
      </c>
      <c r="D206" s="21">
        <f t="shared" si="24"/>
        <v>7</v>
      </c>
      <c r="E206" s="21" t="str">
        <f t="shared" si="25"/>
        <v>July</v>
      </c>
      <c r="F206" s="22">
        <f t="shared" si="26"/>
        <v>2020</v>
      </c>
      <c r="G206" s="23" t="str">
        <f t="shared" si="27"/>
        <v>2020-07</v>
      </c>
    </row>
    <row r="207" spans="1:7" x14ac:dyDescent="0.3">
      <c r="A207" s="18">
        <f t="shared" si="23"/>
        <v>20200722</v>
      </c>
      <c r="B207" s="19">
        <v>44034</v>
      </c>
      <c r="C207" s="24" t="str">
        <f t="shared" si="28"/>
        <v>22 July 2020</v>
      </c>
      <c r="D207" s="21">
        <f t="shared" si="24"/>
        <v>7</v>
      </c>
      <c r="E207" s="21" t="str">
        <f t="shared" si="25"/>
        <v>July</v>
      </c>
      <c r="F207" s="22">
        <f t="shared" si="26"/>
        <v>2020</v>
      </c>
      <c r="G207" s="23" t="str">
        <f t="shared" si="27"/>
        <v>2020-07</v>
      </c>
    </row>
    <row r="208" spans="1:7" x14ac:dyDescent="0.3">
      <c r="A208" s="18">
        <f t="shared" si="23"/>
        <v>20200723</v>
      </c>
      <c r="B208" s="19">
        <v>44035</v>
      </c>
      <c r="C208" s="24" t="str">
        <f t="shared" si="28"/>
        <v>23 July 2020</v>
      </c>
      <c r="D208" s="21">
        <f t="shared" si="24"/>
        <v>7</v>
      </c>
      <c r="E208" s="21" t="str">
        <f t="shared" si="25"/>
        <v>July</v>
      </c>
      <c r="F208" s="22">
        <f t="shared" si="26"/>
        <v>2020</v>
      </c>
      <c r="G208" s="23" t="str">
        <f t="shared" si="27"/>
        <v>2020-07</v>
      </c>
    </row>
    <row r="209" spans="1:7" x14ac:dyDescent="0.3">
      <c r="A209" s="18">
        <f t="shared" si="23"/>
        <v>20200724</v>
      </c>
      <c r="B209" s="19">
        <v>44036</v>
      </c>
      <c r="C209" s="24" t="str">
        <f t="shared" si="28"/>
        <v>24 July 2020</v>
      </c>
      <c r="D209" s="21">
        <f t="shared" si="24"/>
        <v>7</v>
      </c>
      <c r="E209" s="21" t="str">
        <f t="shared" si="25"/>
        <v>July</v>
      </c>
      <c r="F209" s="22">
        <f t="shared" si="26"/>
        <v>2020</v>
      </c>
      <c r="G209" s="23" t="str">
        <f t="shared" si="27"/>
        <v>2020-07</v>
      </c>
    </row>
    <row r="210" spans="1:7" x14ac:dyDescent="0.3">
      <c r="A210" s="18">
        <f t="shared" si="23"/>
        <v>20200725</v>
      </c>
      <c r="B210" s="19">
        <v>44037</v>
      </c>
      <c r="C210" s="24" t="str">
        <f t="shared" si="28"/>
        <v>25 July 2020</v>
      </c>
      <c r="D210" s="21">
        <f t="shared" si="24"/>
        <v>7</v>
      </c>
      <c r="E210" s="21" t="str">
        <f t="shared" si="25"/>
        <v>July</v>
      </c>
      <c r="F210" s="22">
        <f t="shared" si="26"/>
        <v>2020</v>
      </c>
      <c r="G210" s="23" t="str">
        <f t="shared" si="27"/>
        <v>2020-07</v>
      </c>
    </row>
    <row r="211" spans="1:7" x14ac:dyDescent="0.3">
      <c r="A211" s="18">
        <f t="shared" si="23"/>
        <v>20200726</v>
      </c>
      <c r="B211" s="19">
        <v>44038</v>
      </c>
      <c r="C211" s="24" t="str">
        <f t="shared" si="28"/>
        <v>26 July 2020</v>
      </c>
      <c r="D211" s="21">
        <f t="shared" si="24"/>
        <v>7</v>
      </c>
      <c r="E211" s="21" t="str">
        <f t="shared" si="25"/>
        <v>July</v>
      </c>
      <c r="F211" s="22">
        <f t="shared" si="26"/>
        <v>2020</v>
      </c>
      <c r="G211" s="23" t="str">
        <f t="shared" si="27"/>
        <v>2020-07</v>
      </c>
    </row>
    <row r="212" spans="1:7" x14ac:dyDescent="0.3">
      <c r="A212" s="18">
        <f t="shared" si="23"/>
        <v>20200727</v>
      </c>
      <c r="B212" s="19">
        <v>44039</v>
      </c>
      <c r="C212" s="24" t="str">
        <f t="shared" si="28"/>
        <v>27 July 2020</v>
      </c>
      <c r="D212" s="21">
        <f t="shared" si="24"/>
        <v>7</v>
      </c>
      <c r="E212" s="21" t="str">
        <f t="shared" si="25"/>
        <v>July</v>
      </c>
      <c r="F212" s="22">
        <f t="shared" si="26"/>
        <v>2020</v>
      </c>
      <c r="G212" s="23" t="str">
        <f t="shared" si="27"/>
        <v>2020-07</v>
      </c>
    </row>
    <row r="213" spans="1:7" x14ac:dyDescent="0.3">
      <c r="A213" s="18">
        <f t="shared" si="23"/>
        <v>20200728</v>
      </c>
      <c r="B213" s="19">
        <v>44040</v>
      </c>
      <c r="C213" s="24" t="str">
        <f t="shared" si="28"/>
        <v>28 July 2020</v>
      </c>
      <c r="D213" s="21">
        <f t="shared" si="24"/>
        <v>7</v>
      </c>
      <c r="E213" s="21" t="str">
        <f t="shared" si="25"/>
        <v>July</v>
      </c>
      <c r="F213" s="22">
        <f t="shared" si="26"/>
        <v>2020</v>
      </c>
      <c r="G213" s="23" t="str">
        <f t="shared" si="27"/>
        <v>2020-07</v>
      </c>
    </row>
    <row r="214" spans="1:7" x14ac:dyDescent="0.3">
      <c r="A214" s="18">
        <f t="shared" si="23"/>
        <v>20200729</v>
      </c>
      <c r="B214" s="19">
        <v>44041</v>
      </c>
      <c r="C214" s="24" t="str">
        <f t="shared" si="28"/>
        <v>29 July 2020</v>
      </c>
      <c r="D214" s="21">
        <f t="shared" si="24"/>
        <v>7</v>
      </c>
      <c r="E214" s="21" t="str">
        <f t="shared" si="25"/>
        <v>July</v>
      </c>
      <c r="F214" s="22">
        <f t="shared" si="26"/>
        <v>2020</v>
      </c>
      <c r="G214" s="23" t="str">
        <f t="shared" si="27"/>
        <v>2020-07</v>
      </c>
    </row>
    <row r="215" spans="1:7" x14ac:dyDescent="0.3">
      <c r="A215" s="18">
        <f t="shared" si="23"/>
        <v>20200730</v>
      </c>
      <c r="B215" s="19">
        <v>44042</v>
      </c>
      <c r="C215" s="24" t="str">
        <f t="shared" si="28"/>
        <v>30 July 2020</v>
      </c>
      <c r="D215" s="21">
        <f t="shared" si="24"/>
        <v>7</v>
      </c>
      <c r="E215" s="21" t="str">
        <f t="shared" si="25"/>
        <v>July</v>
      </c>
      <c r="F215" s="22">
        <f t="shared" si="26"/>
        <v>2020</v>
      </c>
      <c r="G215" s="23" t="str">
        <f t="shared" si="27"/>
        <v>2020-07</v>
      </c>
    </row>
    <row r="216" spans="1:7" x14ac:dyDescent="0.3">
      <c r="A216" s="18">
        <f t="shared" si="23"/>
        <v>20200731</v>
      </c>
      <c r="B216" s="19">
        <v>44043</v>
      </c>
      <c r="C216" s="24" t="str">
        <f t="shared" si="28"/>
        <v>31 July 2020</v>
      </c>
      <c r="D216" s="21">
        <f t="shared" si="24"/>
        <v>7</v>
      </c>
      <c r="E216" s="21" t="str">
        <f t="shared" si="25"/>
        <v>July</v>
      </c>
      <c r="F216" s="22">
        <f t="shared" si="26"/>
        <v>2020</v>
      </c>
      <c r="G216" s="23" t="str">
        <f t="shared" si="27"/>
        <v>2020-07</v>
      </c>
    </row>
    <row r="217" spans="1:7" x14ac:dyDescent="0.3">
      <c r="A217" s="18">
        <f t="shared" si="23"/>
        <v>20200801</v>
      </c>
      <c r="B217" s="19">
        <v>44044</v>
      </c>
      <c r="C217" s="24" t="str">
        <f t="shared" si="28"/>
        <v>01 August 2020</v>
      </c>
      <c r="D217" s="21">
        <f t="shared" si="24"/>
        <v>8</v>
      </c>
      <c r="E217" s="21" t="str">
        <f t="shared" si="25"/>
        <v>August</v>
      </c>
      <c r="F217" s="22">
        <f t="shared" si="26"/>
        <v>2020</v>
      </c>
      <c r="G217" s="23" t="str">
        <f t="shared" si="27"/>
        <v>2020-08</v>
      </c>
    </row>
    <row r="218" spans="1:7" x14ac:dyDescent="0.3">
      <c r="A218" s="18">
        <f t="shared" si="23"/>
        <v>20200802</v>
      </c>
      <c r="B218" s="19">
        <v>44045</v>
      </c>
      <c r="C218" s="24" t="str">
        <f t="shared" si="28"/>
        <v>02 August 2020</v>
      </c>
      <c r="D218" s="21">
        <f t="shared" si="24"/>
        <v>8</v>
      </c>
      <c r="E218" s="21" t="str">
        <f t="shared" si="25"/>
        <v>August</v>
      </c>
      <c r="F218" s="22">
        <f t="shared" si="26"/>
        <v>2020</v>
      </c>
      <c r="G218" s="23" t="str">
        <f t="shared" si="27"/>
        <v>2020-08</v>
      </c>
    </row>
    <row r="219" spans="1:7" x14ac:dyDescent="0.3">
      <c r="A219" s="18">
        <f t="shared" si="23"/>
        <v>20200803</v>
      </c>
      <c r="B219" s="19">
        <v>44046</v>
      </c>
      <c r="C219" s="24" t="str">
        <f t="shared" si="28"/>
        <v>03 August 2020</v>
      </c>
      <c r="D219" s="21">
        <f t="shared" si="24"/>
        <v>8</v>
      </c>
      <c r="E219" s="21" t="str">
        <f t="shared" si="25"/>
        <v>August</v>
      </c>
      <c r="F219" s="22">
        <f t="shared" si="26"/>
        <v>2020</v>
      </c>
      <c r="G219" s="23" t="str">
        <f t="shared" si="27"/>
        <v>2020-08</v>
      </c>
    </row>
    <row r="220" spans="1:7" x14ac:dyDescent="0.3">
      <c r="A220" s="18">
        <f t="shared" si="23"/>
        <v>20200804</v>
      </c>
      <c r="B220" s="19">
        <v>44047</v>
      </c>
      <c r="C220" s="24" t="str">
        <f t="shared" si="28"/>
        <v>04 August 2020</v>
      </c>
      <c r="D220" s="21">
        <f t="shared" si="24"/>
        <v>8</v>
      </c>
      <c r="E220" s="21" t="str">
        <f t="shared" si="25"/>
        <v>August</v>
      </c>
      <c r="F220" s="22">
        <f t="shared" si="26"/>
        <v>2020</v>
      </c>
      <c r="G220" s="23" t="str">
        <f t="shared" si="27"/>
        <v>2020-08</v>
      </c>
    </row>
    <row r="221" spans="1:7" x14ac:dyDescent="0.3">
      <c r="A221" s="18">
        <f t="shared" si="23"/>
        <v>20200805</v>
      </c>
      <c r="B221" s="19">
        <v>44048</v>
      </c>
      <c r="C221" s="24" t="str">
        <f t="shared" si="28"/>
        <v>05 August 2020</v>
      </c>
      <c r="D221" s="21">
        <f t="shared" si="24"/>
        <v>8</v>
      </c>
      <c r="E221" s="21" t="str">
        <f t="shared" si="25"/>
        <v>August</v>
      </c>
      <c r="F221" s="22">
        <f t="shared" si="26"/>
        <v>2020</v>
      </c>
      <c r="G221" s="23" t="str">
        <f t="shared" si="27"/>
        <v>2020-08</v>
      </c>
    </row>
    <row r="222" spans="1:7" x14ac:dyDescent="0.3">
      <c r="A222" s="18">
        <f t="shared" si="23"/>
        <v>20200806</v>
      </c>
      <c r="B222" s="19">
        <v>44049</v>
      </c>
      <c r="C222" s="24" t="str">
        <f t="shared" si="28"/>
        <v>06 August 2020</v>
      </c>
      <c r="D222" s="21">
        <f t="shared" si="24"/>
        <v>8</v>
      </c>
      <c r="E222" s="21" t="str">
        <f t="shared" si="25"/>
        <v>August</v>
      </c>
      <c r="F222" s="22">
        <f t="shared" si="26"/>
        <v>2020</v>
      </c>
      <c r="G222" s="23" t="str">
        <f t="shared" si="27"/>
        <v>2020-08</v>
      </c>
    </row>
    <row r="223" spans="1:7" x14ac:dyDescent="0.3">
      <c r="A223" s="18">
        <f t="shared" si="23"/>
        <v>20200807</v>
      </c>
      <c r="B223" s="19">
        <v>44050</v>
      </c>
      <c r="C223" s="24" t="str">
        <f t="shared" si="28"/>
        <v>07 August 2020</v>
      </c>
      <c r="D223" s="21">
        <f t="shared" si="24"/>
        <v>8</v>
      </c>
      <c r="E223" s="21" t="str">
        <f t="shared" si="25"/>
        <v>August</v>
      </c>
      <c r="F223" s="22">
        <f t="shared" si="26"/>
        <v>2020</v>
      </c>
      <c r="G223" s="23" t="str">
        <f t="shared" si="27"/>
        <v>2020-08</v>
      </c>
    </row>
    <row r="224" spans="1:7" x14ac:dyDescent="0.3">
      <c r="A224" s="18">
        <f t="shared" si="23"/>
        <v>20200808</v>
      </c>
      <c r="B224" s="19">
        <v>44051</v>
      </c>
      <c r="C224" s="24" t="str">
        <f t="shared" si="28"/>
        <v>08 August 2020</v>
      </c>
      <c r="D224" s="21">
        <f t="shared" si="24"/>
        <v>8</v>
      </c>
      <c r="E224" s="21" t="str">
        <f t="shared" si="25"/>
        <v>August</v>
      </c>
      <c r="F224" s="22">
        <f t="shared" si="26"/>
        <v>2020</v>
      </c>
      <c r="G224" s="23" t="str">
        <f t="shared" si="27"/>
        <v>2020-08</v>
      </c>
    </row>
    <row r="225" spans="1:7" x14ac:dyDescent="0.3">
      <c r="A225" s="18">
        <f t="shared" si="23"/>
        <v>20200809</v>
      </c>
      <c r="B225" s="19">
        <v>44052</v>
      </c>
      <c r="C225" s="24" t="str">
        <f t="shared" si="28"/>
        <v>09 August 2020</v>
      </c>
      <c r="D225" s="21">
        <f t="shared" si="24"/>
        <v>8</v>
      </c>
      <c r="E225" s="21" t="str">
        <f t="shared" si="25"/>
        <v>August</v>
      </c>
      <c r="F225" s="22">
        <f t="shared" si="26"/>
        <v>2020</v>
      </c>
      <c r="G225" s="23" t="str">
        <f t="shared" si="27"/>
        <v>2020-08</v>
      </c>
    </row>
    <row r="226" spans="1:7" x14ac:dyDescent="0.3">
      <c r="A226" s="18">
        <f t="shared" si="23"/>
        <v>20200810</v>
      </c>
      <c r="B226" s="19">
        <v>44053</v>
      </c>
      <c r="C226" s="24" t="str">
        <f t="shared" si="28"/>
        <v>10 August 2020</v>
      </c>
      <c r="D226" s="21">
        <f t="shared" si="24"/>
        <v>8</v>
      </c>
      <c r="E226" s="21" t="str">
        <f t="shared" si="25"/>
        <v>August</v>
      </c>
      <c r="F226" s="22">
        <f t="shared" si="26"/>
        <v>2020</v>
      </c>
      <c r="G226" s="23" t="str">
        <f t="shared" si="27"/>
        <v>2020-08</v>
      </c>
    </row>
    <row r="227" spans="1:7" x14ac:dyDescent="0.3">
      <c r="A227" s="18">
        <f t="shared" si="23"/>
        <v>20200811</v>
      </c>
      <c r="B227" s="19">
        <v>44054</v>
      </c>
      <c r="C227" s="24" t="str">
        <f t="shared" si="28"/>
        <v>11 August 2020</v>
      </c>
      <c r="D227" s="21">
        <f t="shared" si="24"/>
        <v>8</v>
      </c>
      <c r="E227" s="21" t="str">
        <f t="shared" si="25"/>
        <v>August</v>
      </c>
      <c r="F227" s="22">
        <f t="shared" si="26"/>
        <v>2020</v>
      </c>
      <c r="G227" s="23" t="str">
        <f t="shared" si="27"/>
        <v>2020-08</v>
      </c>
    </row>
    <row r="228" spans="1:7" x14ac:dyDescent="0.3">
      <c r="A228" s="18">
        <f t="shared" si="23"/>
        <v>20200812</v>
      </c>
      <c r="B228" s="19">
        <v>44055</v>
      </c>
      <c r="C228" s="24" t="str">
        <f t="shared" si="28"/>
        <v>12 August 2020</v>
      </c>
      <c r="D228" s="21">
        <f t="shared" si="24"/>
        <v>8</v>
      </c>
      <c r="E228" s="21" t="str">
        <f t="shared" si="25"/>
        <v>August</v>
      </c>
      <c r="F228" s="22">
        <f t="shared" si="26"/>
        <v>2020</v>
      </c>
      <c r="G228" s="23" t="str">
        <f t="shared" si="27"/>
        <v>2020-08</v>
      </c>
    </row>
    <row r="229" spans="1:7" x14ac:dyDescent="0.3">
      <c r="A229" s="18">
        <f t="shared" si="23"/>
        <v>20200813</v>
      </c>
      <c r="B229" s="19">
        <v>44056</v>
      </c>
      <c r="C229" s="24" t="str">
        <f t="shared" si="28"/>
        <v>13 August 2020</v>
      </c>
      <c r="D229" s="21">
        <f t="shared" si="24"/>
        <v>8</v>
      </c>
      <c r="E229" s="21" t="str">
        <f t="shared" si="25"/>
        <v>August</v>
      </c>
      <c r="F229" s="22">
        <f t="shared" si="26"/>
        <v>2020</v>
      </c>
      <c r="G229" s="23" t="str">
        <f t="shared" si="27"/>
        <v>2020-08</v>
      </c>
    </row>
    <row r="230" spans="1:7" x14ac:dyDescent="0.3">
      <c r="A230" s="18">
        <f t="shared" si="23"/>
        <v>20200814</v>
      </c>
      <c r="B230" s="19">
        <v>44057</v>
      </c>
      <c r="C230" s="24" t="str">
        <f t="shared" si="28"/>
        <v>14 August 2020</v>
      </c>
      <c r="D230" s="21">
        <f t="shared" si="24"/>
        <v>8</v>
      </c>
      <c r="E230" s="21" t="str">
        <f t="shared" si="25"/>
        <v>August</v>
      </c>
      <c r="F230" s="22">
        <f t="shared" si="26"/>
        <v>2020</v>
      </c>
      <c r="G230" s="23" t="str">
        <f t="shared" si="27"/>
        <v>2020-08</v>
      </c>
    </row>
    <row r="231" spans="1:7" x14ac:dyDescent="0.3">
      <c r="A231" s="18">
        <f t="shared" si="23"/>
        <v>20200815</v>
      </c>
      <c r="B231" s="19">
        <v>44058</v>
      </c>
      <c r="C231" s="24" t="str">
        <f t="shared" si="28"/>
        <v>15 August 2020</v>
      </c>
      <c r="D231" s="21">
        <f t="shared" si="24"/>
        <v>8</v>
      </c>
      <c r="E231" s="21" t="str">
        <f t="shared" si="25"/>
        <v>August</v>
      </c>
      <c r="F231" s="22">
        <f t="shared" si="26"/>
        <v>2020</v>
      </c>
      <c r="G231" s="23" t="str">
        <f t="shared" si="27"/>
        <v>2020-08</v>
      </c>
    </row>
    <row r="232" spans="1:7" x14ac:dyDescent="0.3">
      <c r="A232" s="18">
        <f t="shared" si="23"/>
        <v>20200816</v>
      </c>
      <c r="B232" s="19">
        <v>44059</v>
      </c>
      <c r="C232" s="24" t="str">
        <f t="shared" si="28"/>
        <v>16 August 2020</v>
      </c>
      <c r="D232" s="21">
        <f t="shared" si="24"/>
        <v>8</v>
      </c>
      <c r="E232" s="21" t="str">
        <f t="shared" si="25"/>
        <v>August</v>
      </c>
      <c r="F232" s="22">
        <f t="shared" si="26"/>
        <v>2020</v>
      </c>
      <c r="G232" s="23" t="str">
        <f t="shared" si="27"/>
        <v>2020-08</v>
      </c>
    </row>
    <row r="233" spans="1:7" x14ac:dyDescent="0.3">
      <c r="A233" s="18">
        <f t="shared" si="23"/>
        <v>20200817</v>
      </c>
      <c r="B233" s="19">
        <v>44060</v>
      </c>
      <c r="C233" s="24" t="str">
        <f t="shared" si="28"/>
        <v>17 August 2020</v>
      </c>
      <c r="D233" s="21">
        <f t="shared" si="24"/>
        <v>8</v>
      </c>
      <c r="E233" s="21" t="str">
        <f t="shared" si="25"/>
        <v>August</v>
      </c>
      <c r="F233" s="22">
        <f t="shared" si="26"/>
        <v>2020</v>
      </c>
      <c r="G233" s="23" t="str">
        <f t="shared" si="27"/>
        <v>2020-08</v>
      </c>
    </row>
    <row r="234" spans="1:7" x14ac:dyDescent="0.3">
      <c r="A234" s="18">
        <f t="shared" si="23"/>
        <v>20200818</v>
      </c>
      <c r="B234" s="19">
        <v>44061</v>
      </c>
      <c r="C234" s="24" t="str">
        <f t="shared" si="28"/>
        <v>18 August 2020</v>
      </c>
      <c r="D234" s="21">
        <f t="shared" si="24"/>
        <v>8</v>
      </c>
      <c r="E234" s="21" t="str">
        <f t="shared" si="25"/>
        <v>August</v>
      </c>
      <c r="F234" s="22">
        <f t="shared" si="26"/>
        <v>2020</v>
      </c>
      <c r="G234" s="23" t="str">
        <f t="shared" si="27"/>
        <v>2020-08</v>
      </c>
    </row>
    <row r="235" spans="1:7" x14ac:dyDescent="0.3">
      <c r="A235" s="18">
        <f t="shared" si="23"/>
        <v>20200819</v>
      </c>
      <c r="B235" s="19">
        <v>44062</v>
      </c>
      <c r="C235" s="24" t="str">
        <f t="shared" si="28"/>
        <v>19 August 2020</v>
      </c>
      <c r="D235" s="21">
        <f t="shared" si="24"/>
        <v>8</v>
      </c>
      <c r="E235" s="21" t="str">
        <f t="shared" si="25"/>
        <v>August</v>
      </c>
      <c r="F235" s="22">
        <f t="shared" si="26"/>
        <v>2020</v>
      </c>
      <c r="G235" s="23" t="str">
        <f t="shared" si="27"/>
        <v>2020-08</v>
      </c>
    </row>
    <row r="236" spans="1:7" x14ac:dyDescent="0.3">
      <c r="A236" s="18">
        <f t="shared" si="23"/>
        <v>20200820</v>
      </c>
      <c r="B236" s="19">
        <v>44063</v>
      </c>
      <c r="C236" s="24" t="str">
        <f t="shared" si="28"/>
        <v>20 August 2020</v>
      </c>
      <c r="D236" s="21">
        <f t="shared" si="24"/>
        <v>8</v>
      </c>
      <c r="E236" s="21" t="str">
        <f t="shared" si="25"/>
        <v>August</v>
      </c>
      <c r="F236" s="22">
        <f t="shared" si="26"/>
        <v>2020</v>
      </c>
      <c r="G236" s="23" t="str">
        <f t="shared" si="27"/>
        <v>2020-08</v>
      </c>
    </row>
    <row r="237" spans="1:7" x14ac:dyDescent="0.3">
      <c r="A237" s="18">
        <f t="shared" si="23"/>
        <v>20200821</v>
      </c>
      <c r="B237" s="19">
        <v>44064</v>
      </c>
      <c r="C237" s="24" t="str">
        <f t="shared" si="28"/>
        <v>21 August 2020</v>
      </c>
      <c r="D237" s="21">
        <f t="shared" si="24"/>
        <v>8</v>
      </c>
      <c r="E237" s="21" t="str">
        <f t="shared" si="25"/>
        <v>August</v>
      </c>
      <c r="F237" s="22">
        <f t="shared" si="26"/>
        <v>2020</v>
      </c>
      <c r="G237" s="23" t="str">
        <f t="shared" si="27"/>
        <v>2020-08</v>
      </c>
    </row>
    <row r="238" spans="1:7" x14ac:dyDescent="0.3">
      <c r="A238" s="18">
        <f t="shared" si="23"/>
        <v>20200822</v>
      </c>
      <c r="B238" s="19">
        <v>44065</v>
      </c>
      <c r="C238" s="24" t="str">
        <f t="shared" si="28"/>
        <v>22 August 2020</v>
      </c>
      <c r="D238" s="21">
        <f t="shared" si="24"/>
        <v>8</v>
      </c>
      <c r="E238" s="21" t="str">
        <f t="shared" si="25"/>
        <v>August</v>
      </c>
      <c r="F238" s="22">
        <f t="shared" si="26"/>
        <v>2020</v>
      </c>
      <c r="G238" s="23" t="str">
        <f t="shared" si="27"/>
        <v>2020-08</v>
      </c>
    </row>
    <row r="239" spans="1:7" x14ac:dyDescent="0.3">
      <c r="A239" s="18">
        <f t="shared" si="23"/>
        <v>20200823</v>
      </c>
      <c r="B239" s="19">
        <v>44066</v>
      </c>
      <c r="C239" s="24" t="str">
        <f t="shared" si="28"/>
        <v>23 August 2020</v>
      </c>
      <c r="D239" s="21">
        <f t="shared" si="24"/>
        <v>8</v>
      </c>
      <c r="E239" s="21" t="str">
        <f t="shared" si="25"/>
        <v>August</v>
      </c>
      <c r="F239" s="22">
        <f t="shared" si="26"/>
        <v>2020</v>
      </c>
      <c r="G239" s="23" t="str">
        <f t="shared" si="27"/>
        <v>2020-08</v>
      </c>
    </row>
    <row r="240" spans="1:7" x14ac:dyDescent="0.3">
      <c r="A240" s="18">
        <f t="shared" si="23"/>
        <v>20200824</v>
      </c>
      <c r="B240" s="19">
        <v>44067</v>
      </c>
      <c r="C240" s="24" t="str">
        <f t="shared" si="28"/>
        <v>24 August 2020</v>
      </c>
      <c r="D240" s="21">
        <f t="shared" si="24"/>
        <v>8</v>
      </c>
      <c r="E240" s="21" t="str">
        <f t="shared" si="25"/>
        <v>August</v>
      </c>
      <c r="F240" s="22">
        <f t="shared" si="26"/>
        <v>2020</v>
      </c>
      <c r="G240" s="23" t="str">
        <f t="shared" si="27"/>
        <v>2020-08</v>
      </c>
    </row>
    <row r="241" spans="1:7" x14ac:dyDescent="0.3">
      <c r="A241" s="18">
        <f t="shared" si="23"/>
        <v>20200825</v>
      </c>
      <c r="B241" s="19">
        <v>44068</v>
      </c>
      <c r="C241" s="24" t="str">
        <f t="shared" si="28"/>
        <v>25 August 2020</v>
      </c>
      <c r="D241" s="21">
        <f t="shared" si="24"/>
        <v>8</v>
      </c>
      <c r="E241" s="21" t="str">
        <f t="shared" si="25"/>
        <v>August</v>
      </c>
      <c r="F241" s="22">
        <f t="shared" si="26"/>
        <v>2020</v>
      </c>
      <c r="G241" s="23" t="str">
        <f t="shared" si="27"/>
        <v>2020-08</v>
      </c>
    </row>
    <row r="242" spans="1:7" x14ac:dyDescent="0.3">
      <c r="A242" s="18">
        <f t="shared" si="23"/>
        <v>20200826</v>
      </c>
      <c r="B242" s="19">
        <v>44069</v>
      </c>
      <c r="C242" s="24" t="str">
        <f t="shared" si="28"/>
        <v>26 August 2020</v>
      </c>
      <c r="D242" s="21">
        <f t="shared" si="24"/>
        <v>8</v>
      </c>
      <c r="E242" s="21" t="str">
        <f t="shared" si="25"/>
        <v>August</v>
      </c>
      <c r="F242" s="22">
        <f t="shared" si="26"/>
        <v>2020</v>
      </c>
      <c r="G242" s="23" t="str">
        <f t="shared" si="27"/>
        <v>2020-08</v>
      </c>
    </row>
    <row r="243" spans="1:7" x14ac:dyDescent="0.3">
      <c r="A243" s="18">
        <f t="shared" si="23"/>
        <v>20200827</v>
      </c>
      <c r="B243" s="19">
        <v>44070</v>
      </c>
      <c r="C243" s="24" t="str">
        <f t="shared" si="28"/>
        <v>27 August 2020</v>
      </c>
      <c r="D243" s="21">
        <f t="shared" si="24"/>
        <v>8</v>
      </c>
      <c r="E243" s="21" t="str">
        <f t="shared" si="25"/>
        <v>August</v>
      </c>
      <c r="F243" s="22">
        <f t="shared" si="26"/>
        <v>2020</v>
      </c>
      <c r="G243" s="23" t="str">
        <f t="shared" si="27"/>
        <v>2020-08</v>
      </c>
    </row>
    <row r="244" spans="1:7" x14ac:dyDescent="0.3">
      <c r="A244" s="18">
        <f t="shared" si="23"/>
        <v>20200828</v>
      </c>
      <c r="B244" s="19">
        <v>44071</v>
      </c>
      <c r="C244" s="24" t="str">
        <f t="shared" si="28"/>
        <v>28 August 2020</v>
      </c>
      <c r="D244" s="21">
        <f t="shared" si="24"/>
        <v>8</v>
      </c>
      <c r="E244" s="21" t="str">
        <f t="shared" si="25"/>
        <v>August</v>
      </c>
      <c r="F244" s="22">
        <f t="shared" si="26"/>
        <v>2020</v>
      </c>
      <c r="G244" s="23" t="str">
        <f t="shared" si="27"/>
        <v>2020-08</v>
      </c>
    </row>
    <row r="245" spans="1:7" x14ac:dyDescent="0.3">
      <c r="A245" s="18">
        <f t="shared" si="23"/>
        <v>20200829</v>
      </c>
      <c r="B245" s="19">
        <v>44072</v>
      </c>
      <c r="C245" s="24" t="str">
        <f t="shared" si="28"/>
        <v>29 August 2020</v>
      </c>
      <c r="D245" s="21">
        <f t="shared" si="24"/>
        <v>8</v>
      </c>
      <c r="E245" s="21" t="str">
        <f t="shared" si="25"/>
        <v>August</v>
      </c>
      <c r="F245" s="22">
        <f t="shared" si="26"/>
        <v>2020</v>
      </c>
      <c r="G245" s="23" t="str">
        <f t="shared" si="27"/>
        <v>2020-08</v>
      </c>
    </row>
    <row r="246" spans="1:7" x14ac:dyDescent="0.3">
      <c r="A246" s="18">
        <f t="shared" si="23"/>
        <v>20200830</v>
      </c>
      <c r="B246" s="19">
        <v>44073</v>
      </c>
      <c r="C246" s="24" t="str">
        <f t="shared" si="28"/>
        <v>30 August 2020</v>
      </c>
      <c r="D246" s="21">
        <f t="shared" si="24"/>
        <v>8</v>
      </c>
      <c r="E246" s="21" t="str">
        <f t="shared" si="25"/>
        <v>August</v>
      </c>
      <c r="F246" s="22">
        <f t="shared" si="26"/>
        <v>2020</v>
      </c>
      <c r="G246" s="23" t="str">
        <f t="shared" si="27"/>
        <v>2020-08</v>
      </c>
    </row>
    <row r="247" spans="1:7" x14ac:dyDescent="0.3">
      <c r="A247" s="18">
        <f t="shared" si="23"/>
        <v>20200831</v>
      </c>
      <c r="B247" s="19">
        <v>44074</v>
      </c>
      <c r="C247" s="24" t="str">
        <f t="shared" si="28"/>
        <v>31 August 2020</v>
      </c>
      <c r="D247" s="21">
        <f t="shared" si="24"/>
        <v>8</v>
      </c>
      <c r="E247" s="21" t="str">
        <f t="shared" si="25"/>
        <v>August</v>
      </c>
      <c r="F247" s="22">
        <f t="shared" si="26"/>
        <v>2020</v>
      </c>
      <c r="G247" s="23" t="str">
        <f t="shared" si="27"/>
        <v>2020-08</v>
      </c>
    </row>
    <row r="248" spans="1:7" x14ac:dyDescent="0.3">
      <c r="A248" s="18">
        <f t="shared" si="23"/>
        <v>20200901</v>
      </c>
      <c r="B248" s="19">
        <v>44075</v>
      </c>
      <c r="C248" s="24" t="str">
        <f t="shared" si="28"/>
        <v>01 September 2020</v>
      </c>
      <c r="D248" s="21">
        <f t="shared" si="24"/>
        <v>9</v>
      </c>
      <c r="E248" s="21" t="str">
        <f t="shared" si="25"/>
        <v>September</v>
      </c>
      <c r="F248" s="22">
        <f t="shared" si="26"/>
        <v>2020</v>
      </c>
      <c r="G248" s="23" t="str">
        <f t="shared" si="27"/>
        <v>2020-09</v>
      </c>
    </row>
    <row r="249" spans="1:7" x14ac:dyDescent="0.3">
      <c r="A249" s="18">
        <f t="shared" si="23"/>
        <v>20200902</v>
      </c>
      <c r="B249" s="19">
        <v>44076</v>
      </c>
      <c r="C249" s="24" t="str">
        <f t="shared" si="28"/>
        <v>02 September 2020</v>
      </c>
      <c r="D249" s="21">
        <f t="shared" si="24"/>
        <v>9</v>
      </c>
      <c r="E249" s="21" t="str">
        <f t="shared" si="25"/>
        <v>September</v>
      </c>
      <c r="F249" s="22">
        <f t="shared" si="26"/>
        <v>2020</v>
      </c>
      <c r="G249" s="23" t="str">
        <f t="shared" si="27"/>
        <v>2020-09</v>
      </c>
    </row>
    <row r="250" spans="1:7" x14ac:dyDescent="0.3">
      <c r="A250" s="18">
        <f t="shared" si="23"/>
        <v>20200903</v>
      </c>
      <c r="B250" s="19">
        <v>44077</v>
      </c>
      <c r="C250" s="24" t="str">
        <f t="shared" si="28"/>
        <v>03 September 2020</v>
      </c>
      <c r="D250" s="21">
        <f t="shared" si="24"/>
        <v>9</v>
      </c>
      <c r="E250" s="21" t="str">
        <f t="shared" si="25"/>
        <v>September</v>
      </c>
      <c r="F250" s="22">
        <f t="shared" si="26"/>
        <v>2020</v>
      </c>
      <c r="G250" s="23" t="str">
        <f t="shared" si="27"/>
        <v>2020-09</v>
      </c>
    </row>
    <row r="251" spans="1:7" x14ac:dyDescent="0.3">
      <c r="A251" s="18">
        <f t="shared" si="23"/>
        <v>20200904</v>
      </c>
      <c r="B251" s="19">
        <v>44078</v>
      </c>
      <c r="C251" s="24" t="str">
        <f t="shared" si="28"/>
        <v>04 September 2020</v>
      </c>
      <c r="D251" s="21">
        <f t="shared" si="24"/>
        <v>9</v>
      </c>
      <c r="E251" s="21" t="str">
        <f t="shared" si="25"/>
        <v>September</v>
      </c>
      <c r="F251" s="22">
        <f t="shared" si="26"/>
        <v>2020</v>
      </c>
      <c r="G251" s="23" t="str">
        <f t="shared" si="27"/>
        <v>2020-09</v>
      </c>
    </row>
    <row r="252" spans="1:7" x14ac:dyDescent="0.3">
      <c r="A252" s="18">
        <f t="shared" si="23"/>
        <v>20200905</v>
      </c>
      <c r="B252" s="19">
        <v>44079</v>
      </c>
      <c r="C252" s="24" t="str">
        <f t="shared" si="28"/>
        <v>05 September 2020</v>
      </c>
      <c r="D252" s="21">
        <f t="shared" si="24"/>
        <v>9</v>
      </c>
      <c r="E252" s="21" t="str">
        <f t="shared" si="25"/>
        <v>September</v>
      </c>
      <c r="F252" s="22">
        <f t="shared" si="26"/>
        <v>2020</v>
      </c>
      <c r="G252" s="23" t="str">
        <f t="shared" si="27"/>
        <v>2020-09</v>
      </c>
    </row>
    <row r="253" spans="1:7" x14ac:dyDescent="0.3">
      <c r="A253" s="18">
        <f t="shared" si="23"/>
        <v>20200906</v>
      </c>
      <c r="B253" s="19">
        <v>44080</v>
      </c>
      <c r="C253" s="24" t="str">
        <f t="shared" si="28"/>
        <v>06 September 2020</v>
      </c>
      <c r="D253" s="21">
        <f t="shared" si="24"/>
        <v>9</v>
      </c>
      <c r="E253" s="21" t="str">
        <f t="shared" si="25"/>
        <v>September</v>
      </c>
      <c r="F253" s="22">
        <f t="shared" si="26"/>
        <v>2020</v>
      </c>
      <c r="G253" s="23" t="str">
        <f t="shared" si="27"/>
        <v>2020-09</v>
      </c>
    </row>
    <row r="254" spans="1:7" x14ac:dyDescent="0.3">
      <c r="A254" s="18">
        <f t="shared" ref="A254:A317" si="29">YEAR(B254)*10000+MONTH(B254)*100+DAY(B254)</f>
        <v>20200907</v>
      </c>
      <c r="B254" s="19">
        <v>44081</v>
      </c>
      <c r="C254" s="24" t="str">
        <f t="shared" si="28"/>
        <v>07 September 2020</v>
      </c>
      <c r="D254" s="21">
        <f t="shared" ref="D254:D317" si="30">MONTH(B254)</f>
        <v>9</v>
      </c>
      <c r="E254" s="21" t="str">
        <f t="shared" ref="E254:E317" si="31">TEXT(B254,"MMMM")</f>
        <v>September</v>
      </c>
      <c r="F254" s="22">
        <f t="shared" ref="F254:F317" si="32">YEAR(B254)</f>
        <v>2020</v>
      </c>
      <c r="G254" s="23" t="str">
        <f t="shared" ref="G254:G317" si="33">TEXT(B254,"YYYY-MM")</f>
        <v>2020-09</v>
      </c>
    </row>
    <row r="255" spans="1:7" x14ac:dyDescent="0.3">
      <c r="A255" s="18">
        <f t="shared" si="29"/>
        <v>20200908</v>
      </c>
      <c r="B255" s="19">
        <v>44082</v>
      </c>
      <c r="C255" s="24" t="str">
        <f t="shared" ref="C255:C318" si="34">TEXT(B255,"dd MMMM YYYY")</f>
        <v>08 September 2020</v>
      </c>
      <c r="D255" s="21">
        <f t="shared" si="30"/>
        <v>9</v>
      </c>
      <c r="E255" s="21" t="str">
        <f t="shared" si="31"/>
        <v>September</v>
      </c>
      <c r="F255" s="22">
        <f t="shared" si="32"/>
        <v>2020</v>
      </c>
      <c r="G255" s="23" t="str">
        <f t="shared" si="33"/>
        <v>2020-09</v>
      </c>
    </row>
    <row r="256" spans="1:7" x14ac:dyDescent="0.3">
      <c r="A256" s="18">
        <f t="shared" si="29"/>
        <v>20200909</v>
      </c>
      <c r="B256" s="19">
        <v>44083</v>
      </c>
      <c r="C256" s="24" t="str">
        <f t="shared" si="34"/>
        <v>09 September 2020</v>
      </c>
      <c r="D256" s="21">
        <f t="shared" si="30"/>
        <v>9</v>
      </c>
      <c r="E256" s="21" t="str">
        <f t="shared" si="31"/>
        <v>September</v>
      </c>
      <c r="F256" s="22">
        <f t="shared" si="32"/>
        <v>2020</v>
      </c>
      <c r="G256" s="23" t="str">
        <f t="shared" si="33"/>
        <v>2020-09</v>
      </c>
    </row>
    <row r="257" spans="1:7" x14ac:dyDescent="0.3">
      <c r="A257" s="18">
        <f t="shared" si="29"/>
        <v>20200910</v>
      </c>
      <c r="B257" s="19">
        <v>44084</v>
      </c>
      <c r="C257" s="24" t="str">
        <f t="shared" si="34"/>
        <v>10 September 2020</v>
      </c>
      <c r="D257" s="21">
        <f t="shared" si="30"/>
        <v>9</v>
      </c>
      <c r="E257" s="21" t="str">
        <f t="shared" si="31"/>
        <v>September</v>
      </c>
      <c r="F257" s="22">
        <f t="shared" si="32"/>
        <v>2020</v>
      </c>
      <c r="G257" s="23" t="str">
        <f t="shared" si="33"/>
        <v>2020-09</v>
      </c>
    </row>
    <row r="258" spans="1:7" x14ac:dyDescent="0.3">
      <c r="A258" s="18">
        <f t="shared" si="29"/>
        <v>20200911</v>
      </c>
      <c r="B258" s="19">
        <v>44085</v>
      </c>
      <c r="C258" s="24" t="str">
        <f t="shared" si="34"/>
        <v>11 September 2020</v>
      </c>
      <c r="D258" s="21">
        <f t="shared" si="30"/>
        <v>9</v>
      </c>
      <c r="E258" s="21" t="str">
        <f t="shared" si="31"/>
        <v>September</v>
      </c>
      <c r="F258" s="22">
        <f t="shared" si="32"/>
        <v>2020</v>
      </c>
      <c r="G258" s="23" t="str">
        <f t="shared" si="33"/>
        <v>2020-09</v>
      </c>
    </row>
    <row r="259" spans="1:7" x14ac:dyDescent="0.3">
      <c r="A259" s="18">
        <f t="shared" si="29"/>
        <v>20200912</v>
      </c>
      <c r="B259" s="19">
        <v>44086</v>
      </c>
      <c r="C259" s="24" t="str">
        <f t="shared" si="34"/>
        <v>12 September 2020</v>
      </c>
      <c r="D259" s="21">
        <f t="shared" si="30"/>
        <v>9</v>
      </c>
      <c r="E259" s="21" t="str">
        <f t="shared" si="31"/>
        <v>September</v>
      </c>
      <c r="F259" s="22">
        <f t="shared" si="32"/>
        <v>2020</v>
      </c>
      <c r="G259" s="23" t="str">
        <f t="shared" si="33"/>
        <v>2020-09</v>
      </c>
    </row>
    <row r="260" spans="1:7" x14ac:dyDescent="0.3">
      <c r="A260" s="18">
        <f t="shared" si="29"/>
        <v>20200913</v>
      </c>
      <c r="B260" s="19">
        <v>44087</v>
      </c>
      <c r="C260" s="24" t="str">
        <f t="shared" si="34"/>
        <v>13 September 2020</v>
      </c>
      <c r="D260" s="21">
        <f t="shared" si="30"/>
        <v>9</v>
      </c>
      <c r="E260" s="21" t="str">
        <f t="shared" si="31"/>
        <v>September</v>
      </c>
      <c r="F260" s="22">
        <f t="shared" si="32"/>
        <v>2020</v>
      </c>
      <c r="G260" s="23" t="str">
        <f t="shared" si="33"/>
        <v>2020-09</v>
      </c>
    </row>
    <row r="261" spans="1:7" x14ac:dyDescent="0.3">
      <c r="A261" s="18">
        <f t="shared" si="29"/>
        <v>20200914</v>
      </c>
      <c r="B261" s="19">
        <v>44088</v>
      </c>
      <c r="C261" s="24" t="str">
        <f t="shared" si="34"/>
        <v>14 September 2020</v>
      </c>
      <c r="D261" s="21">
        <f t="shared" si="30"/>
        <v>9</v>
      </c>
      <c r="E261" s="21" t="str">
        <f t="shared" si="31"/>
        <v>September</v>
      </c>
      <c r="F261" s="22">
        <f t="shared" si="32"/>
        <v>2020</v>
      </c>
      <c r="G261" s="23" t="str">
        <f t="shared" si="33"/>
        <v>2020-09</v>
      </c>
    </row>
    <row r="262" spans="1:7" x14ac:dyDescent="0.3">
      <c r="A262" s="18">
        <f t="shared" si="29"/>
        <v>20200915</v>
      </c>
      <c r="B262" s="19">
        <v>44089</v>
      </c>
      <c r="C262" s="24" t="str">
        <f t="shared" si="34"/>
        <v>15 September 2020</v>
      </c>
      <c r="D262" s="21">
        <f t="shared" si="30"/>
        <v>9</v>
      </c>
      <c r="E262" s="21" t="str">
        <f t="shared" si="31"/>
        <v>September</v>
      </c>
      <c r="F262" s="22">
        <f t="shared" si="32"/>
        <v>2020</v>
      </c>
      <c r="G262" s="23" t="str">
        <f t="shared" si="33"/>
        <v>2020-09</v>
      </c>
    </row>
    <row r="263" spans="1:7" x14ac:dyDescent="0.3">
      <c r="A263" s="18">
        <f t="shared" si="29"/>
        <v>20200916</v>
      </c>
      <c r="B263" s="19">
        <v>44090</v>
      </c>
      <c r="C263" s="24" t="str">
        <f t="shared" si="34"/>
        <v>16 September 2020</v>
      </c>
      <c r="D263" s="21">
        <f t="shared" si="30"/>
        <v>9</v>
      </c>
      <c r="E263" s="21" t="str">
        <f t="shared" si="31"/>
        <v>September</v>
      </c>
      <c r="F263" s="22">
        <f t="shared" si="32"/>
        <v>2020</v>
      </c>
      <c r="G263" s="23" t="str">
        <f t="shared" si="33"/>
        <v>2020-09</v>
      </c>
    </row>
    <row r="264" spans="1:7" x14ac:dyDescent="0.3">
      <c r="A264" s="18">
        <f t="shared" si="29"/>
        <v>20200917</v>
      </c>
      <c r="B264" s="19">
        <v>44091</v>
      </c>
      <c r="C264" s="24" t="str">
        <f t="shared" si="34"/>
        <v>17 September 2020</v>
      </c>
      <c r="D264" s="21">
        <f t="shared" si="30"/>
        <v>9</v>
      </c>
      <c r="E264" s="21" t="str">
        <f t="shared" si="31"/>
        <v>September</v>
      </c>
      <c r="F264" s="22">
        <f t="shared" si="32"/>
        <v>2020</v>
      </c>
      <c r="G264" s="23" t="str">
        <f t="shared" si="33"/>
        <v>2020-09</v>
      </c>
    </row>
    <row r="265" spans="1:7" x14ac:dyDescent="0.3">
      <c r="A265" s="18">
        <f t="shared" si="29"/>
        <v>20200918</v>
      </c>
      <c r="B265" s="19">
        <v>44092</v>
      </c>
      <c r="C265" s="24" t="str">
        <f t="shared" si="34"/>
        <v>18 September 2020</v>
      </c>
      <c r="D265" s="21">
        <f t="shared" si="30"/>
        <v>9</v>
      </c>
      <c r="E265" s="21" t="str">
        <f t="shared" si="31"/>
        <v>September</v>
      </c>
      <c r="F265" s="22">
        <f t="shared" si="32"/>
        <v>2020</v>
      </c>
      <c r="G265" s="23" t="str">
        <f t="shared" si="33"/>
        <v>2020-09</v>
      </c>
    </row>
    <row r="266" spans="1:7" x14ac:dyDescent="0.3">
      <c r="A266" s="18">
        <f t="shared" si="29"/>
        <v>20200919</v>
      </c>
      <c r="B266" s="19">
        <v>44093</v>
      </c>
      <c r="C266" s="24" t="str">
        <f t="shared" si="34"/>
        <v>19 September 2020</v>
      </c>
      <c r="D266" s="21">
        <f t="shared" si="30"/>
        <v>9</v>
      </c>
      <c r="E266" s="21" t="str">
        <f t="shared" si="31"/>
        <v>September</v>
      </c>
      <c r="F266" s="22">
        <f t="shared" si="32"/>
        <v>2020</v>
      </c>
      <c r="G266" s="23" t="str">
        <f t="shared" si="33"/>
        <v>2020-09</v>
      </c>
    </row>
    <row r="267" spans="1:7" x14ac:dyDescent="0.3">
      <c r="A267" s="18">
        <f t="shared" si="29"/>
        <v>20200920</v>
      </c>
      <c r="B267" s="19">
        <v>44094</v>
      </c>
      <c r="C267" s="24" t="str">
        <f t="shared" si="34"/>
        <v>20 September 2020</v>
      </c>
      <c r="D267" s="21">
        <f t="shared" si="30"/>
        <v>9</v>
      </c>
      <c r="E267" s="21" t="str">
        <f t="shared" si="31"/>
        <v>September</v>
      </c>
      <c r="F267" s="22">
        <f t="shared" si="32"/>
        <v>2020</v>
      </c>
      <c r="G267" s="23" t="str">
        <f t="shared" si="33"/>
        <v>2020-09</v>
      </c>
    </row>
    <row r="268" spans="1:7" x14ac:dyDescent="0.3">
      <c r="A268" s="18">
        <f t="shared" si="29"/>
        <v>20200921</v>
      </c>
      <c r="B268" s="19">
        <v>44095</v>
      </c>
      <c r="C268" s="24" t="str">
        <f t="shared" si="34"/>
        <v>21 September 2020</v>
      </c>
      <c r="D268" s="21">
        <f t="shared" si="30"/>
        <v>9</v>
      </c>
      <c r="E268" s="21" t="str">
        <f t="shared" si="31"/>
        <v>September</v>
      </c>
      <c r="F268" s="22">
        <f t="shared" si="32"/>
        <v>2020</v>
      </c>
      <c r="G268" s="23" t="str">
        <f t="shared" si="33"/>
        <v>2020-09</v>
      </c>
    </row>
    <row r="269" spans="1:7" x14ac:dyDescent="0.3">
      <c r="A269" s="18">
        <f t="shared" si="29"/>
        <v>20200922</v>
      </c>
      <c r="B269" s="19">
        <v>44096</v>
      </c>
      <c r="C269" s="24" t="str">
        <f t="shared" si="34"/>
        <v>22 September 2020</v>
      </c>
      <c r="D269" s="21">
        <f t="shared" si="30"/>
        <v>9</v>
      </c>
      <c r="E269" s="21" t="str">
        <f t="shared" si="31"/>
        <v>September</v>
      </c>
      <c r="F269" s="22">
        <f t="shared" si="32"/>
        <v>2020</v>
      </c>
      <c r="G269" s="23" t="str">
        <f t="shared" si="33"/>
        <v>2020-09</v>
      </c>
    </row>
    <row r="270" spans="1:7" x14ac:dyDescent="0.3">
      <c r="A270" s="18">
        <f t="shared" si="29"/>
        <v>20200923</v>
      </c>
      <c r="B270" s="19">
        <v>44097</v>
      </c>
      <c r="C270" s="24" t="str">
        <f t="shared" si="34"/>
        <v>23 September 2020</v>
      </c>
      <c r="D270" s="21">
        <f t="shared" si="30"/>
        <v>9</v>
      </c>
      <c r="E270" s="21" t="str">
        <f t="shared" si="31"/>
        <v>September</v>
      </c>
      <c r="F270" s="22">
        <f t="shared" si="32"/>
        <v>2020</v>
      </c>
      <c r="G270" s="23" t="str">
        <f t="shared" si="33"/>
        <v>2020-09</v>
      </c>
    </row>
    <row r="271" spans="1:7" x14ac:dyDescent="0.3">
      <c r="A271" s="18">
        <f t="shared" si="29"/>
        <v>20200924</v>
      </c>
      <c r="B271" s="19">
        <v>44098</v>
      </c>
      <c r="C271" s="24" t="str">
        <f t="shared" si="34"/>
        <v>24 September 2020</v>
      </c>
      <c r="D271" s="21">
        <f t="shared" si="30"/>
        <v>9</v>
      </c>
      <c r="E271" s="21" t="str">
        <f t="shared" si="31"/>
        <v>September</v>
      </c>
      <c r="F271" s="22">
        <f t="shared" si="32"/>
        <v>2020</v>
      </c>
      <c r="G271" s="23" t="str">
        <f t="shared" si="33"/>
        <v>2020-09</v>
      </c>
    </row>
    <row r="272" spans="1:7" x14ac:dyDescent="0.3">
      <c r="A272" s="18">
        <f t="shared" si="29"/>
        <v>20200925</v>
      </c>
      <c r="B272" s="19">
        <v>44099</v>
      </c>
      <c r="C272" s="24" t="str">
        <f t="shared" si="34"/>
        <v>25 September 2020</v>
      </c>
      <c r="D272" s="21">
        <f t="shared" si="30"/>
        <v>9</v>
      </c>
      <c r="E272" s="21" t="str">
        <f t="shared" si="31"/>
        <v>September</v>
      </c>
      <c r="F272" s="22">
        <f t="shared" si="32"/>
        <v>2020</v>
      </c>
      <c r="G272" s="23" t="str">
        <f t="shared" si="33"/>
        <v>2020-09</v>
      </c>
    </row>
    <row r="273" spans="1:7" x14ac:dyDescent="0.3">
      <c r="A273" s="18">
        <f t="shared" si="29"/>
        <v>20200926</v>
      </c>
      <c r="B273" s="19">
        <v>44100</v>
      </c>
      <c r="C273" s="24" t="str">
        <f t="shared" si="34"/>
        <v>26 September 2020</v>
      </c>
      <c r="D273" s="21">
        <f t="shared" si="30"/>
        <v>9</v>
      </c>
      <c r="E273" s="21" t="str">
        <f t="shared" si="31"/>
        <v>September</v>
      </c>
      <c r="F273" s="22">
        <f t="shared" si="32"/>
        <v>2020</v>
      </c>
      <c r="G273" s="23" t="str">
        <f t="shared" si="33"/>
        <v>2020-09</v>
      </c>
    </row>
    <row r="274" spans="1:7" x14ac:dyDescent="0.3">
      <c r="A274" s="18">
        <f t="shared" si="29"/>
        <v>20200927</v>
      </c>
      <c r="B274" s="19">
        <v>44101</v>
      </c>
      <c r="C274" s="24" t="str">
        <f t="shared" si="34"/>
        <v>27 September 2020</v>
      </c>
      <c r="D274" s="21">
        <f t="shared" si="30"/>
        <v>9</v>
      </c>
      <c r="E274" s="21" t="str">
        <f t="shared" si="31"/>
        <v>September</v>
      </c>
      <c r="F274" s="22">
        <f t="shared" si="32"/>
        <v>2020</v>
      </c>
      <c r="G274" s="23" t="str">
        <f t="shared" si="33"/>
        <v>2020-09</v>
      </c>
    </row>
    <row r="275" spans="1:7" x14ac:dyDescent="0.3">
      <c r="A275" s="18">
        <f t="shared" si="29"/>
        <v>20200928</v>
      </c>
      <c r="B275" s="19">
        <v>44102</v>
      </c>
      <c r="C275" s="24" t="str">
        <f t="shared" si="34"/>
        <v>28 September 2020</v>
      </c>
      <c r="D275" s="21">
        <f t="shared" si="30"/>
        <v>9</v>
      </c>
      <c r="E275" s="21" t="str">
        <f t="shared" si="31"/>
        <v>September</v>
      </c>
      <c r="F275" s="22">
        <f t="shared" si="32"/>
        <v>2020</v>
      </c>
      <c r="G275" s="23" t="str">
        <f t="shared" si="33"/>
        <v>2020-09</v>
      </c>
    </row>
    <row r="276" spans="1:7" x14ac:dyDescent="0.3">
      <c r="A276" s="18">
        <f t="shared" si="29"/>
        <v>20200929</v>
      </c>
      <c r="B276" s="19">
        <v>44103</v>
      </c>
      <c r="C276" s="24" t="str">
        <f t="shared" si="34"/>
        <v>29 September 2020</v>
      </c>
      <c r="D276" s="21">
        <f t="shared" si="30"/>
        <v>9</v>
      </c>
      <c r="E276" s="21" t="str">
        <f t="shared" si="31"/>
        <v>September</v>
      </c>
      <c r="F276" s="22">
        <f t="shared" si="32"/>
        <v>2020</v>
      </c>
      <c r="G276" s="23" t="str">
        <f t="shared" si="33"/>
        <v>2020-09</v>
      </c>
    </row>
    <row r="277" spans="1:7" x14ac:dyDescent="0.3">
      <c r="A277" s="18">
        <f t="shared" si="29"/>
        <v>20200930</v>
      </c>
      <c r="B277" s="19">
        <v>44104</v>
      </c>
      <c r="C277" s="24" t="str">
        <f t="shared" si="34"/>
        <v>30 September 2020</v>
      </c>
      <c r="D277" s="21">
        <f t="shared" si="30"/>
        <v>9</v>
      </c>
      <c r="E277" s="21" t="str">
        <f t="shared" si="31"/>
        <v>September</v>
      </c>
      <c r="F277" s="22">
        <f t="shared" si="32"/>
        <v>2020</v>
      </c>
      <c r="G277" s="23" t="str">
        <f t="shared" si="33"/>
        <v>2020-09</v>
      </c>
    </row>
    <row r="278" spans="1:7" x14ac:dyDescent="0.3">
      <c r="A278" s="18">
        <f t="shared" si="29"/>
        <v>20201001</v>
      </c>
      <c r="B278" s="19">
        <v>44105</v>
      </c>
      <c r="C278" s="24" t="str">
        <f t="shared" si="34"/>
        <v>01 October 2020</v>
      </c>
      <c r="D278" s="21">
        <f t="shared" si="30"/>
        <v>10</v>
      </c>
      <c r="E278" s="21" t="str">
        <f t="shared" si="31"/>
        <v>October</v>
      </c>
      <c r="F278" s="22">
        <f t="shared" si="32"/>
        <v>2020</v>
      </c>
      <c r="G278" s="23" t="str">
        <f t="shared" si="33"/>
        <v>2020-10</v>
      </c>
    </row>
    <row r="279" spans="1:7" x14ac:dyDescent="0.3">
      <c r="A279" s="18">
        <f t="shared" si="29"/>
        <v>20201002</v>
      </c>
      <c r="B279" s="19">
        <v>44106</v>
      </c>
      <c r="C279" s="24" t="str">
        <f t="shared" si="34"/>
        <v>02 October 2020</v>
      </c>
      <c r="D279" s="21">
        <f t="shared" si="30"/>
        <v>10</v>
      </c>
      <c r="E279" s="21" t="str">
        <f t="shared" si="31"/>
        <v>October</v>
      </c>
      <c r="F279" s="22">
        <f t="shared" si="32"/>
        <v>2020</v>
      </c>
      <c r="G279" s="23" t="str">
        <f t="shared" si="33"/>
        <v>2020-10</v>
      </c>
    </row>
    <row r="280" spans="1:7" x14ac:dyDescent="0.3">
      <c r="A280" s="18">
        <f t="shared" si="29"/>
        <v>20201003</v>
      </c>
      <c r="B280" s="19">
        <v>44107</v>
      </c>
      <c r="C280" s="24" t="str">
        <f t="shared" si="34"/>
        <v>03 October 2020</v>
      </c>
      <c r="D280" s="21">
        <f t="shared" si="30"/>
        <v>10</v>
      </c>
      <c r="E280" s="21" t="str">
        <f t="shared" si="31"/>
        <v>October</v>
      </c>
      <c r="F280" s="22">
        <f t="shared" si="32"/>
        <v>2020</v>
      </c>
      <c r="G280" s="23" t="str">
        <f t="shared" si="33"/>
        <v>2020-10</v>
      </c>
    </row>
    <row r="281" spans="1:7" x14ac:dyDescent="0.3">
      <c r="A281" s="18">
        <f t="shared" si="29"/>
        <v>20201004</v>
      </c>
      <c r="B281" s="19">
        <v>44108</v>
      </c>
      <c r="C281" s="24" t="str">
        <f t="shared" si="34"/>
        <v>04 October 2020</v>
      </c>
      <c r="D281" s="21">
        <f t="shared" si="30"/>
        <v>10</v>
      </c>
      <c r="E281" s="21" t="str">
        <f t="shared" si="31"/>
        <v>October</v>
      </c>
      <c r="F281" s="22">
        <f t="shared" si="32"/>
        <v>2020</v>
      </c>
      <c r="G281" s="23" t="str">
        <f t="shared" si="33"/>
        <v>2020-10</v>
      </c>
    </row>
    <row r="282" spans="1:7" x14ac:dyDescent="0.3">
      <c r="A282" s="18">
        <f t="shared" si="29"/>
        <v>20201005</v>
      </c>
      <c r="B282" s="19">
        <v>44109</v>
      </c>
      <c r="C282" s="24" t="str">
        <f t="shared" si="34"/>
        <v>05 October 2020</v>
      </c>
      <c r="D282" s="21">
        <f t="shared" si="30"/>
        <v>10</v>
      </c>
      <c r="E282" s="21" t="str">
        <f t="shared" si="31"/>
        <v>October</v>
      </c>
      <c r="F282" s="22">
        <f t="shared" si="32"/>
        <v>2020</v>
      </c>
      <c r="G282" s="23" t="str">
        <f t="shared" si="33"/>
        <v>2020-10</v>
      </c>
    </row>
    <row r="283" spans="1:7" x14ac:dyDescent="0.3">
      <c r="A283" s="18">
        <f t="shared" si="29"/>
        <v>20201006</v>
      </c>
      <c r="B283" s="19">
        <v>44110</v>
      </c>
      <c r="C283" s="24" t="str">
        <f t="shared" si="34"/>
        <v>06 October 2020</v>
      </c>
      <c r="D283" s="21">
        <f t="shared" si="30"/>
        <v>10</v>
      </c>
      <c r="E283" s="21" t="str">
        <f t="shared" si="31"/>
        <v>October</v>
      </c>
      <c r="F283" s="22">
        <f t="shared" si="32"/>
        <v>2020</v>
      </c>
      <c r="G283" s="23" t="str">
        <f t="shared" si="33"/>
        <v>2020-10</v>
      </c>
    </row>
    <row r="284" spans="1:7" x14ac:dyDescent="0.3">
      <c r="A284" s="18">
        <f t="shared" si="29"/>
        <v>20201007</v>
      </c>
      <c r="B284" s="19">
        <v>44111</v>
      </c>
      <c r="C284" s="24" t="str">
        <f t="shared" si="34"/>
        <v>07 October 2020</v>
      </c>
      <c r="D284" s="21">
        <f t="shared" si="30"/>
        <v>10</v>
      </c>
      <c r="E284" s="21" t="str">
        <f t="shared" si="31"/>
        <v>October</v>
      </c>
      <c r="F284" s="22">
        <f t="shared" si="32"/>
        <v>2020</v>
      </c>
      <c r="G284" s="23" t="str">
        <f t="shared" si="33"/>
        <v>2020-10</v>
      </c>
    </row>
    <row r="285" spans="1:7" x14ac:dyDescent="0.3">
      <c r="A285" s="18">
        <f t="shared" si="29"/>
        <v>20201008</v>
      </c>
      <c r="B285" s="19">
        <v>44112</v>
      </c>
      <c r="C285" s="24" t="str">
        <f t="shared" si="34"/>
        <v>08 October 2020</v>
      </c>
      <c r="D285" s="21">
        <f t="shared" si="30"/>
        <v>10</v>
      </c>
      <c r="E285" s="21" t="str">
        <f t="shared" si="31"/>
        <v>October</v>
      </c>
      <c r="F285" s="22">
        <f t="shared" si="32"/>
        <v>2020</v>
      </c>
      <c r="G285" s="23" t="str">
        <f t="shared" si="33"/>
        <v>2020-10</v>
      </c>
    </row>
    <row r="286" spans="1:7" x14ac:dyDescent="0.3">
      <c r="A286" s="18">
        <f t="shared" si="29"/>
        <v>20201009</v>
      </c>
      <c r="B286" s="19">
        <v>44113</v>
      </c>
      <c r="C286" s="24" t="str">
        <f t="shared" si="34"/>
        <v>09 October 2020</v>
      </c>
      <c r="D286" s="21">
        <f t="shared" si="30"/>
        <v>10</v>
      </c>
      <c r="E286" s="21" t="str">
        <f t="shared" si="31"/>
        <v>October</v>
      </c>
      <c r="F286" s="22">
        <f t="shared" si="32"/>
        <v>2020</v>
      </c>
      <c r="G286" s="23" t="str">
        <f t="shared" si="33"/>
        <v>2020-10</v>
      </c>
    </row>
    <row r="287" spans="1:7" x14ac:dyDescent="0.3">
      <c r="A287" s="18">
        <f t="shared" si="29"/>
        <v>20201010</v>
      </c>
      <c r="B287" s="19">
        <v>44114</v>
      </c>
      <c r="C287" s="24" t="str">
        <f t="shared" si="34"/>
        <v>10 October 2020</v>
      </c>
      <c r="D287" s="21">
        <f t="shared" si="30"/>
        <v>10</v>
      </c>
      <c r="E287" s="21" t="str">
        <f t="shared" si="31"/>
        <v>October</v>
      </c>
      <c r="F287" s="22">
        <f t="shared" si="32"/>
        <v>2020</v>
      </c>
      <c r="G287" s="23" t="str">
        <f t="shared" si="33"/>
        <v>2020-10</v>
      </c>
    </row>
    <row r="288" spans="1:7" x14ac:dyDescent="0.3">
      <c r="A288" s="18">
        <f t="shared" si="29"/>
        <v>20201011</v>
      </c>
      <c r="B288" s="19">
        <v>44115</v>
      </c>
      <c r="C288" s="24" t="str">
        <f t="shared" si="34"/>
        <v>11 October 2020</v>
      </c>
      <c r="D288" s="21">
        <f t="shared" si="30"/>
        <v>10</v>
      </c>
      <c r="E288" s="21" t="str">
        <f t="shared" si="31"/>
        <v>October</v>
      </c>
      <c r="F288" s="22">
        <f t="shared" si="32"/>
        <v>2020</v>
      </c>
      <c r="G288" s="23" t="str">
        <f t="shared" si="33"/>
        <v>2020-10</v>
      </c>
    </row>
    <row r="289" spans="1:7" x14ac:dyDescent="0.3">
      <c r="A289" s="18">
        <f t="shared" si="29"/>
        <v>20201012</v>
      </c>
      <c r="B289" s="19">
        <v>44116</v>
      </c>
      <c r="C289" s="24" t="str">
        <f t="shared" si="34"/>
        <v>12 October 2020</v>
      </c>
      <c r="D289" s="21">
        <f t="shared" si="30"/>
        <v>10</v>
      </c>
      <c r="E289" s="21" t="str">
        <f t="shared" si="31"/>
        <v>October</v>
      </c>
      <c r="F289" s="22">
        <f t="shared" si="32"/>
        <v>2020</v>
      </c>
      <c r="G289" s="23" t="str">
        <f t="shared" si="33"/>
        <v>2020-10</v>
      </c>
    </row>
    <row r="290" spans="1:7" x14ac:dyDescent="0.3">
      <c r="A290" s="18">
        <f t="shared" si="29"/>
        <v>20201013</v>
      </c>
      <c r="B290" s="19">
        <v>44117</v>
      </c>
      <c r="C290" s="24" t="str">
        <f t="shared" si="34"/>
        <v>13 October 2020</v>
      </c>
      <c r="D290" s="21">
        <f t="shared" si="30"/>
        <v>10</v>
      </c>
      <c r="E290" s="21" t="str">
        <f t="shared" si="31"/>
        <v>October</v>
      </c>
      <c r="F290" s="22">
        <f t="shared" si="32"/>
        <v>2020</v>
      </c>
      <c r="G290" s="23" t="str">
        <f t="shared" si="33"/>
        <v>2020-10</v>
      </c>
    </row>
    <row r="291" spans="1:7" x14ac:dyDescent="0.3">
      <c r="A291" s="18">
        <f t="shared" si="29"/>
        <v>20201014</v>
      </c>
      <c r="B291" s="19">
        <v>44118</v>
      </c>
      <c r="C291" s="24" t="str">
        <f t="shared" si="34"/>
        <v>14 October 2020</v>
      </c>
      <c r="D291" s="21">
        <f t="shared" si="30"/>
        <v>10</v>
      </c>
      <c r="E291" s="21" t="str">
        <f t="shared" si="31"/>
        <v>October</v>
      </c>
      <c r="F291" s="22">
        <f t="shared" si="32"/>
        <v>2020</v>
      </c>
      <c r="G291" s="23" t="str">
        <f t="shared" si="33"/>
        <v>2020-10</v>
      </c>
    </row>
    <row r="292" spans="1:7" x14ac:dyDescent="0.3">
      <c r="A292" s="18">
        <f t="shared" si="29"/>
        <v>20201015</v>
      </c>
      <c r="B292" s="19">
        <v>44119</v>
      </c>
      <c r="C292" s="24" t="str">
        <f t="shared" si="34"/>
        <v>15 October 2020</v>
      </c>
      <c r="D292" s="21">
        <f t="shared" si="30"/>
        <v>10</v>
      </c>
      <c r="E292" s="21" t="str">
        <f t="shared" si="31"/>
        <v>October</v>
      </c>
      <c r="F292" s="22">
        <f t="shared" si="32"/>
        <v>2020</v>
      </c>
      <c r="G292" s="23" t="str">
        <f t="shared" si="33"/>
        <v>2020-10</v>
      </c>
    </row>
    <row r="293" spans="1:7" x14ac:dyDescent="0.3">
      <c r="A293" s="18">
        <f t="shared" si="29"/>
        <v>20201016</v>
      </c>
      <c r="B293" s="19">
        <v>44120</v>
      </c>
      <c r="C293" s="24" t="str">
        <f t="shared" si="34"/>
        <v>16 October 2020</v>
      </c>
      <c r="D293" s="21">
        <f t="shared" si="30"/>
        <v>10</v>
      </c>
      <c r="E293" s="21" t="str">
        <f t="shared" si="31"/>
        <v>October</v>
      </c>
      <c r="F293" s="22">
        <f t="shared" si="32"/>
        <v>2020</v>
      </c>
      <c r="G293" s="23" t="str">
        <f t="shared" si="33"/>
        <v>2020-10</v>
      </c>
    </row>
    <row r="294" spans="1:7" x14ac:dyDescent="0.3">
      <c r="A294" s="18">
        <f t="shared" si="29"/>
        <v>20201017</v>
      </c>
      <c r="B294" s="19">
        <v>44121</v>
      </c>
      <c r="C294" s="24" t="str">
        <f t="shared" si="34"/>
        <v>17 October 2020</v>
      </c>
      <c r="D294" s="21">
        <f t="shared" si="30"/>
        <v>10</v>
      </c>
      <c r="E294" s="21" t="str">
        <f t="shared" si="31"/>
        <v>October</v>
      </c>
      <c r="F294" s="22">
        <f t="shared" si="32"/>
        <v>2020</v>
      </c>
      <c r="G294" s="23" t="str">
        <f t="shared" si="33"/>
        <v>2020-10</v>
      </c>
    </row>
    <row r="295" spans="1:7" x14ac:dyDescent="0.3">
      <c r="A295" s="18">
        <f t="shared" si="29"/>
        <v>20201018</v>
      </c>
      <c r="B295" s="19">
        <v>44122</v>
      </c>
      <c r="C295" s="24" t="str">
        <f t="shared" si="34"/>
        <v>18 October 2020</v>
      </c>
      <c r="D295" s="21">
        <f t="shared" si="30"/>
        <v>10</v>
      </c>
      <c r="E295" s="21" t="str">
        <f t="shared" si="31"/>
        <v>October</v>
      </c>
      <c r="F295" s="22">
        <f t="shared" si="32"/>
        <v>2020</v>
      </c>
      <c r="G295" s="23" t="str">
        <f t="shared" si="33"/>
        <v>2020-10</v>
      </c>
    </row>
    <row r="296" spans="1:7" x14ac:dyDescent="0.3">
      <c r="A296" s="18">
        <f t="shared" si="29"/>
        <v>20201019</v>
      </c>
      <c r="B296" s="19">
        <v>44123</v>
      </c>
      <c r="C296" s="24" t="str">
        <f t="shared" si="34"/>
        <v>19 October 2020</v>
      </c>
      <c r="D296" s="21">
        <f t="shared" si="30"/>
        <v>10</v>
      </c>
      <c r="E296" s="21" t="str">
        <f t="shared" si="31"/>
        <v>October</v>
      </c>
      <c r="F296" s="22">
        <f t="shared" si="32"/>
        <v>2020</v>
      </c>
      <c r="G296" s="23" t="str">
        <f t="shared" si="33"/>
        <v>2020-10</v>
      </c>
    </row>
    <row r="297" spans="1:7" x14ac:dyDescent="0.3">
      <c r="A297" s="18">
        <f t="shared" si="29"/>
        <v>20201020</v>
      </c>
      <c r="B297" s="19">
        <v>44124</v>
      </c>
      <c r="C297" s="24" t="str">
        <f t="shared" si="34"/>
        <v>20 October 2020</v>
      </c>
      <c r="D297" s="21">
        <f t="shared" si="30"/>
        <v>10</v>
      </c>
      <c r="E297" s="21" t="str">
        <f t="shared" si="31"/>
        <v>October</v>
      </c>
      <c r="F297" s="22">
        <f t="shared" si="32"/>
        <v>2020</v>
      </c>
      <c r="G297" s="23" t="str">
        <f t="shared" si="33"/>
        <v>2020-10</v>
      </c>
    </row>
    <row r="298" spans="1:7" x14ac:dyDescent="0.3">
      <c r="A298" s="18">
        <f t="shared" si="29"/>
        <v>20201021</v>
      </c>
      <c r="B298" s="19">
        <v>44125</v>
      </c>
      <c r="C298" s="24" t="str">
        <f t="shared" si="34"/>
        <v>21 October 2020</v>
      </c>
      <c r="D298" s="21">
        <f t="shared" si="30"/>
        <v>10</v>
      </c>
      <c r="E298" s="21" t="str">
        <f t="shared" si="31"/>
        <v>October</v>
      </c>
      <c r="F298" s="22">
        <f t="shared" si="32"/>
        <v>2020</v>
      </c>
      <c r="G298" s="23" t="str">
        <f t="shared" si="33"/>
        <v>2020-10</v>
      </c>
    </row>
    <row r="299" spans="1:7" x14ac:dyDescent="0.3">
      <c r="A299" s="18">
        <f t="shared" si="29"/>
        <v>20201022</v>
      </c>
      <c r="B299" s="19">
        <v>44126</v>
      </c>
      <c r="C299" s="24" t="str">
        <f t="shared" si="34"/>
        <v>22 October 2020</v>
      </c>
      <c r="D299" s="21">
        <f t="shared" si="30"/>
        <v>10</v>
      </c>
      <c r="E299" s="21" t="str">
        <f t="shared" si="31"/>
        <v>October</v>
      </c>
      <c r="F299" s="22">
        <f t="shared" si="32"/>
        <v>2020</v>
      </c>
      <c r="G299" s="23" t="str">
        <f t="shared" si="33"/>
        <v>2020-10</v>
      </c>
    </row>
    <row r="300" spans="1:7" x14ac:dyDescent="0.3">
      <c r="A300" s="18">
        <f t="shared" si="29"/>
        <v>20201023</v>
      </c>
      <c r="B300" s="19">
        <v>44127</v>
      </c>
      <c r="C300" s="24" t="str">
        <f t="shared" si="34"/>
        <v>23 October 2020</v>
      </c>
      <c r="D300" s="21">
        <f t="shared" si="30"/>
        <v>10</v>
      </c>
      <c r="E300" s="21" t="str">
        <f t="shared" si="31"/>
        <v>October</v>
      </c>
      <c r="F300" s="22">
        <f t="shared" si="32"/>
        <v>2020</v>
      </c>
      <c r="G300" s="23" t="str">
        <f t="shared" si="33"/>
        <v>2020-10</v>
      </c>
    </row>
    <row r="301" spans="1:7" x14ac:dyDescent="0.3">
      <c r="A301" s="18">
        <f t="shared" si="29"/>
        <v>20201024</v>
      </c>
      <c r="B301" s="19">
        <v>44128</v>
      </c>
      <c r="C301" s="24" t="str">
        <f t="shared" si="34"/>
        <v>24 October 2020</v>
      </c>
      <c r="D301" s="21">
        <f t="shared" si="30"/>
        <v>10</v>
      </c>
      <c r="E301" s="21" t="str">
        <f t="shared" si="31"/>
        <v>October</v>
      </c>
      <c r="F301" s="22">
        <f t="shared" si="32"/>
        <v>2020</v>
      </c>
      <c r="G301" s="23" t="str">
        <f t="shared" si="33"/>
        <v>2020-10</v>
      </c>
    </row>
    <row r="302" spans="1:7" x14ac:dyDescent="0.3">
      <c r="A302" s="18">
        <f t="shared" si="29"/>
        <v>20201025</v>
      </c>
      <c r="B302" s="19">
        <v>44129</v>
      </c>
      <c r="C302" s="24" t="str">
        <f t="shared" si="34"/>
        <v>25 October 2020</v>
      </c>
      <c r="D302" s="21">
        <f t="shared" si="30"/>
        <v>10</v>
      </c>
      <c r="E302" s="21" t="str">
        <f t="shared" si="31"/>
        <v>October</v>
      </c>
      <c r="F302" s="22">
        <f t="shared" si="32"/>
        <v>2020</v>
      </c>
      <c r="G302" s="23" t="str">
        <f t="shared" si="33"/>
        <v>2020-10</v>
      </c>
    </row>
    <row r="303" spans="1:7" x14ac:dyDescent="0.3">
      <c r="A303" s="18">
        <f t="shared" si="29"/>
        <v>20201026</v>
      </c>
      <c r="B303" s="19">
        <v>44130</v>
      </c>
      <c r="C303" s="24" t="str">
        <f t="shared" si="34"/>
        <v>26 October 2020</v>
      </c>
      <c r="D303" s="21">
        <f t="shared" si="30"/>
        <v>10</v>
      </c>
      <c r="E303" s="21" t="str">
        <f t="shared" si="31"/>
        <v>October</v>
      </c>
      <c r="F303" s="22">
        <f t="shared" si="32"/>
        <v>2020</v>
      </c>
      <c r="G303" s="23" t="str">
        <f t="shared" si="33"/>
        <v>2020-10</v>
      </c>
    </row>
    <row r="304" spans="1:7" x14ac:dyDescent="0.3">
      <c r="A304" s="18">
        <f t="shared" si="29"/>
        <v>20201027</v>
      </c>
      <c r="B304" s="19">
        <v>44131</v>
      </c>
      <c r="C304" s="24" t="str">
        <f t="shared" si="34"/>
        <v>27 October 2020</v>
      </c>
      <c r="D304" s="21">
        <f t="shared" si="30"/>
        <v>10</v>
      </c>
      <c r="E304" s="21" t="str">
        <f t="shared" si="31"/>
        <v>October</v>
      </c>
      <c r="F304" s="22">
        <f t="shared" si="32"/>
        <v>2020</v>
      </c>
      <c r="G304" s="23" t="str">
        <f t="shared" si="33"/>
        <v>2020-10</v>
      </c>
    </row>
    <row r="305" spans="1:7" x14ac:dyDescent="0.3">
      <c r="A305" s="18">
        <f t="shared" si="29"/>
        <v>20201028</v>
      </c>
      <c r="B305" s="19">
        <v>44132</v>
      </c>
      <c r="C305" s="24" t="str">
        <f t="shared" si="34"/>
        <v>28 October 2020</v>
      </c>
      <c r="D305" s="21">
        <f t="shared" si="30"/>
        <v>10</v>
      </c>
      <c r="E305" s="21" t="str">
        <f t="shared" si="31"/>
        <v>October</v>
      </c>
      <c r="F305" s="22">
        <f t="shared" si="32"/>
        <v>2020</v>
      </c>
      <c r="G305" s="23" t="str">
        <f t="shared" si="33"/>
        <v>2020-10</v>
      </c>
    </row>
    <row r="306" spans="1:7" x14ac:dyDescent="0.3">
      <c r="A306" s="18">
        <f t="shared" si="29"/>
        <v>20201029</v>
      </c>
      <c r="B306" s="19">
        <v>44133</v>
      </c>
      <c r="C306" s="24" t="str">
        <f t="shared" si="34"/>
        <v>29 October 2020</v>
      </c>
      <c r="D306" s="21">
        <f t="shared" si="30"/>
        <v>10</v>
      </c>
      <c r="E306" s="21" t="str">
        <f t="shared" si="31"/>
        <v>October</v>
      </c>
      <c r="F306" s="22">
        <f t="shared" si="32"/>
        <v>2020</v>
      </c>
      <c r="G306" s="23" t="str">
        <f t="shared" si="33"/>
        <v>2020-10</v>
      </c>
    </row>
    <row r="307" spans="1:7" x14ac:dyDescent="0.3">
      <c r="A307" s="18">
        <f t="shared" si="29"/>
        <v>20201030</v>
      </c>
      <c r="B307" s="19">
        <v>44134</v>
      </c>
      <c r="C307" s="24" t="str">
        <f t="shared" si="34"/>
        <v>30 October 2020</v>
      </c>
      <c r="D307" s="21">
        <f t="shared" si="30"/>
        <v>10</v>
      </c>
      <c r="E307" s="21" t="str">
        <f t="shared" si="31"/>
        <v>October</v>
      </c>
      <c r="F307" s="22">
        <f t="shared" si="32"/>
        <v>2020</v>
      </c>
      <c r="G307" s="23" t="str">
        <f t="shared" si="33"/>
        <v>2020-10</v>
      </c>
    </row>
    <row r="308" spans="1:7" x14ac:dyDescent="0.3">
      <c r="A308" s="18">
        <f t="shared" si="29"/>
        <v>20201031</v>
      </c>
      <c r="B308" s="19">
        <v>44135</v>
      </c>
      <c r="C308" s="24" t="str">
        <f t="shared" si="34"/>
        <v>31 October 2020</v>
      </c>
      <c r="D308" s="21">
        <f t="shared" si="30"/>
        <v>10</v>
      </c>
      <c r="E308" s="21" t="str">
        <f t="shared" si="31"/>
        <v>October</v>
      </c>
      <c r="F308" s="22">
        <f t="shared" si="32"/>
        <v>2020</v>
      </c>
      <c r="G308" s="23" t="str">
        <f t="shared" si="33"/>
        <v>2020-10</v>
      </c>
    </row>
    <row r="309" spans="1:7" x14ac:dyDescent="0.3">
      <c r="A309" s="18">
        <f t="shared" si="29"/>
        <v>20201101</v>
      </c>
      <c r="B309" s="19">
        <v>44136</v>
      </c>
      <c r="C309" s="24" t="str">
        <f t="shared" si="34"/>
        <v>01 November 2020</v>
      </c>
      <c r="D309" s="21">
        <f t="shared" si="30"/>
        <v>11</v>
      </c>
      <c r="E309" s="21" t="str">
        <f t="shared" si="31"/>
        <v>November</v>
      </c>
      <c r="F309" s="22">
        <f t="shared" si="32"/>
        <v>2020</v>
      </c>
      <c r="G309" s="23" t="str">
        <f t="shared" si="33"/>
        <v>2020-11</v>
      </c>
    </row>
    <row r="310" spans="1:7" x14ac:dyDescent="0.3">
      <c r="A310" s="18">
        <f t="shared" si="29"/>
        <v>20201102</v>
      </c>
      <c r="B310" s="19">
        <v>44137</v>
      </c>
      <c r="C310" s="24" t="str">
        <f t="shared" si="34"/>
        <v>02 November 2020</v>
      </c>
      <c r="D310" s="21">
        <f t="shared" si="30"/>
        <v>11</v>
      </c>
      <c r="E310" s="21" t="str">
        <f t="shared" si="31"/>
        <v>November</v>
      </c>
      <c r="F310" s="22">
        <f t="shared" si="32"/>
        <v>2020</v>
      </c>
      <c r="G310" s="23" t="str">
        <f t="shared" si="33"/>
        <v>2020-11</v>
      </c>
    </row>
    <row r="311" spans="1:7" x14ac:dyDescent="0.3">
      <c r="A311" s="18">
        <f t="shared" si="29"/>
        <v>20201103</v>
      </c>
      <c r="B311" s="19">
        <v>44138</v>
      </c>
      <c r="C311" s="24" t="str">
        <f t="shared" si="34"/>
        <v>03 November 2020</v>
      </c>
      <c r="D311" s="21">
        <f t="shared" si="30"/>
        <v>11</v>
      </c>
      <c r="E311" s="21" t="str">
        <f t="shared" si="31"/>
        <v>November</v>
      </c>
      <c r="F311" s="22">
        <f t="shared" si="32"/>
        <v>2020</v>
      </c>
      <c r="G311" s="23" t="str">
        <f t="shared" si="33"/>
        <v>2020-11</v>
      </c>
    </row>
    <row r="312" spans="1:7" x14ac:dyDescent="0.3">
      <c r="A312" s="18">
        <f t="shared" si="29"/>
        <v>20201104</v>
      </c>
      <c r="B312" s="19">
        <v>44139</v>
      </c>
      <c r="C312" s="24" t="str">
        <f t="shared" si="34"/>
        <v>04 November 2020</v>
      </c>
      <c r="D312" s="21">
        <f t="shared" si="30"/>
        <v>11</v>
      </c>
      <c r="E312" s="21" t="str">
        <f t="shared" si="31"/>
        <v>November</v>
      </c>
      <c r="F312" s="22">
        <f t="shared" si="32"/>
        <v>2020</v>
      </c>
      <c r="G312" s="23" t="str">
        <f t="shared" si="33"/>
        <v>2020-11</v>
      </c>
    </row>
    <row r="313" spans="1:7" x14ac:dyDescent="0.3">
      <c r="A313" s="18">
        <f t="shared" si="29"/>
        <v>20201105</v>
      </c>
      <c r="B313" s="19">
        <v>44140</v>
      </c>
      <c r="C313" s="24" t="str">
        <f t="shared" si="34"/>
        <v>05 November 2020</v>
      </c>
      <c r="D313" s="21">
        <f t="shared" si="30"/>
        <v>11</v>
      </c>
      <c r="E313" s="21" t="str">
        <f t="shared" si="31"/>
        <v>November</v>
      </c>
      <c r="F313" s="22">
        <f t="shared" si="32"/>
        <v>2020</v>
      </c>
      <c r="G313" s="23" t="str">
        <f t="shared" si="33"/>
        <v>2020-11</v>
      </c>
    </row>
    <row r="314" spans="1:7" x14ac:dyDescent="0.3">
      <c r="A314" s="18">
        <f t="shared" si="29"/>
        <v>20201106</v>
      </c>
      <c r="B314" s="19">
        <v>44141</v>
      </c>
      <c r="C314" s="24" t="str">
        <f t="shared" si="34"/>
        <v>06 November 2020</v>
      </c>
      <c r="D314" s="21">
        <f t="shared" si="30"/>
        <v>11</v>
      </c>
      <c r="E314" s="21" t="str">
        <f t="shared" si="31"/>
        <v>November</v>
      </c>
      <c r="F314" s="22">
        <f t="shared" si="32"/>
        <v>2020</v>
      </c>
      <c r="G314" s="23" t="str">
        <f t="shared" si="33"/>
        <v>2020-11</v>
      </c>
    </row>
    <row r="315" spans="1:7" x14ac:dyDescent="0.3">
      <c r="A315" s="18">
        <f t="shared" si="29"/>
        <v>20201107</v>
      </c>
      <c r="B315" s="19">
        <v>44142</v>
      </c>
      <c r="C315" s="24" t="str">
        <f t="shared" si="34"/>
        <v>07 November 2020</v>
      </c>
      <c r="D315" s="21">
        <f t="shared" si="30"/>
        <v>11</v>
      </c>
      <c r="E315" s="21" t="str">
        <f t="shared" si="31"/>
        <v>November</v>
      </c>
      <c r="F315" s="22">
        <f t="shared" si="32"/>
        <v>2020</v>
      </c>
      <c r="G315" s="23" t="str">
        <f t="shared" si="33"/>
        <v>2020-11</v>
      </c>
    </row>
    <row r="316" spans="1:7" x14ac:dyDescent="0.3">
      <c r="A316" s="18">
        <f t="shared" si="29"/>
        <v>20201108</v>
      </c>
      <c r="B316" s="19">
        <v>44143</v>
      </c>
      <c r="C316" s="24" t="str">
        <f t="shared" si="34"/>
        <v>08 November 2020</v>
      </c>
      <c r="D316" s="21">
        <f t="shared" si="30"/>
        <v>11</v>
      </c>
      <c r="E316" s="21" t="str">
        <f t="shared" si="31"/>
        <v>November</v>
      </c>
      <c r="F316" s="22">
        <f t="shared" si="32"/>
        <v>2020</v>
      </c>
      <c r="G316" s="23" t="str">
        <f t="shared" si="33"/>
        <v>2020-11</v>
      </c>
    </row>
    <row r="317" spans="1:7" x14ac:dyDescent="0.3">
      <c r="A317" s="18">
        <f t="shared" si="29"/>
        <v>20201109</v>
      </c>
      <c r="B317" s="19">
        <v>44144</v>
      </c>
      <c r="C317" s="24" t="str">
        <f t="shared" si="34"/>
        <v>09 November 2020</v>
      </c>
      <c r="D317" s="21">
        <f t="shared" si="30"/>
        <v>11</v>
      </c>
      <c r="E317" s="21" t="str">
        <f t="shared" si="31"/>
        <v>November</v>
      </c>
      <c r="F317" s="22">
        <f t="shared" si="32"/>
        <v>2020</v>
      </c>
      <c r="G317" s="23" t="str">
        <f t="shared" si="33"/>
        <v>2020-11</v>
      </c>
    </row>
    <row r="318" spans="1:7" x14ac:dyDescent="0.3">
      <c r="A318" s="18">
        <f t="shared" ref="A318:A381" si="35">YEAR(B318)*10000+MONTH(B318)*100+DAY(B318)</f>
        <v>20201110</v>
      </c>
      <c r="B318" s="19">
        <v>44145</v>
      </c>
      <c r="C318" s="24" t="str">
        <f t="shared" si="34"/>
        <v>10 November 2020</v>
      </c>
      <c r="D318" s="21">
        <f t="shared" ref="D318:D381" si="36">MONTH(B318)</f>
        <v>11</v>
      </c>
      <c r="E318" s="21" t="str">
        <f t="shared" ref="E318:E381" si="37">TEXT(B318,"MMMM")</f>
        <v>November</v>
      </c>
      <c r="F318" s="22">
        <f t="shared" ref="F318:F381" si="38">YEAR(B318)</f>
        <v>2020</v>
      </c>
      <c r="G318" s="23" t="str">
        <f t="shared" ref="G318:G381" si="39">TEXT(B318,"YYYY-MM")</f>
        <v>2020-11</v>
      </c>
    </row>
    <row r="319" spans="1:7" x14ac:dyDescent="0.3">
      <c r="A319" s="18">
        <f t="shared" si="35"/>
        <v>20201111</v>
      </c>
      <c r="B319" s="19">
        <v>44146</v>
      </c>
      <c r="C319" s="24" t="str">
        <f t="shared" ref="C319:C382" si="40">TEXT(B319,"dd MMMM YYYY")</f>
        <v>11 November 2020</v>
      </c>
      <c r="D319" s="21">
        <f t="shared" si="36"/>
        <v>11</v>
      </c>
      <c r="E319" s="21" t="str">
        <f t="shared" si="37"/>
        <v>November</v>
      </c>
      <c r="F319" s="22">
        <f t="shared" si="38"/>
        <v>2020</v>
      </c>
      <c r="G319" s="23" t="str">
        <f t="shared" si="39"/>
        <v>2020-11</v>
      </c>
    </row>
    <row r="320" spans="1:7" x14ac:dyDescent="0.3">
      <c r="A320" s="18">
        <f t="shared" si="35"/>
        <v>20201112</v>
      </c>
      <c r="B320" s="19">
        <v>44147</v>
      </c>
      <c r="C320" s="24" t="str">
        <f t="shared" si="40"/>
        <v>12 November 2020</v>
      </c>
      <c r="D320" s="21">
        <f t="shared" si="36"/>
        <v>11</v>
      </c>
      <c r="E320" s="21" t="str">
        <f t="shared" si="37"/>
        <v>November</v>
      </c>
      <c r="F320" s="22">
        <f t="shared" si="38"/>
        <v>2020</v>
      </c>
      <c r="G320" s="23" t="str">
        <f t="shared" si="39"/>
        <v>2020-11</v>
      </c>
    </row>
    <row r="321" spans="1:7" x14ac:dyDescent="0.3">
      <c r="A321" s="18">
        <f t="shared" si="35"/>
        <v>20201113</v>
      </c>
      <c r="B321" s="19">
        <v>44148</v>
      </c>
      <c r="C321" s="24" t="str">
        <f t="shared" si="40"/>
        <v>13 November 2020</v>
      </c>
      <c r="D321" s="21">
        <f t="shared" si="36"/>
        <v>11</v>
      </c>
      <c r="E321" s="21" t="str">
        <f t="shared" si="37"/>
        <v>November</v>
      </c>
      <c r="F321" s="22">
        <f t="shared" si="38"/>
        <v>2020</v>
      </c>
      <c r="G321" s="23" t="str">
        <f t="shared" si="39"/>
        <v>2020-11</v>
      </c>
    </row>
    <row r="322" spans="1:7" x14ac:dyDescent="0.3">
      <c r="A322" s="18">
        <f t="shared" si="35"/>
        <v>20201114</v>
      </c>
      <c r="B322" s="19">
        <v>44149</v>
      </c>
      <c r="C322" s="24" t="str">
        <f t="shared" si="40"/>
        <v>14 November 2020</v>
      </c>
      <c r="D322" s="21">
        <f t="shared" si="36"/>
        <v>11</v>
      </c>
      <c r="E322" s="21" t="str">
        <f t="shared" si="37"/>
        <v>November</v>
      </c>
      <c r="F322" s="22">
        <f t="shared" si="38"/>
        <v>2020</v>
      </c>
      <c r="G322" s="23" t="str">
        <f t="shared" si="39"/>
        <v>2020-11</v>
      </c>
    </row>
    <row r="323" spans="1:7" x14ac:dyDescent="0.3">
      <c r="A323" s="18">
        <f t="shared" si="35"/>
        <v>20201115</v>
      </c>
      <c r="B323" s="19">
        <v>44150</v>
      </c>
      <c r="C323" s="24" t="str">
        <f t="shared" si="40"/>
        <v>15 November 2020</v>
      </c>
      <c r="D323" s="21">
        <f t="shared" si="36"/>
        <v>11</v>
      </c>
      <c r="E323" s="21" t="str">
        <f t="shared" si="37"/>
        <v>November</v>
      </c>
      <c r="F323" s="22">
        <f t="shared" si="38"/>
        <v>2020</v>
      </c>
      <c r="G323" s="23" t="str">
        <f t="shared" si="39"/>
        <v>2020-11</v>
      </c>
    </row>
    <row r="324" spans="1:7" x14ac:dyDescent="0.3">
      <c r="A324" s="18">
        <f t="shared" si="35"/>
        <v>20201116</v>
      </c>
      <c r="B324" s="19">
        <v>44151</v>
      </c>
      <c r="C324" s="24" t="str">
        <f t="shared" si="40"/>
        <v>16 November 2020</v>
      </c>
      <c r="D324" s="21">
        <f t="shared" si="36"/>
        <v>11</v>
      </c>
      <c r="E324" s="21" t="str">
        <f t="shared" si="37"/>
        <v>November</v>
      </c>
      <c r="F324" s="22">
        <f t="shared" si="38"/>
        <v>2020</v>
      </c>
      <c r="G324" s="23" t="str">
        <f t="shared" si="39"/>
        <v>2020-11</v>
      </c>
    </row>
    <row r="325" spans="1:7" x14ac:dyDescent="0.3">
      <c r="A325" s="18">
        <f t="shared" si="35"/>
        <v>20201117</v>
      </c>
      <c r="B325" s="19">
        <v>44152</v>
      </c>
      <c r="C325" s="24" t="str">
        <f t="shared" si="40"/>
        <v>17 November 2020</v>
      </c>
      <c r="D325" s="21">
        <f t="shared" si="36"/>
        <v>11</v>
      </c>
      <c r="E325" s="21" t="str">
        <f t="shared" si="37"/>
        <v>November</v>
      </c>
      <c r="F325" s="22">
        <f t="shared" si="38"/>
        <v>2020</v>
      </c>
      <c r="G325" s="23" t="str">
        <f t="shared" si="39"/>
        <v>2020-11</v>
      </c>
    </row>
    <row r="326" spans="1:7" x14ac:dyDescent="0.3">
      <c r="A326" s="18">
        <f t="shared" si="35"/>
        <v>20201118</v>
      </c>
      <c r="B326" s="19">
        <v>44153</v>
      </c>
      <c r="C326" s="24" t="str">
        <f t="shared" si="40"/>
        <v>18 November 2020</v>
      </c>
      <c r="D326" s="21">
        <f t="shared" si="36"/>
        <v>11</v>
      </c>
      <c r="E326" s="21" t="str">
        <f t="shared" si="37"/>
        <v>November</v>
      </c>
      <c r="F326" s="22">
        <f t="shared" si="38"/>
        <v>2020</v>
      </c>
      <c r="G326" s="23" t="str">
        <f t="shared" si="39"/>
        <v>2020-11</v>
      </c>
    </row>
    <row r="327" spans="1:7" x14ac:dyDescent="0.3">
      <c r="A327" s="18">
        <f t="shared" si="35"/>
        <v>20201119</v>
      </c>
      <c r="B327" s="19">
        <v>44154</v>
      </c>
      <c r="C327" s="24" t="str">
        <f t="shared" si="40"/>
        <v>19 November 2020</v>
      </c>
      <c r="D327" s="21">
        <f t="shared" si="36"/>
        <v>11</v>
      </c>
      <c r="E327" s="21" t="str">
        <f t="shared" si="37"/>
        <v>November</v>
      </c>
      <c r="F327" s="22">
        <f t="shared" si="38"/>
        <v>2020</v>
      </c>
      <c r="G327" s="23" t="str">
        <f t="shared" si="39"/>
        <v>2020-11</v>
      </c>
    </row>
    <row r="328" spans="1:7" x14ac:dyDescent="0.3">
      <c r="A328" s="18">
        <f t="shared" si="35"/>
        <v>20201120</v>
      </c>
      <c r="B328" s="19">
        <v>44155</v>
      </c>
      <c r="C328" s="24" t="str">
        <f t="shared" si="40"/>
        <v>20 November 2020</v>
      </c>
      <c r="D328" s="21">
        <f t="shared" si="36"/>
        <v>11</v>
      </c>
      <c r="E328" s="21" t="str">
        <f t="shared" si="37"/>
        <v>November</v>
      </c>
      <c r="F328" s="22">
        <f t="shared" si="38"/>
        <v>2020</v>
      </c>
      <c r="G328" s="23" t="str">
        <f t="shared" si="39"/>
        <v>2020-11</v>
      </c>
    </row>
    <row r="329" spans="1:7" x14ac:dyDescent="0.3">
      <c r="A329" s="18">
        <f t="shared" si="35"/>
        <v>20201121</v>
      </c>
      <c r="B329" s="19">
        <v>44156</v>
      </c>
      <c r="C329" s="24" t="str">
        <f t="shared" si="40"/>
        <v>21 November 2020</v>
      </c>
      <c r="D329" s="21">
        <f t="shared" si="36"/>
        <v>11</v>
      </c>
      <c r="E329" s="21" t="str">
        <f t="shared" si="37"/>
        <v>November</v>
      </c>
      <c r="F329" s="22">
        <f t="shared" si="38"/>
        <v>2020</v>
      </c>
      <c r="G329" s="23" t="str">
        <f t="shared" si="39"/>
        <v>2020-11</v>
      </c>
    </row>
    <row r="330" spans="1:7" x14ac:dyDescent="0.3">
      <c r="A330" s="18">
        <f t="shared" si="35"/>
        <v>20201122</v>
      </c>
      <c r="B330" s="19">
        <v>44157</v>
      </c>
      <c r="C330" s="24" t="str">
        <f t="shared" si="40"/>
        <v>22 November 2020</v>
      </c>
      <c r="D330" s="21">
        <f t="shared" si="36"/>
        <v>11</v>
      </c>
      <c r="E330" s="21" t="str">
        <f t="shared" si="37"/>
        <v>November</v>
      </c>
      <c r="F330" s="22">
        <f t="shared" si="38"/>
        <v>2020</v>
      </c>
      <c r="G330" s="23" t="str">
        <f t="shared" si="39"/>
        <v>2020-11</v>
      </c>
    </row>
    <row r="331" spans="1:7" x14ac:dyDescent="0.3">
      <c r="A331" s="18">
        <f t="shared" si="35"/>
        <v>20201123</v>
      </c>
      <c r="B331" s="19">
        <v>44158</v>
      </c>
      <c r="C331" s="24" t="str">
        <f t="shared" si="40"/>
        <v>23 November 2020</v>
      </c>
      <c r="D331" s="21">
        <f t="shared" si="36"/>
        <v>11</v>
      </c>
      <c r="E331" s="21" t="str">
        <f t="shared" si="37"/>
        <v>November</v>
      </c>
      <c r="F331" s="22">
        <f t="shared" si="38"/>
        <v>2020</v>
      </c>
      <c r="G331" s="23" t="str">
        <f t="shared" si="39"/>
        <v>2020-11</v>
      </c>
    </row>
    <row r="332" spans="1:7" x14ac:dyDescent="0.3">
      <c r="A332" s="18">
        <f t="shared" si="35"/>
        <v>20201124</v>
      </c>
      <c r="B332" s="19">
        <v>44159</v>
      </c>
      <c r="C332" s="24" t="str">
        <f t="shared" si="40"/>
        <v>24 November 2020</v>
      </c>
      <c r="D332" s="21">
        <f t="shared" si="36"/>
        <v>11</v>
      </c>
      <c r="E332" s="21" t="str">
        <f t="shared" si="37"/>
        <v>November</v>
      </c>
      <c r="F332" s="22">
        <f t="shared" si="38"/>
        <v>2020</v>
      </c>
      <c r="G332" s="23" t="str">
        <f t="shared" si="39"/>
        <v>2020-11</v>
      </c>
    </row>
    <row r="333" spans="1:7" x14ac:dyDescent="0.3">
      <c r="A333" s="18">
        <f t="shared" si="35"/>
        <v>20201125</v>
      </c>
      <c r="B333" s="19">
        <v>44160</v>
      </c>
      <c r="C333" s="24" t="str">
        <f t="shared" si="40"/>
        <v>25 November 2020</v>
      </c>
      <c r="D333" s="21">
        <f t="shared" si="36"/>
        <v>11</v>
      </c>
      <c r="E333" s="21" t="str">
        <f t="shared" si="37"/>
        <v>November</v>
      </c>
      <c r="F333" s="22">
        <f t="shared" si="38"/>
        <v>2020</v>
      </c>
      <c r="G333" s="23" t="str">
        <f t="shared" si="39"/>
        <v>2020-11</v>
      </c>
    </row>
    <row r="334" spans="1:7" x14ac:dyDescent="0.3">
      <c r="A334" s="18">
        <f t="shared" si="35"/>
        <v>20201126</v>
      </c>
      <c r="B334" s="19">
        <v>44161</v>
      </c>
      <c r="C334" s="24" t="str">
        <f t="shared" si="40"/>
        <v>26 November 2020</v>
      </c>
      <c r="D334" s="21">
        <f t="shared" si="36"/>
        <v>11</v>
      </c>
      <c r="E334" s="21" t="str">
        <f t="shared" si="37"/>
        <v>November</v>
      </c>
      <c r="F334" s="22">
        <f t="shared" si="38"/>
        <v>2020</v>
      </c>
      <c r="G334" s="23" t="str">
        <f t="shared" si="39"/>
        <v>2020-11</v>
      </c>
    </row>
    <row r="335" spans="1:7" x14ac:dyDescent="0.3">
      <c r="A335" s="18">
        <f t="shared" si="35"/>
        <v>20201127</v>
      </c>
      <c r="B335" s="19">
        <v>44162</v>
      </c>
      <c r="C335" s="24" t="str">
        <f t="shared" si="40"/>
        <v>27 November 2020</v>
      </c>
      <c r="D335" s="21">
        <f t="shared" si="36"/>
        <v>11</v>
      </c>
      <c r="E335" s="21" t="str">
        <f t="shared" si="37"/>
        <v>November</v>
      </c>
      <c r="F335" s="22">
        <f t="shared" si="38"/>
        <v>2020</v>
      </c>
      <c r="G335" s="23" t="str">
        <f t="shared" si="39"/>
        <v>2020-11</v>
      </c>
    </row>
    <row r="336" spans="1:7" x14ac:dyDescent="0.3">
      <c r="A336" s="18">
        <f t="shared" si="35"/>
        <v>20201128</v>
      </c>
      <c r="B336" s="19">
        <v>44163</v>
      </c>
      <c r="C336" s="24" t="str">
        <f t="shared" si="40"/>
        <v>28 November 2020</v>
      </c>
      <c r="D336" s="21">
        <f t="shared" si="36"/>
        <v>11</v>
      </c>
      <c r="E336" s="21" t="str">
        <f t="shared" si="37"/>
        <v>November</v>
      </c>
      <c r="F336" s="22">
        <f t="shared" si="38"/>
        <v>2020</v>
      </c>
      <c r="G336" s="23" t="str">
        <f t="shared" si="39"/>
        <v>2020-11</v>
      </c>
    </row>
    <row r="337" spans="1:7" x14ac:dyDescent="0.3">
      <c r="A337" s="18">
        <f t="shared" si="35"/>
        <v>20201129</v>
      </c>
      <c r="B337" s="19">
        <v>44164</v>
      </c>
      <c r="C337" s="24" t="str">
        <f t="shared" si="40"/>
        <v>29 November 2020</v>
      </c>
      <c r="D337" s="21">
        <f t="shared" si="36"/>
        <v>11</v>
      </c>
      <c r="E337" s="21" t="str">
        <f t="shared" si="37"/>
        <v>November</v>
      </c>
      <c r="F337" s="22">
        <f t="shared" si="38"/>
        <v>2020</v>
      </c>
      <c r="G337" s="23" t="str">
        <f t="shared" si="39"/>
        <v>2020-11</v>
      </c>
    </row>
    <row r="338" spans="1:7" x14ac:dyDescent="0.3">
      <c r="A338" s="18">
        <f t="shared" si="35"/>
        <v>20201130</v>
      </c>
      <c r="B338" s="19">
        <v>44165</v>
      </c>
      <c r="C338" s="24" t="str">
        <f t="shared" si="40"/>
        <v>30 November 2020</v>
      </c>
      <c r="D338" s="21">
        <f t="shared" si="36"/>
        <v>11</v>
      </c>
      <c r="E338" s="21" t="str">
        <f t="shared" si="37"/>
        <v>November</v>
      </c>
      <c r="F338" s="22">
        <f t="shared" si="38"/>
        <v>2020</v>
      </c>
      <c r="G338" s="23" t="str">
        <f t="shared" si="39"/>
        <v>2020-11</v>
      </c>
    </row>
    <row r="339" spans="1:7" x14ac:dyDescent="0.3">
      <c r="A339" s="18">
        <f t="shared" si="35"/>
        <v>20201201</v>
      </c>
      <c r="B339" s="19">
        <v>44166</v>
      </c>
      <c r="C339" s="24" t="str">
        <f t="shared" si="40"/>
        <v>01 December 2020</v>
      </c>
      <c r="D339" s="21">
        <f t="shared" si="36"/>
        <v>12</v>
      </c>
      <c r="E339" s="21" t="str">
        <f t="shared" si="37"/>
        <v>December</v>
      </c>
      <c r="F339" s="22">
        <f t="shared" si="38"/>
        <v>2020</v>
      </c>
      <c r="G339" s="23" t="str">
        <f t="shared" si="39"/>
        <v>2020-12</v>
      </c>
    </row>
    <row r="340" spans="1:7" x14ac:dyDescent="0.3">
      <c r="A340" s="18">
        <f t="shared" si="35"/>
        <v>20201202</v>
      </c>
      <c r="B340" s="19">
        <v>44167</v>
      </c>
      <c r="C340" s="24" t="str">
        <f t="shared" si="40"/>
        <v>02 December 2020</v>
      </c>
      <c r="D340" s="21">
        <f t="shared" si="36"/>
        <v>12</v>
      </c>
      <c r="E340" s="21" t="str">
        <f t="shared" si="37"/>
        <v>December</v>
      </c>
      <c r="F340" s="22">
        <f t="shared" si="38"/>
        <v>2020</v>
      </c>
      <c r="G340" s="23" t="str">
        <f t="shared" si="39"/>
        <v>2020-12</v>
      </c>
    </row>
    <row r="341" spans="1:7" x14ac:dyDescent="0.3">
      <c r="A341" s="18">
        <f t="shared" si="35"/>
        <v>20201203</v>
      </c>
      <c r="B341" s="19">
        <v>44168</v>
      </c>
      <c r="C341" s="24" t="str">
        <f t="shared" si="40"/>
        <v>03 December 2020</v>
      </c>
      <c r="D341" s="21">
        <f t="shared" si="36"/>
        <v>12</v>
      </c>
      <c r="E341" s="21" t="str">
        <f t="shared" si="37"/>
        <v>December</v>
      </c>
      <c r="F341" s="22">
        <f t="shared" si="38"/>
        <v>2020</v>
      </c>
      <c r="G341" s="23" t="str">
        <f t="shared" si="39"/>
        <v>2020-12</v>
      </c>
    </row>
    <row r="342" spans="1:7" x14ac:dyDescent="0.3">
      <c r="A342" s="18">
        <f t="shared" si="35"/>
        <v>20201204</v>
      </c>
      <c r="B342" s="19">
        <v>44169</v>
      </c>
      <c r="C342" s="24" t="str">
        <f t="shared" si="40"/>
        <v>04 December 2020</v>
      </c>
      <c r="D342" s="21">
        <f t="shared" si="36"/>
        <v>12</v>
      </c>
      <c r="E342" s="21" t="str">
        <f t="shared" si="37"/>
        <v>December</v>
      </c>
      <c r="F342" s="22">
        <f t="shared" si="38"/>
        <v>2020</v>
      </c>
      <c r="G342" s="23" t="str">
        <f t="shared" si="39"/>
        <v>2020-12</v>
      </c>
    </row>
    <row r="343" spans="1:7" x14ac:dyDescent="0.3">
      <c r="A343" s="18">
        <f t="shared" si="35"/>
        <v>20201205</v>
      </c>
      <c r="B343" s="19">
        <v>44170</v>
      </c>
      <c r="C343" s="24" t="str">
        <f t="shared" si="40"/>
        <v>05 December 2020</v>
      </c>
      <c r="D343" s="21">
        <f t="shared" si="36"/>
        <v>12</v>
      </c>
      <c r="E343" s="21" t="str">
        <f t="shared" si="37"/>
        <v>December</v>
      </c>
      <c r="F343" s="22">
        <f t="shared" si="38"/>
        <v>2020</v>
      </c>
      <c r="G343" s="23" t="str">
        <f t="shared" si="39"/>
        <v>2020-12</v>
      </c>
    </row>
    <row r="344" spans="1:7" x14ac:dyDescent="0.3">
      <c r="A344" s="18">
        <f t="shared" si="35"/>
        <v>20201206</v>
      </c>
      <c r="B344" s="19">
        <v>44171</v>
      </c>
      <c r="C344" s="24" t="str">
        <f t="shared" si="40"/>
        <v>06 December 2020</v>
      </c>
      <c r="D344" s="21">
        <f t="shared" si="36"/>
        <v>12</v>
      </c>
      <c r="E344" s="21" t="str">
        <f t="shared" si="37"/>
        <v>December</v>
      </c>
      <c r="F344" s="22">
        <f t="shared" si="38"/>
        <v>2020</v>
      </c>
      <c r="G344" s="23" t="str">
        <f t="shared" si="39"/>
        <v>2020-12</v>
      </c>
    </row>
    <row r="345" spans="1:7" x14ac:dyDescent="0.3">
      <c r="A345" s="18">
        <f t="shared" si="35"/>
        <v>20201207</v>
      </c>
      <c r="B345" s="19">
        <v>44172</v>
      </c>
      <c r="C345" s="24" t="str">
        <f t="shared" si="40"/>
        <v>07 December 2020</v>
      </c>
      <c r="D345" s="21">
        <f t="shared" si="36"/>
        <v>12</v>
      </c>
      <c r="E345" s="21" t="str">
        <f t="shared" si="37"/>
        <v>December</v>
      </c>
      <c r="F345" s="22">
        <f t="shared" si="38"/>
        <v>2020</v>
      </c>
      <c r="G345" s="23" t="str">
        <f t="shared" si="39"/>
        <v>2020-12</v>
      </c>
    </row>
    <row r="346" spans="1:7" x14ac:dyDescent="0.3">
      <c r="A346" s="18">
        <f t="shared" si="35"/>
        <v>20201208</v>
      </c>
      <c r="B346" s="19">
        <v>44173</v>
      </c>
      <c r="C346" s="24" t="str">
        <f t="shared" si="40"/>
        <v>08 December 2020</v>
      </c>
      <c r="D346" s="21">
        <f t="shared" si="36"/>
        <v>12</v>
      </c>
      <c r="E346" s="21" t="str">
        <f t="shared" si="37"/>
        <v>December</v>
      </c>
      <c r="F346" s="22">
        <f t="shared" si="38"/>
        <v>2020</v>
      </c>
      <c r="G346" s="23" t="str">
        <f t="shared" si="39"/>
        <v>2020-12</v>
      </c>
    </row>
    <row r="347" spans="1:7" x14ac:dyDescent="0.3">
      <c r="A347" s="18">
        <f t="shared" si="35"/>
        <v>20201209</v>
      </c>
      <c r="B347" s="19">
        <v>44174</v>
      </c>
      <c r="C347" s="24" t="str">
        <f t="shared" si="40"/>
        <v>09 December 2020</v>
      </c>
      <c r="D347" s="21">
        <f t="shared" si="36"/>
        <v>12</v>
      </c>
      <c r="E347" s="21" t="str">
        <f t="shared" si="37"/>
        <v>December</v>
      </c>
      <c r="F347" s="22">
        <f t="shared" si="38"/>
        <v>2020</v>
      </c>
      <c r="G347" s="23" t="str">
        <f t="shared" si="39"/>
        <v>2020-12</v>
      </c>
    </row>
    <row r="348" spans="1:7" x14ac:dyDescent="0.3">
      <c r="A348" s="18">
        <f t="shared" si="35"/>
        <v>20201210</v>
      </c>
      <c r="B348" s="19">
        <v>44175</v>
      </c>
      <c r="C348" s="24" t="str">
        <f t="shared" si="40"/>
        <v>10 December 2020</v>
      </c>
      <c r="D348" s="21">
        <f t="shared" si="36"/>
        <v>12</v>
      </c>
      <c r="E348" s="21" t="str">
        <f t="shared" si="37"/>
        <v>December</v>
      </c>
      <c r="F348" s="22">
        <f t="shared" si="38"/>
        <v>2020</v>
      </c>
      <c r="G348" s="23" t="str">
        <f t="shared" si="39"/>
        <v>2020-12</v>
      </c>
    </row>
    <row r="349" spans="1:7" x14ac:dyDescent="0.3">
      <c r="A349" s="18">
        <f t="shared" si="35"/>
        <v>20201211</v>
      </c>
      <c r="B349" s="19">
        <v>44176</v>
      </c>
      <c r="C349" s="24" t="str">
        <f t="shared" si="40"/>
        <v>11 December 2020</v>
      </c>
      <c r="D349" s="21">
        <f t="shared" si="36"/>
        <v>12</v>
      </c>
      <c r="E349" s="21" t="str">
        <f t="shared" si="37"/>
        <v>December</v>
      </c>
      <c r="F349" s="22">
        <f t="shared" si="38"/>
        <v>2020</v>
      </c>
      <c r="G349" s="23" t="str">
        <f t="shared" si="39"/>
        <v>2020-12</v>
      </c>
    </row>
    <row r="350" spans="1:7" x14ac:dyDescent="0.3">
      <c r="A350" s="18">
        <f t="shared" si="35"/>
        <v>20201212</v>
      </c>
      <c r="B350" s="19">
        <v>44177</v>
      </c>
      <c r="C350" s="24" t="str">
        <f t="shared" si="40"/>
        <v>12 December 2020</v>
      </c>
      <c r="D350" s="21">
        <f t="shared" si="36"/>
        <v>12</v>
      </c>
      <c r="E350" s="21" t="str">
        <f t="shared" si="37"/>
        <v>December</v>
      </c>
      <c r="F350" s="22">
        <f t="shared" si="38"/>
        <v>2020</v>
      </c>
      <c r="G350" s="23" t="str">
        <f t="shared" si="39"/>
        <v>2020-12</v>
      </c>
    </row>
    <row r="351" spans="1:7" x14ac:dyDescent="0.3">
      <c r="A351" s="18">
        <f t="shared" si="35"/>
        <v>20201213</v>
      </c>
      <c r="B351" s="19">
        <v>44178</v>
      </c>
      <c r="C351" s="24" t="str">
        <f t="shared" si="40"/>
        <v>13 December 2020</v>
      </c>
      <c r="D351" s="21">
        <f t="shared" si="36"/>
        <v>12</v>
      </c>
      <c r="E351" s="21" t="str">
        <f t="shared" si="37"/>
        <v>December</v>
      </c>
      <c r="F351" s="22">
        <f t="shared" si="38"/>
        <v>2020</v>
      </c>
      <c r="G351" s="23" t="str">
        <f t="shared" si="39"/>
        <v>2020-12</v>
      </c>
    </row>
    <row r="352" spans="1:7" x14ac:dyDescent="0.3">
      <c r="A352" s="18">
        <f t="shared" si="35"/>
        <v>20201214</v>
      </c>
      <c r="B352" s="19">
        <v>44179</v>
      </c>
      <c r="C352" s="24" t="str">
        <f t="shared" si="40"/>
        <v>14 December 2020</v>
      </c>
      <c r="D352" s="21">
        <f t="shared" si="36"/>
        <v>12</v>
      </c>
      <c r="E352" s="21" t="str">
        <f t="shared" si="37"/>
        <v>December</v>
      </c>
      <c r="F352" s="22">
        <f t="shared" si="38"/>
        <v>2020</v>
      </c>
      <c r="G352" s="23" t="str">
        <f t="shared" si="39"/>
        <v>2020-12</v>
      </c>
    </row>
    <row r="353" spans="1:7" x14ac:dyDescent="0.3">
      <c r="A353" s="18">
        <f t="shared" si="35"/>
        <v>20201215</v>
      </c>
      <c r="B353" s="19">
        <v>44180</v>
      </c>
      <c r="C353" s="24" t="str">
        <f t="shared" si="40"/>
        <v>15 December 2020</v>
      </c>
      <c r="D353" s="21">
        <f t="shared" si="36"/>
        <v>12</v>
      </c>
      <c r="E353" s="21" t="str">
        <f t="shared" si="37"/>
        <v>December</v>
      </c>
      <c r="F353" s="22">
        <f t="shared" si="38"/>
        <v>2020</v>
      </c>
      <c r="G353" s="23" t="str">
        <f t="shared" si="39"/>
        <v>2020-12</v>
      </c>
    </row>
    <row r="354" spans="1:7" x14ac:dyDescent="0.3">
      <c r="A354" s="18">
        <f t="shared" si="35"/>
        <v>20201216</v>
      </c>
      <c r="B354" s="19">
        <v>44181</v>
      </c>
      <c r="C354" s="24" t="str">
        <f t="shared" si="40"/>
        <v>16 December 2020</v>
      </c>
      <c r="D354" s="21">
        <f t="shared" si="36"/>
        <v>12</v>
      </c>
      <c r="E354" s="21" t="str">
        <f t="shared" si="37"/>
        <v>December</v>
      </c>
      <c r="F354" s="22">
        <f t="shared" si="38"/>
        <v>2020</v>
      </c>
      <c r="G354" s="23" t="str">
        <f t="shared" si="39"/>
        <v>2020-12</v>
      </c>
    </row>
    <row r="355" spans="1:7" x14ac:dyDescent="0.3">
      <c r="A355" s="18">
        <f t="shared" si="35"/>
        <v>20201217</v>
      </c>
      <c r="B355" s="19">
        <v>44182</v>
      </c>
      <c r="C355" s="24" t="str">
        <f t="shared" si="40"/>
        <v>17 December 2020</v>
      </c>
      <c r="D355" s="21">
        <f t="shared" si="36"/>
        <v>12</v>
      </c>
      <c r="E355" s="21" t="str">
        <f t="shared" si="37"/>
        <v>December</v>
      </c>
      <c r="F355" s="22">
        <f t="shared" si="38"/>
        <v>2020</v>
      </c>
      <c r="G355" s="23" t="str">
        <f t="shared" si="39"/>
        <v>2020-12</v>
      </c>
    </row>
    <row r="356" spans="1:7" x14ac:dyDescent="0.3">
      <c r="A356" s="18">
        <f t="shared" si="35"/>
        <v>20201218</v>
      </c>
      <c r="B356" s="19">
        <v>44183</v>
      </c>
      <c r="C356" s="24" t="str">
        <f t="shared" si="40"/>
        <v>18 December 2020</v>
      </c>
      <c r="D356" s="21">
        <f t="shared" si="36"/>
        <v>12</v>
      </c>
      <c r="E356" s="21" t="str">
        <f t="shared" si="37"/>
        <v>December</v>
      </c>
      <c r="F356" s="22">
        <f t="shared" si="38"/>
        <v>2020</v>
      </c>
      <c r="G356" s="23" t="str">
        <f t="shared" si="39"/>
        <v>2020-12</v>
      </c>
    </row>
    <row r="357" spans="1:7" x14ac:dyDescent="0.3">
      <c r="A357" s="18">
        <f t="shared" si="35"/>
        <v>20201219</v>
      </c>
      <c r="B357" s="19">
        <v>44184</v>
      </c>
      <c r="C357" s="24" t="str">
        <f t="shared" si="40"/>
        <v>19 December 2020</v>
      </c>
      <c r="D357" s="21">
        <f t="shared" si="36"/>
        <v>12</v>
      </c>
      <c r="E357" s="21" t="str">
        <f t="shared" si="37"/>
        <v>December</v>
      </c>
      <c r="F357" s="22">
        <f t="shared" si="38"/>
        <v>2020</v>
      </c>
      <c r="G357" s="23" t="str">
        <f t="shared" si="39"/>
        <v>2020-12</v>
      </c>
    </row>
    <row r="358" spans="1:7" x14ac:dyDescent="0.3">
      <c r="A358" s="18">
        <f t="shared" si="35"/>
        <v>20201220</v>
      </c>
      <c r="B358" s="19">
        <v>44185</v>
      </c>
      <c r="C358" s="24" t="str">
        <f t="shared" si="40"/>
        <v>20 December 2020</v>
      </c>
      <c r="D358" s="21">
        <f t="shared" si="36"/>
        <v>12</v>
      </c>
      <c r="E358" s="21" t="str">
        <f t="shared" si="37"/>
        <v>December</v>
      </c>
      <c r="F358" s="22">
        <f t="shared" si="38"/>
        <v>2020</v>
      </c>
      <c r="G358" s="23" t="str">
        <f t="shared" si="39"/>
        <v>2020-12</v>
      </c>
    </row>
    <row r="359" spans="1:7" x14ac:dyDescent="0.3">
      <c r="A359" s="18">
        <f t="shared" si="35"/>
        <v>20201221</v>
      </c>
      <c r="B359" s="19">
        <v>44186</v>
      </c>
      <c r="C359" s="24" t="str">
        <f t="shared" si="40"/>
        <v>21 December 2020</v>
      </c>
      <c r="D359" s="21">
        <f t="shared" si="36"/>
        <v>12</v>
      </c>
      <c r="E359" s="21" t="str">
        <f t="shared" si="37"/>
        <v>December</v>
      </c>
      <c r="F359" s="22">
        <f t="shared" si="38"/>
        <v>2020</v>
      </c>
      <c r="G359" s="23" t="str">
        <f t="shared" si="39"/>
        <v>2020-12</v>
      </c>
    </row>
    <row r="360" spans="1:7" x14ac:dyDescent="0.3">
      <c r="A360" s="18">
        <f t="shared" si="35"/>
        <v>20201222</v>
      </c>
      <c r="B360" s="19">
        <v>44187</v>
      </c>
      <c r="C360" s="24" t="str">
        <f t="shared" si="40"/>
        <v>22 December 2020</v>
      </c>
      <c r="D360" s="21">
        <f t="shared" si="36"/>
        <v>12</v>
      </c>
      <c r="E360" s="21" t="str">
        <f t="shared" si="37"/>
        <v>December</v>
      </c>
      <c r="F360" s="22">
        <f t="shared" si="38"/>
        <v>2020</v>
      </c>
      <c r="G360" s="23" t="str">
        <f t="shared" si="39"/>
        <v>2020-12</v>
      </c>
    </row>
    <row r="361" spans="1:7" x14ac:dyDescent="0.3">
      <c r="A361" s="18">
        <f t="shared" si="35"/>
        <v>20201223</v>
      </c>
      <c r="B361" s="19">
        <v>44188</v>
      </c>
      <c r="C361" s="24" t="str">
        <f t="shared" si="40"/>
        <v>23 December 2020</v>
      </c>
      <c r="D361" s="21">
        <f t="shared" si="36"/>
        <v>12</v>
      </c>
      <c r="E361" s="21" t="str">
        <f t="shared" si="37"/>
        <v>December</v>
      </c>
      <c r="F361" s="22">
        <f t="shared" si="38"/>
        <v>2020</v>
      </c>
      <c r="G361" s="23" t="str">
        <f t="shared" si="39"/>
        <v>2020-12</v>
      </c>
    </row>
    <row r="362" spans="1:7" x14ac:dyDescent="0.3">
      <c r="A362" s="18">
        <f t="shared" si="35"/>
        <v>20201224</v>
      </c>
      <c r="B362" s="19">
        <v>44189</v>
      </c>
      <c r="C362" s="24" t="str">
        <f t="shared" si="40"/>
        <v>24 December 2020</v>
      </c>
      <c r="D362" s="21">
        <f t="shared" si="36"/>
        <v>12</v>
      </c>
      <c r="E362" s="21" t="str">
        <f t="shared" si="37"/>
        <v>December</v>
      </c>
      <c r="F362" s="22">
        <f t="shared" si="38"/>
        <v>2020</v>
      </c>
      <c r="G362" s="23" t="str">
        <f t="shared" si="39"/>
        <v>2020-12</v>
      </c>
    </row>
    <row r="363" spans="1:7" x14ac:dyDescent="0.3">
      <c r="A363" s="18">
        <f t="shared" si="35"/>
        <v>20201225</v>
      </c>
      <c r="B363" s="19">
        <v>44190</v>
      </c>
      <c r="C363" s="24" t="str">
        <f t="shared" si="40"/>
        <v>25 December 2020</v>
      </c>
      <c r="D363" s="21">
        <f t="shared" si="36"/>
        <v>12</v>
      </c>
      <c r="E363" s="21" t="str">
        <f t="shared" si="37"/>
        <v>December</v>
      </c>
      <c r="F363" s="22">
        <f t="shared" si="38"/>
        <v>2020</v>
      </c>
      <c r="G363" s="23" t="str">
        <f t="shared" si="39"/>
        <v>2020-12</v>
      </c>
    </row>
    <row r="364" spans="1:7" x14ac:dyDescent="0.3">
      <c r="A364" s="18">
        <f t="shared" si="35"/>
        <v>20201226</v>
      </c>
      <c r="B364" s="19">
        <v>44191</v>
      </c>
      <c r="C364" s="24" t="str">
        <f t="shared" si="40"/>
        <v>26 December 2020</v>
      </c>
      <c r="D364" s="21">
        <f t="shared" si="36"/>
        <v>12</v>
      </c>
      <c r="E364" s="21" t="str">
        <f t="shared" si="37"/>
        <v>December</v>
      </c>
      <c r="F364" s="22">
        <f t="shared" si="38"/>
        <v>2020</v>
      </c>
      <c r="G364" s="23" t="str">
        <f t="shared" si="39"/>
        <v>2020-12</v>
      </c>
    </row>
    <row r="365" spans="1:7" x14ac:dyDescent="0.3">
      <c r="A365" s="18">
        <f t="shared" si="35"/>
        <v>20201227</v>
      </c>
      <c r="B365" s="19">
        <v>44192</v>
      </c>
      <c r="C365" s="24" t="str">
        <f t="shared" si="40"/>
        <v>27 December 2020</v>
      </c>
      <c r="D365" s="21">
        <f t="shared" si="36"/>
        <v>12</v>
      </c>
      <c r="E365" s="21" t="str">
        <f t="shared" si="37"/>
        <v>December</v>
      </c>
      <c r="F365" s="22">
        <f t="shared" si="38"/>
        <v>2020</v>
      </c>
      <c r="G365" s="23" t="str">
        <f t="shared" si="39"/>
        <v>2020-12</v>
      </c>
    </row>
    <row r="366" spans="1:7" x14ac:dyDescent="0.3">
      <c r="A366" s="18">
        <f t="shared" si="35"/>
        <v>20201228</v>
      </c>
      <c r="B366" s="19">
        <v>44193</v>
      </c>
      <c r="C366" s="24" t="str">
        <f t="shared" si="40"/>
        <v>28 December 2020</v>
      </c>
      <c r="D366" s="21">
        <f t="shared" si="36"/>
        <v>12</v>
      </c>
      <c r="E366" s="21" t="str">
        <f t="shared" si="37"/>
        <v>December</v>
      </c>
      <c r="F366" s="22">
        <f t="shared" si="38"/>
        <v>2020</v>
      </c>
      <c r="G366" s="23" t="str">
        <f t="shared" si="39"/>
        <v>2020-12</v>
      </c>
    </row>
    <row r="367" spans="1:7" x14ac:dyDescent="0.3">
      <c r="A367" s="18">
        <f t="shared" si="35"/>
        <v>20201229</v>
      </c>
      <c r="B367" s="19">
        <v>44194</v>
      </c>
      <c r="C367" s="24" t="str">
        <f t="shared" si="40"/>
        <v>29 December 2020</v>
      </c>
      <c r="D367" s="21">
        <f t="shared" si="36"/>
        <v>12</v>
      </c>
      <c r="E367" s="21" t="str">
        <f t="shared" si="37"/>
        <v>December</v>
      </c>
      <c r="F367" s="22">
        <f t="shared" si="38"/>
        <v>2020</v>
      </c>
      <c r="G367" s="23" t="str">
        <f t="shared" si="39"/>
        <v>2020-12</v>
      </c>
    </row>
    <row r="368" spans="1:7" x14ac:dyDescent="0.3">
      <c r="A368" s="18">
        <f t="shared" si="35"/>
        <v>20201230</v>
      </c>
      <c r="B368" s="19">
        <v>44195</v>
      </c>
      <c r="C368" s="24" t="str">
        <f t="shared" si="40"/>
        <v>30 December 2020</v>
      </c>
      <c r="D368" s="21">
        <f t="shared" si="36"/>
        <v>12</v>
      </c>
      <c r="E368" s="21" t="str">
        <f t="shared" si="37"/>
        <v>December</v>
      </c>
      <c r="F368" s="22">
        <f t="shared" si="38"/>
        <v>2020</v>
      </c>
      <c r="G368" s="23" t="str">
        <f t="shared" si="39"/>
        <v>2020-12</v>
      </c>
    </row>
    <row r="369" spans="1:7" x14ac:dyDescent="0.3">
      <c r="A369" s="18">
        <f t="shared" si="35"/>
        <v>20201231</v>
      </c>
      <c r="B369" s="19">
        <v>44196</v>
      </c>
      <c r="C369" s="24" t="str">
        <f t="shared" si="40"/>
        <v>31 December 2020</v>
      </c>
      <c r="D369" s="21">
        <f t="shared" si="36"/>
        <v>12</v>
      </c>
      <c r="E369" s="21" t="str">
        <f t="shared" si="37"/>
        <v>December</v>
      </c>
      <c r="F369" s="22">
        <f t="shared" si="38"/>
        <v>2020</v>
      </c>
      <c r="G369" s="23" t="str">
        <f t="shared" si="39"/>
        <v>2020-12</v>
      </c>
    </row>
    <row r="370" spans="1:7" x14ac:dyDescent="0.3">
      <c r="A370" s="18">
        <f t="shared" si="35"/>
        <v>20210101</v>
      </c>
      <c r="B370" s="19">
        <v>44197</v>
      </c>
      <c r="C370" s="24" t="str">
        <f t="shared" si="40"/>
        <v>01 January 2021</v>
      </c>
      <c r="D370" s="21">
        <f t="shared" si="36"/>
        <v>1</v>
      </c>
      <c r="E370" s="21" t="str">
        <f t="shared" si="37"/>
        <v>January</v>
      </c>
      <c r="F370" s="22">
        <f t="shared" si="38"/>
        <v>2021</v>
      </c>
      <c r="G370" s="23" t="str">
        <f t="shared" si="39"/>
        <v>2021-01</v>
      </c>
    </row>
    <row r="371" spans="1:7" x14ac:dyDescent="0.3">
      <c r="A371" s="18">
        <f t="shared" si="35"/>
        <v>20210102</v>
      </c>
      <c r="B371" s="19">
        <v>44198</v>
      </c>
      <c r="C371" s="24" t="str">
        <f t="shared" si="40"/>
        <v>02 January 2021</v>
      </c>
      <c r="D371" s="21">
        <f t="shared" si="36"/>
        <v>1</v>
      </c>
      <c r="E371" s="21" t="str">
        <f t="shared" si="37"/>
        <v>January</v>
      </c>
      <c r="F371" s="22">
        <f t="shared" si="38"/>
        <v>2021</v>
      </c>
      <c r="G371" s="23" t="str">
        <f t="shared" si="39"/>
        <v>2021-01</v>
      </c>
    </row>
    <row r="372" spans="1:7" x14ac:dyDescent="0.3">
      <c r="A372" s="18">
        <f t="shared" si="35"/>
        <v>20210103</v>
      </c>
      <c r="B372" s="19">
        <v>44199</v>
      </c>
      <c r="C372" s="24" t="str">
        <f t="shared" si="40"/>
        <v>03 January 2021</v>
      </c>
      <c r="D372" s="21">
        <f t="shared" si="36"/>
        <v>1</v>
      </c>
      <c r="E372" s="21" t="str">
        <f t="shared" si="37"/>
        <v>January</v>
      </c>
      <c r="F372" s="22">
        <f t="shared" si="38"/>
        <v>2021</v>
      </c>
      <c r="G372" s="23" t="str">
        <f t="shared" si="39"/>
        <v>2021-01</v>
      </c>
    </row>
    <row r="373" spans="1:7" x14ac:dyDescent="0.3">
      <c r="A373" s="18">
        <f t="shared" si="35"/>
        <v>20210104</v>
      </c>
      <c r="B373" s="19">
        <v>44200</v>
      </c>
      <c r="C373" s="24" t="str">
        <f t="shared" si="40"/>
        <v>04 January 2021</v>
      </c>
      <c r="D373" s="21">
        <f t="shared" si="36"/>
        <v>1</v>
      </c>
      <c r="E373" s="21" t="str">
        <f t="shared" si="37"/>
        <v>January</v>
      </c>
      <c r="F373" s="22">
        <f t="shared" si="38"/>
        <v>2021</v>
      </c>
      <c r="G373" s="23" t="str">
        <f t="shared" si="39"/>
        <v>2021-01</v>
      </c>
    </row>
    <row r="374" spans="1:7" x14ac:dyDescent="0.3">
      <c r="A374" s="18">
        <f t="shared" si="35"/>
        <v>20210105</v>
      </c>
      <c r="B374" s="19">
        <v>44201</v>
      </c>
      <c r="C374" s="24" t="str">
        <f t="shared" si="40"/>
        <v>05 January 2021</v>
      </c>
      <c r="D374" s="21">
        <f t="shared" si="36"/>
        <v>1</v>
      </c>
      <c r="E374" s="21" t="str">
        <f t="shared" si="37"/>
        <v>January</v>
      </c>
      <c r="F374" s="22">
        <f t="shared" si="38"/>
        <v>2021</v>
      </c>
      <c r="G374" s="23" t="str">
        <f t="shared" si="39"/>
        <v>2021-01</v>
      </c>
    </row>
    <row r="375" spans="1:7" x14ac:dyDescent="0.3">
      <c r="A375" s="18">
        <f t="shared" si="35"/>
        <v>20210106</v>
      </c>
      <c r="B375" s="19">
        <v>44202</v>
      </c>
      <c r="C375" s="24" t="str">
        <f t="shared" si="40"/>
        <v>06 January 2021</v>
      </c>
      <c r="D375" s="21">
        <f t="shared" si="36"/>
        <v>1</v>
      </c>
      <c r="E375" s="21" t="str">
        <f t="shared" si="37"/>
        <v>January</v>
      </c>
      <c r="F375" s="22">
        <f t="shared" si="38"/>
        <v>2021</v>
      </c>
      <c r="G375" s="23" t="str">
        <f t="shared" si="39"/>
        <v>2021-01</v>
      </c>
    </row>
    <row r="376" spans="1:7" x14ac:dyDescent="0.3">
      <c r="A376" s="18">
        <f t="shared" si="35"/>
        <v>20210107</v>
      </c>
      <c r="B376" s="19">
        <v>44203</v>
      </c>
      <c r="C376" s="24" t="str">
        <f t="shared" si="40"/>
        <v>07 January 2021</v>
      </c>
      <c r="D376" s="21">
        <f t="shared" si="36"/>
        <v>1</v>
      </c>
      <c r="E376" s="21" t="str">
        <f t="shared" si="37"/>
        <v>January</v>
      </c>
      <c r="F376" s="22">
        <f t="shared" si="38"/>
        <v>2021</v>
      </c>
      <c r="G376" s="23" t="str">
        <f t="shared" si="39"/>
        <v>2021-01</v>
      </c>
    </row>
    <row r="377" spans="1:7" x14ac:dyDescent="0.3">
      <c r="A377" s="18">
        <f t="shared" si="35"/>
        <v>20210108</v>
      </c>
      <c r="B377" s="19">
        <v>44204</v>
      </c>
      <c r="C377" s="24" t="str">
        <f t="shared" si="40"/>
        <v>08 January 2021</v>
      </c>
      <c r="D377" s="21">
        <f t="shared" si="36"/>
        <v>1</v>
      </c>
      <c r="E377" s="21" t="str">
        <f t="shared" si="37"/>
        <v>January</v>
      </c>
      <c r="F377" s="22">
        <f t="shared" si="38"/>
        <v>2021</v>
      </c>
      <c r="G377" s="23" t="str">
        <f t="shared" si="39"/>
        <v>2021-01</v>
      </c>
    </row>
    <row r="378" spans="1:7" x14ac:dyDescent="0.3">
      <c r="A378" s="18">
        <f t="shared" si="35"/>
        <v>20210109</v>
      </c>
      <c r="B378" s="19">
        <v>44205</v>
      </c>
      <c r="C378" s="24" t="str">
        <f t="shared" si="40"/>
        <v>09 January 2021</v>
      </c>
      <c r="D378" s="21">
        <f t="shared" si="36"/>
        <v>1</v>
      </c>
      <c r="E378" s="21" t="str">
        <f t="shared" si="37"/>
        <v>January</v>
      </c>
      <c r="F378" s="22">
        <f t="shared" si="38"/>
        <v>2021</v>
      </c>
      <c r="G378" s="23" t="str">
        <f t="shared" si="39"/>
        <v>2021-01</v>
      </c>
    </row>
    <row r="379" spans="1:7" x14ac:dyDescent="0.3">
      <c r="A379" s="18">
        <f t="shared" si="35"/>
        <v>20210110</v>
      </c>
      <c r="B379" s="19">
        <v>44206</v>
      </c>
      <c r="C379" s="24" t="str">
        <f t="shared" si="40"/>
        <v>10 January 2021</v>
      </c>
      <c r="D379" s="21">
        <f t="shared" si="36"/>
        <v>1</v>
      </c>
      <c r="E379" s="21" t="str">
        <f t="shared" si="37"/>
        <v>January</v>
      </c>
      <c r="F379" s="22">
        <f t="shared" si="38"/>
        <v>2021</v>
      </c>
      <c r="G379" s="23" t="str">
        <f t="shared" si="39"/>
        <v>2021-01</v>
      </c>
    </row>
    <row r="380" spans="1:7" x14ac:dyDescent="0.3">
      <c r="A380" s="18">
        <f t="shared" si="35"/>
        <v>20210111</v>
      </c>
      <c r="B380" s="19">
        <v>44207</v>
      </c>
      <c r="C380" s="24" t="str">
        <f t="shared" si="40"/>
        <v>11 January 2021</v>
      </c>
      <c r="D380" s="21">
        <f t="shared" si="36"/>
        <v>1</v>
      </c>
      <c r="E380" s="21" t="str">
        <f t="shared" si="37"/>
        <v>January</v>
      </c>
      <c r="F380" s="22">
        <f t="shared" si="38"/>
        <v>2021</v>
      </c>
      <c r="G380" s="23" t="str">
        <f t="shared" si="39"/>
        <v>2021-01</v>
      </c>
    </row>
    <row r="381" spans="1:7" x14ac:dyDescent="0.3">
      <c r="A381" s="18">
        <f t="shared" si="35"/>
        <v>20210112</v>
      </c>
      <c r="B381" s="19">
        <v>44208</v>
      </c>
      <c r="C381" s="24" t="str">
        <f t="shared" si="40"/>
        <v>12 January 2021</v>
      </c>
      <c r="D381" s="21">
        <f t="shared" si="36"/>
        <v>1</v>
      </c>
      <c r="E381" s="21" t="str">
        <f t="shared" si="37"/>
        <v>January</v>
      </c>
      <c r="F381" s="22">
        <f t="shared" si="38"/>
        <v>2021</v>
      </c>
      <c r="G381" s="23" t="str">
        <f t="shared" si="39"/>
        <v>2021-01</v>
      </c>
    </row>
    <row r="382" spans="1:7" x14ac:dyDescent="0.3">
      <c r="A382" s="18">
        <f t="shared" ref="A382:A445" si="41">YEAR(B382)*10000+MONTH(B382)*100+DAY(B382)</f>
        <v>20210113</v>
      </c>
      <c r="B382" s="19">
        <v>44209</v>
      </c>
      <c r="C382" s="24" t="str">
        <f t="shared" si="40"/>
        <v>13 January 2021</v>
      </c>
      <c r="D382" s="21">
        <f t="shared" ref="D382:D445" si="42">MONTH(B382)</f>
        <v>1</v>
      </c>
      <c r="E382" s="21" t="str">
        <f t="shared" ref="E382:E445" si="43">TEXT(B382,"MMMM")</f>
        <v>January</v>
      </c>
      <c r="F382" s="22">
        <f t="shared" ref="F382:F445" si="44">YEAR(B382)</f>
        <v>2021</v>
      </c>
      <c r="G382" s="23" t="str">
        <f t="shared" ref="G382:G445" si="45">TEXT(B382,"YYYY-MM")</f>
        <v>2021-01</v>
      </c>
    </row>
    <row r="383" spans="1:7" x14ac:dyDescent="0.3">
      <c r="A383" s="18">
        <f t="shared" si="41"/>
        <v>20210114</v>
      </c>
      <c r="B383" s="19">
        <v>44210</v>
      </c>
      <c r="C383" s="24" t="str">
        <f t="shared" ref="C383:C446" si="46">TEXT(B383,"dd MMMM YYYY")</f>
        <v>14 January 2021</v>
      </c>
      <c r="D383" s="21">
        <f t="shared" si="42"/>
        <v>1</v>
      </c>
      <c r="E383" s="21" t="str">
        <f t="shared" si="43"/>
        <v>January</v>
      </c>
      <c r="F383" s="22">
        <f t="shared" si="44"/>
        <v>2021</v>
      </c>
      <c r="G383" s="23" t="str">
        <f t="shared" si="45"/>
        <v>2021-01</v>
      </c>
    </row>
    <row r="384" spans="1:7" x14ac:dyDescent="0.3">
      <c r="A384" s="18">
        <f t="shared" si="41"/>
        <v>20210115</v>
      </c>
      <c r="B384" s="19">
        <v>44211</v>
      </c>
      <c r="C384" s="24" t="str">
        <f t="shared" si="46"/>
        <v>15 January 2021</v>
      </c>
      <c r="D384" s="21">
        <f t="shared" si="42"/>
        <v>1</v>
      </c>
      <c r="E384" s="21" t="str">
        <f t="shared" si="43"/>
        <v>January</v>
      </c>
      <c r="F384" s="22">
        <f t="shared" si="44"/>
        <v>2021</v>
      </c>
      <c r="G384" s="23" t="str">
        <f t="shared" si="45"/>
        <v>2021-01</v>
      </c>
    </row>
    <row r="385" spans="1:7" x14ac:dyDescent="0.3">
      <c r="A385" s="18">
        <f t="shared" si="41"/>
        <v>20210116</v>
      </c>
      <c r="B385" s="19">
        <v>44212</v>
      </c>
      <c r="C385" s="24" t="str">
        <f t="shared" si="46"/>
        <v>16 January 2021</v>
      </c>
      <c r="D385" s="21">
        <f t="shared" si="42"/>
        <v>1</v>
      </c>
      <c r="E385" s="21" t="str">
        <f t="shared" si="43"/>
        <v>January</v>
      </c>
      <c r="F385" s="22">
        <f t="shared" si="44"/>
        <v>2021</v>
      </c>
      <c r="G385" s="23" t="str">
        <f t="shared" si="45"/>
        <v>2021-01</v>
      </c>
    </row>
    <row r="386" spans="1:7" x14ac:dyDescent="0.3">
      <c r="A386" s="18">
        <f t="shared" si="41"/>
        <v>20210117</v>
      </c>
      <c r="B386" s="19">
        <v>44213</v>
      </c>
      <c r="C386" s="24" t="str">
        <f t="shared" si="46"/>
        <v>17 January 2021</v>
      </c>
      <c r="D386" s="21">
        <f t="shared" si="42"/>
        <v>1</v>
      </c>
      <c r="E386" s="21" t="str">
        <f t="shared" si="43"/>
        <v>January</v>
      </c>
      <c r="F386" s="22">
        <f t="shared" si="44"/>
        <v>2021</v>
      </c>
      <c r="G386" s="23" t="str">
        <f t="shared" si="45"/>
        <v>2021-01</v>
      </c>
    </row>
    <row r="387" spans="1:7" x14ac:dyDescent="0.3">
      <c r="A387" s="18">
        <f t="shared" si="41"/>
        <v>20210118</v>
      </c>
      <c r="B387" s="19">
        <v>44214</v>
      </c>
      <c r="C387" s="24" t="str">
        <f t="shared" si="46"/>
        <v>18 January 2021</v>
      </c>
      <c r="D387" s="21">
        <f t="shared" si="42"/>
        <v>1</v>
      </c>
      <c r="E387" s="21" t="str">
        <f t="shared" si="43"/>
        <v>January</v>
      </c>
      <c r="F387" s="22">
        <f t="shared" si="44"/>
        <v>2021</v>
      </c>
      <c r="G387" s="23" t="str">
        <f t="shared" si="45"/>
        <v>2021-01</v>
      </c>
    </row>
    <row r="388" spans="1:7" x14ac:dyDescent="0.3">
      <c r="A388" s="18">
        <f t="shared" si="41"/>
        <v>20210119</v>
      </c>
      <c r="B388" s="19">
        <v>44215</v>
      </c>
      <c r="C388" s="24" t="str">
        <f t="shared" si="46"/>
        <v>19 January 2021</v>
      </c>
      <c r="D388" s="21">
        <f t="shared" si="42"/>
        <v>1</v>
      </c>
      <c r="E388" s="21" t="str">
        <f t="shared" si="43"/>
        <v>January</v>
      </c>
      <c r="F388" s="22">
        <f t="shared" si="44"/>
        <v>2021</v>
      </c>
      <c r="G388" s="23" t="str">
        <f t="shared" si="45"/>
        <v>2021-01</v>
      </c>
    </row>
    <row r="389" spans="1:7" x14ac:dyDescent="0.3">
      <c r="A389" s="18">
        <f t="shared" si="41"/>
        <v>20210120</v>
      </c>
      <c r="B389" s="19">
        <v>44216</v>
      </c>
      <c r="C389" s="24" t="str">
        <f t="shared" si="46"/>
        <v>20 January 2021</v>
      </c>
      <c r="D389" s="21">
        <f t="shared" si="42"/>
        <v>1</v>
      </c>
      <c r="E389" s="21" t="str">
        <f t="shared" si="43"/>
        <v>January</v>
      </c>
      <c r="F389" s="22">
        <f t="shared" si="44"/>
        <v>2021</v>
      </c>
      <c r="G389" s="23" t="str">
        <f t="shared" si="45"/>
        <v>2021-01</v>
      </c>
    </row>
    <row r="390" spans="1:7" x14ac:dyDescent="0.3">
      <c r="A390" s="18">
        <f t="shared" si="41"/>
        <v>20210121</v>
      </c>
      <c r="B390" s="19">
        <v>44217</v>
      </c>
      <c r="C390" s="24" t="str">
        <f t="shared" si="46"/>
        <v>21 January 2021</v>
      </c>
      <c r="D390" s="21">
        <f t="shared" si="42"/>
        <v>1</v>
      </c>
      <c r="E390" s="21" t="str">
        <f t="shared" si="43"/>
        <v>January</v>
      </c>
      <c r="F390" s="22">
        <f t="shared" si="44"/>
        <v>2021</v>
      </c>
      <c r="G390" s="23" t="str">
        <f t="shared" si="45"/>
        <v>2021-01</v>
      </c>
    </row>
    <row r="391" spans="1:7" x14ac:dyDescent="0.3">
      <c r="A391" s="18">
        <f t="shared" si="41"/>
        <v>20210122</v>
      </c>
      <c r="B391" s="19">
        <v>44218</v>
      </c>
      <c r="C391" s="24" t="str">
        <f t="shared" si="46"/>
        <v>22 January 2021</v>
      </c>
      <c r="D391" s="21">
        <f t="shared" si="42"/>
        <v>1</v>
      </c>
      <c r="E391" s="21" t="str">
        <f t="shared" si="43"/>
        <v>January</v>
      </c>
      <c r="F391" s="22">
        <f t="shared" si="44"/>
        <v>2021</v>
      </c>
      <c r="G391" s="23" t="str">
        <f t="shared" si="45"/>
        <v>2021-01</v>
      </c>
    </row>
    <row r="392" spans="1:7" x14ac:dyDescent="0.3">
      <c r="A392" s="18">
        <f t="shared" si="41"/>
        <v>20210123</v>
      </c>
      <c r="B392" s="19">
        <v>44219</v>
      </c>
      <c r="C392" s="24" t="str">
        <f t="shared" si="46"/>
        <v>23 January 2021</v>
      </c>
      <c r="D392" s="21">
        <f t="shared" si="42"/>
        <v>1</v>
      </c>
      <c r="E392" s="21" t="str">
        <f t="shared" si="43"/>
        <v>January</v>
      </c>
      <c r="F392" s="22">
        <f t="shared" si="44"/>
        <v>2021</v>
      </c>
      <c r="G392" s="23" t="str">
        <f t="shared" si="45"/>
        <v>2021-01</v>
      </c>
    </row>
    <row r="393" spans="1:7" x14ac:dyDescent="0.3">
      <c r="A393" s="18">
        <f t="shared" si="41"/>
        <v>20210124</v>
      </c>
      <c r="B393" s="19">
        <v>44220</v>
      </c>
      <c r="C393" s="24" t="str">
        <f t="shared" si="46"/>
        <v>24 January 2021</v>
      </c>
      <c r="D393" s="21">
        <f t="shared" si="42"/>
        <v>1</v>
      </c>
      <c r="E393" s="21" t="str">
        <f t="shared" si="43"/>
        <v>January</v>
      </c>
      <c r="F393" s="22">
        <f t="shared" si="44"/>
        <v>2021</v>
      </c>
      <c r="G393" s="23" t="str">
        <f t="shared" si="45"/>
        <v>2021-01</v>
      </c>
    </row>
    <row r="394" spans="1:7" x14ac:dyDescent="0.3">
      <c r="A394" s="18">
        <f t="shared" si="41"/>
        <v>20210125</v>
      </c>
      <c r="B394" s="19">
        <v>44221</v>
      </c>
      <c r="C394" s="24" t="str">
        <f t="shared" si="46"/>
        <v>25 January 2021</v>
      </c>
      <c r="D394" s="21">
        <f t="shared" si="42"/>
        <v>1</v>
      </c>
      <c r="E394" s="21" t="str">
        <f t="shared" si="43"/>
        <v>January</v>
      </c>
      <c r="F394" s="22">
        <f t="shared" si="44"/>
        <v>2021</v>
      </c>
      <c r="G394" s="23" t="str">
        <f t="shared" si="45"/>
        <v>2021-01</v>
      </c>
    </row>
    <row r="395" spans="1:7" x14ac:dyDescent="0.3">
      <c r="A395" s="18">
        <f t="shared" si="41"/>
        <v>20210126</v>
      </c>
      <c r="B395" s="19">
        <v>44222</v>
      </c>
      <c r="C395" s="24" t="str">
        <f t="shared" si="46"/>
        <v>26 January 2021</v>
      </c>
      <c r="D395" s="21">
        <f t="shared" si="42"/>
        <v>1</v>
      </c>
      <c r="E395" s="21" t="str">
        <f t="shared" si="43"/>
        <v>January</v>
      </c>
      <c r="F395" s="22">
        <f t="shared" si="44"/>
        <v>2021</v>
      </c>
      <c r="G395" s="23" t="str">
        <f t="shared" si="45"/>
        <v>2021-01</v>
      </c>
    </row>
    <row r="396" spans="1:7" x14ac:dyDescent="0.3">
      <c r="A396" s="18">
        <f t="shared" si="41"/>
        <v>20210127</v>
      </c>
      <c r="B396" s="19">
        <v>44223</v>
      </c>
      <c r="C396" s="24" t="str">
        <f t="shared" si="46"/>
        <v>27 January 2021</v>
      </c>
      <c r="D396" s="21">
        <f t="shared" si="42"/>
        <v>1</v>
      </c>
      <c r="E396" s="21" t="str">
        <f t="shared" si="43"/>
        <v>January</v>
      </c>
      <c r="F396" s="22">
        <f t="shared" si="44"/>
        <v>2021</v>
      </c>
      <c r="G396" s="23" t="str">
        <f t="shared" si="45"/>
        <v>2021-01</v>
      </c>
    </row>
    <row r="397" spans="1:7" x14ac:dyDescent="0.3">
      <c r="A397" s="18">
        <f t="shared" si="41"/>
        <v>20210128</v>
      </c>
      <c r="B397" s="19">
        <v>44224</v>
      </c>
      <c r="C397" s="24" t="str">
        <f t="shared" si="46"/>
        <v>28 January 2021</v>
      </c>
      <c r="D397" s="21">
        <f t="shared" si="42"/>
        <v>1</v>
      </c>
      <c r="E397" s="21" t="str">
        <f t="shared" si="43"/>
        <v>January</v>
      </c>
      <c r="F397" s="22">
        <f t="shared" si="44"/>
        <v>2021</v>
      </c>
      <c r="G397" s="23" t="str">
        <f t="shared" si="45"/>
        <v>2021-01</v>
      </c>
    </row>
    <row r="398" spans="1:7" x14ac:dyDescent="0.3">
      <c r="A398" s="18">
        <f t="shared" si="41"/>
        <v>20210129</v>
      </c>
      <c r="B398" s="19">
        <v>44225</v>
      </c>
      <c r="C398" s="24" t="str">
        <f t="shared" si="46"/>
        <v>29 January 2021</v>
      </c>
      <c r="D398" s="21">
        <f t="shared" si="42"/>
        <v>1</v>
      </c>
      <c r="E398" s="21" t="str">
        <f t="shared" si="43"/>
        <v>January</v>
      </c>
      <c r="F398" s="22">
        <f t="shared" si="44"/>
        <v>2021</v>
      </c>
      <c r="G398" s="23" t="str">
        <f t="shared" si="45"/>
        <v>2021-01</v>
      </c>
    </row>
    <row r="399" spans="1:7" x14ac:dyDescent="0.3">
      <c r="A399" s="18">
        <f t="shared" si="41"/>
        <v>20210130</v>
      </c>
      <c r="B399" s="19">
        <v>44226</v>
      </c>
      <c r="C399" s="24" t="str">
        <f t="shared" si="46"/>
        <v>30 January 2021</v>
      </c>
      <c r="D399" s="21">
        <f t="shared" si="42"/>
        <v>1</v>
      </c>
      <c r="E399" s="21" t="str">
        <f t="shared" si="43"/>
        <v>January</v>
      </c>
      <c r="F399" s="22">
        <f t="shared" si="44"/>
        <v>2021</v>
      </c>
      <c r="G399" s="23" t="str">
        <f t="shared" si="45"/>
        <v>2021-01</v>
      </c>
    </row>
    <row r="400" spans="1:7" x14ac:dyDescent="0.3">
      <c r="A400" s="18">
        <f t="shared" si="41"/>
        <v>20210131</v>
      </c>
      <c r="B400" s="19">
        <v>44227</v>
      </c>
      <c r="C400" s="24" t="str">
        <f t="shared" si="46"/>
        <v>31 January 2021</v>
      </c>
      <c r="D400" s="21">
        <f t="shared" si="42"/>
        <v>1</v>
      </c>
      <c r="E400" s="21" t="str">
        <f t="shared" si="43"/>
        <v>January</v>
      </c>
      <c r="F400" s="22">
        <f t="shared" si="44"/>
        <v>2021</v>
      </c>
      <c r="G400" s="23" t="str">
        <f t="shared" si="45"/>
        <v>2021-01</v>
      </c>
    </row>
    <row r="401" spans="1:7" x14ac:dyDescent="0.3">
      <c r="A401" s="18">
        <f t="shared" si="41"/>
        <v>20210201</v>
      </c>
      <c r="B401" s="19">
        <v>44228</v>
      </c>
      <c r="C401" s="24" t="str">
        <f t="shared" si="46"/>
        <v>01 February 2021</v>
      </c>
      <c r="D401" s="21">
        <f t="shared" si="42"/>
        <v>2</v>
      </c>
      <c r="E401" s="21" t="str">
        <f t="shared" si="43"/>
        <v>February</v>
      </c>
      <c r="F401" s="22">
        <f t="shared" si="44"/>
        <v>2021</v>
      </c>
      <c r="G401" s="23" t="str">
        <f t="shared" si="45"/>
        <v>2021-02</v>
      </c>
    </row>
    <row r="402" spans="1:7" x14ac:dyDescent="0.3">
      <c r="A402" s="18">
        <f t="shared" si="41"/>
        <v>20210202</v>
      </c>
      <c r="B402" s="19">
        <v>44229</v>
      </c>
      <c r="C402" s="24" t="str">
        <f t="shared" si="46"/>
        <v>02 February 2021</v>
      </c>
      <c r="D402" s="21">
        <f t="shared" si="42"/>
        <v>2</v>
      </c>
      <c r="E402" s="21" t="str">
        <f t="shared" si="43"/>
        <v>February</v>
      </c>
      <c r="F402" s="22">
        <f t="shared" si="44"/>
        <v>2021</v>
      </c>
      <c r="G402" s="23" t="str">
        <f t="shared" si="45"/>
        <v>2021-02</v>
      </c>
    </row>
    <row r="403" spans="1:7" x14ac:dyDescent="0.3">
      <c r="A403" s="18">
        <f t="shared" si="41"/>
        <v>20210203</v>
      </c>
      <c r="B403" s="19">
        <v>44230</v>
      </c>
      <c r="C403" s="24" t="str">
        <f t="shared" si="46"/>
        <v>03 February 2021</v>
      </c>
      <c r="D403" s="21">
        <f t="shared" si="42"/>
        <v>2</v>
      </c>
      <c r="E403" s="21" t="str">
        <f t="shared" si="43"/>
        <v>February</v>
      </c>
      <c r="F403" s="22">
        <f t="shared" si="44"/>
        <v>2021</v>
      </c>
      <c r="G403" s="23" t="str">
        <f t="shared" si="45"/>
        <v>2021-02</v>
      </c>
    </row>
    <row r="404" spans="1:7" x14ac:dyDescent="0.3">
      <c r="A404" s="18">
        <f t="shared" si="41"/>
        <v>20210204</v>
      </c>
      <c r="B404" s="19">
        <v>44231</v>
      </c>
      <c r="C404" s="24" t="str">
        <f t="shared" si="46"/>
        <v>04 February 2021</v>
      </c>
      <c r="D404" s="21">
        <f t="shared" si="42"/>
        <v>2</v>
      </c>
      <c r="E404" s="21" t="str">
        <f t="shared" si="43"/>
        <v>February</v>
      </c>
      <c r="F404" s="22">
        <f t="shared" si="44"/>
        <v>2021</v>
      </c>
      <c r="G404" s="23" t="str">
        <f t="shared" si="45"/>
        <v>2021-02</v>
      </c>
    </row>
    <row r="405" spans="1:7" x14ac:dyDescent="0.3">
      <c r="A405" s="18">
        <f t="shared" si="41"/>
        <v>20210205</v>
      </c>
      <c r="B405" s="19">
        <v>44232</v>
      </c>
      <c r="C405" s="24" t="str">
        <f t="shared" si="46"/>
        <v>05 February 2021</v>
      </c>
      <c r="D405" s="21">
        <f t="shared" si="42"/>
        <v>2</v>
      </c>
      <c r="E405" s="21" t="str">
        <f t="shared" si="43"/>
        <v>February</v>
      </c>
      <c r="F405" s="22">
        <f t="shared" si="44"/>
        <v>2021</v>
      </c>
      <c r="G405" s="23" t="str">
        <f t="shared" si="45"/>
        <v>2021-02</v>
      </c>
    </row>
    <row r="406" spans="1:7" x14ac:dyDescent="0.3">
      <c r="A406" s="18">
        <f t="shared" si="41"/>
        <v>20210206</v>
      </c>
      <c r="B406" s="19">
        <v>44233</v>
      </c>
      <c r="C406" s="24" t="str">
        <f t="shared" si="46"/>
        <v>06 February 2021</v>
      </c>
      <c r="D406" s="21">
        <f t="shared" si="42"/>
        <v>2</v>
      </c>
      <c r="E406" s="21" t="str">
        <f t="shared" si="43"/>
        <v>February</v>
      </c>
      <c r="F406" s="22">
        <f t="shared" si="44"/>
        <v>2021</v>
      </c>
      <c r="G406" s="23" t="str">
        <f t="shared" si="45"/>
        <v>2021-02</v>
      </c>
    </row>
    <row r="407" spans="1:7" x14ac:dyDescent="0.3">
      <c r="A407" s="18">
        <f t="shared" si="41"/>
        <v>20210207</v>
      </c>
      <c r="B407" s="19">
        <v>44234</v>
      </c>
      <c r="C407" s="24" t="str">
        <f t="shared" si="46"/>
        <v>07 February 2021</v>
      </c>
      <c r="D407" s="21">
        <f t="shared" si="42"/>
        <v>2</v>
      </c>
      <c r="E407" s="21" t="str">
        <f t="shared" si="43"/>
        <v>February</v>
      </c>
      <c r="F407" s="22">
        <f t="shared" si="44"/>
        <v>2021</v>
      </c>
      <c r="G407" s="23" t="str">
        <f t="shared" si="45"/>
        <v>2021-02</v>
      </c>
    </row>
    <row r="408" spans="1:7" x14ac:dyDescent="0.3">
      <c r="A408" s="18">
        <f t="shared" si="41"/>
        <v>20210208</v>
      </c>
      <c r="B408" s="19">
        <v>44235</v>
      </c>
      <c r="C408" s="24" t="str">
        <f t="shared" si="46"/>
        <v>08 February 2021</v>
      </c>
      <c r="D408" s="21">
        <f t="shared" si="42"/>
        <v>2</v>
      </c>
      <c r="E408" s="21" t="str">
        <f t="shared" si="43"/>
        <v>February</v>
      </c>
      <c r="F408" s="22">
        <f t="shared" si="44"/>
        <v>2021</v>
      </c>
      <c r="G408" s="23" t="str">
        <f t="shared" si="45"/>
        <v>2021-02</v>
      </c>
    </row>
    <row r="409" spans="1:7" x14ac:dyDescent="0.3">
      <c r="A409" s="18">
        <f t="shared" si="41"/>
        <v>20210209</v>
      </c>
      <c r="B409" s="19">
        <v>44236</v>
      </c>
      <c r="C409" s="24" t="str">
        <f t="shared" si="46"/>
        <v>09 February 2021</v>
      </c>
      <c r="D409" s="21">
        <f t="shared" si="42"/>
        <v>2</v>
      </c>
      <c r="E409" s="21" t="str">
        <f t="shared" si="43"/>
        <v>February</v>
      </c>
      <c r="F409" s="22">
        <f t="shared" si="44"/>
        <v>2021</v>
      </c>
      <c r="G409" s="23" t="str">
        <f t="shared" si="45"/>
        <v>2021-02</v>
      </c>
    </row>
    <row r="410" spans="1:7" x14ac:dyDescent="0.3">
      <c r="A410" s="18">
        <f t="shared" si="41"/>
        <v>20210210</v>
      </c>
      <c r="B410" s="19">
        <v>44237</v>
      </c>
      <c r="C410" s="24" t="str">
        <f t="shared" si="46"/>
        <v>10 February 2021</v>
      </c>
      <c r="D410" s="21">
        <f t="shared" si="42"/>
        <v>2</v>
      </c>
      <c r="E410" s="21" t="str">
        <f t="shared" si="43"/>
        <v>February</v>
      </c>
      <c r="F410" s="22">
        <f t="shared" si="44"/>
        <v>2021</v>
      </c>
      <c r="G410" s="23" t="str">
        <f t="shared" si="45"/>
        <v>2021-02</v>
      </c>
    </row>
    <row r="411" spans="1:7" x14ac:dyDescent="0.3">
      <c r="A411" s="18">
        <f t="shared" si="41"/>
        <v>20210211</v>
      </c>
      <c r="B411" s="19">
        <v>44238</v>
      </c>
      <c r="C411" s="24" t="str">
        <f t="shared" si="46"/>
        <v>11 February 2021</v>
      </c>
      <c r="D411" s="21">
        <f t="shared" si="42"/>
        <v>2</v>
      </c>
      <c r="E411" s="21" t="str">
        <f t="shared" si="43"/>
        <v>February</v>
      </c>
      <c r="F411" s="22">
        <f t="shared" si="44"/>
        <v>2021</v>
      </c>
      <c r="G411" s="23" t="str">
        <f t="shared" si="45"/>
        <v>2021-02</v>
      </c>
    </row>
    <row r="412" spans="1:7" x14ac:dyDescent="0.3">
      <c r="A412" s="18">
        <f t="shared" si="41"/>
        <v>20210212</v>
      </c>
      <c r="B412" s="19">
        <v>44239</v>
      </c>
      <c r="C412" s="24" t="str">
        <f t="shared" si="46"/>
        <v>12 February 2021</v>
      </c>
      <c r="D412" s="21">
        <f t="shared" si="42"/>
        <v>2</v>
      </c>
      <c r="E412" s="21" t="str">
        <f t="shared" si="43"/>
        <v>February</v>
      </c>
      <c r="F412" s="22">
        <f t="shared" si="44"/>
        <v>2021</v>
      </c>
      <c r="G412" s="23" t="str">
        <f t="shared" si="45"/>
        <v>2021-02</v>
      </c>
    </row>
    <row r="413" spans="1:7" x14ac:dyDescent="0.3">
      <c r="A413" s="18">
        <f t="shared" si="41"/>
        <v>20210213</v>
      </c>
      <c r="B413" s="19">
        <v>44240</v>
      </c>
      <c r="C413" s="24" t="str">
        <f t="shared" si="46"/>
        <v>13 February 2021</v>
      </c>
      <c r="D413" s="21">
        <f t="shared" si="42"/>
        <v>2</v>
      </c>
      <c r="E413" s="21" t="str">
        <f t="shared" si="43"/>
        <v>February</v>
      </c>
      <c r="F413" s="22">
        <f t="shared" si="44"/>
        <v>2021</v>
      </c>
      <c r="G413" s="23" t="str">
        <f t="shared" si="45"/>
        <v>2021-02</v>
      </c>
    </row>
    <row r="414" spans="1:7" x14ac:dyDescent="0.3">
      <c r="A414" s="18">
        <f t="shared" si="41"/>
        <v>20210214</v>
      </c>
      <c r="B414" s="19">
        <v>44241</v>
      </c>
      <c r="C414" s="24" t="str">
        <f t="shared" si="46"/>
        <v>14 February 2021</v>
      </c>
      <c r="D414" s="21">
        <f t="shared" si="42"/>
        <v>2</v>
      </c>
      <c r="E414" s="21" t="str">
        <f t="shared" si="43"/>
        <v>February</v>
      </c>
      <c r="F414" s="22">
        <f t="shared" si="44"/>
        <v>2021</v>
      </c>
      <c r="G414" s="23" t="str">
        <f t="shared" si="45"/>
        <v>2021-02</v>
      </c>
    </row>
    <row r="415" spans="1:7" x14ac:dyDescent="0.3">
      <c r="A415" s="18">
        <f t="shared" si="41"/>
        <v>20210215</v>
      </c>
      <c r="B415" s="19">
        <v>44242</v>
      </c>
      <c r="C415" s="24" t="str">
        <f t="shared" si="46"/>
        <v>15 February 2021</v>
      </c>
      <c r="D415" s="21">
        <f t="shared" si="42"/>
        <v>2</v>
      </c>
      <c r="E415" s="21" t="str">
        <f t="shared" si="43"/>
        <v>February</v>
      </c>
      <c r="F415" s="22">
        <f t="shared" si="44"/>
        <v>2021</v>
      </c>
      <c r="G415" s="23" t="str">
        <f t="shared" si="45"/>
        <v>2021-02</v>
      </c>
    </row>
    <row r="416" spans="1:7" x14ac:dyDescent="0.3">
      <c r="A416" s="18">
        <f t="shared" si="41"/>
        <v>20210216</v>
      </c>
      <c r="B416" s="19">
        <v>44243</v>
      </c>
      <c r="C416" s="24" t="str">
        <f t="shared" si="46"/>
        <v>16 February 2021</v>
      </c>
      <c r="D416" s="21">
        <f t="shared" si="42"/>
        <v>2</v>
      </c>
      <c r="E416" s="21" t="str">
        <f t="shared" si="43"/>
        <v>February</v>
      </c>
      <c r="F416" s="22">
        <f t="shared" si="44"/>
        <v>2021</v>
      </c>
      <c r="G416" s="23" t="str">
        <f t="shared" si="45"/>
        <v>2021-02</v>
      </c>
    </row>
    <row r="417" spans="1:7" x14ac:dyDescent="0.3">
      <c r="A417" s="18">
        <f t="shared" si="41"/>
        <v>20210217</v>
      </c>
      <c r="B417" s="19">
        <v>44244</v>
      </c>
      <c r="C417" s="24" t="str">
        <f t="shared" si="46"/>
        <v>17 February 2021</v>
      </c>
      <c r="D417" s="21">
        <f t="shared" si="42"/>
        <v>2</v>
      </c>
      <c r="E417" s="21" t="str">
        <f t="shared" si="43"/>
        <v>February</v>
      </c>
      <c r="F417" s="22">
        <f t="shared" si="44"/>
        <v>2021</v>
      </c>
      <c r="G417" s="23" t="str">
        <f t="shared" si="45"/>
        <v>2021-02</v>
      </c>
    </row>
    <row r="418" spans="1:7" x14ac:dyDescent="0.3">
      <c r="A418" s="18">
        <f t="shared" si="41"/>
        <v>20210218</v>
      </c>
      <c r="B418" s="19">
        <v>44245</v>
      </c>
      <c r="C418" s="24" t="str">
        <f t="shared" si="46"/>
        <v>18 February 2021</v>
      </c>
      <c r="D418" s="21">
        <f t="shared" si="42"/>
        <v>2</v>
      </c>
      <c r="E418" s="21" t="str">
        <f t="shared" si="43"/>
        <v>February</v>
      </c>
      <c r="F418" s="22">
        <f t="shared" si="44"/>
        <v>2021</v>
      </c>
      <c r="G418" s="23" t="str">
        <f t="shared" si="45"/>
        <v>2021-02</v>
      </c>
    </row>
    <row r="419" spans="1:7" x14ac:dyDescent="0.3">
      <c r="A419" s="18">
        <f t="shared" si="41"/>
        <v>20210219</v>
      </c>
      <c r="B419" s="19">
        <v>44246</v>
      </c>
      <c r="C419" s="24" t="str">
        <f t="shared" si="46"/>
        <v>19 February 2021</v>
      </c>
      <c r="D419" s="21">
        <f t="shared" si="42"/>
        <v>2</v>
      </c>
      <c r="E419" s="21" t="str">
        <f t="shared" si="43"/>
        <v>February</v>
      </c>
      <c r="F419" s="22">
        <f t="shared" si="44"/>
        <v>2021</v>
      </c>
      <c r="G419" s="23" t="str">
        <f t="shared" si="45"/>
        <v>2021-02</v>
      </c>
    </row>
    <row r="420" spans="1:7" x14ac:dyDescent="0.3">
      <c r="A420" s="18">
        <f t="shared" si="41"/>
        <v>20210220</v>
      </c>
      <c r="B420" s="19">
        <v>44247</v>
      </c>
      <c r="C420" s="24" t="str">
        <f t="shared" si="46"/>
        <v>20 February 2021</v>
      </c>
      <c r="D420" s="21">
        <f t="shared" si="42"/>
        <v>2</v>
      </c>
      <c r="E420" s="21" t="str">
        <f t="shared" si="43"/>
        <v>February</v>
      </c>
      <c r="F420" s="22">
        <f t="shared" si="44"/>
        <v>2021</v>
      </c>
      <c r="G420" s="23" t="str">
        <f t="shared" si="45"/>
        <v>2021-02</v>
      </c>
    </row>
    <row r="421" spans="1:7" x14ac:dyDescent="0.3">
      <c r="A421" s="18">
        <f t="shared" si="41"/>
        <v>20210221</v>
      </c>
      <c r="B421" s="19">
        <v>44248</v>
      </c>
      <c r="C421" s="24" t="str">
        <f t="shared" si="46"/>
        <v>21 February 2021</v>
      </c>
      <c r="D421" s="21">
        <f t="shared" si="42"/>
        <v>2</v>
      </c>
      <c r="E421" s="21" t="str">
        <f t="shared" si="43"/>
        <v>February</v>
      </c>
      <c r="F421" s="22">
        <f t="shared" si="44"/>
        <v>2021</v>
      </c>
      <c r="G421" s="23" t="str">
        <f t="shared" si="45"/>
        <v>2021-02</v>
      </c>
    </row>
    <row r="422" spans="1:7" x14ac:dyDescent="0.3">
      <c r="A422" s="18">
        <f t="shared" si="41"/>
        <v>20210222</v>
      </c>
      <c r="B422" s="19">
        <v>44249</v>
      </c>
      <c r="C422" s="24" t="str">
        <f t="shared" si="46"/>
        <v>22 February 2021</v>
      </c>
      <c r="D422" s="21">
        <f t="shared" si="42"/>
        <v>2</v>
      </c>
      <c r="E422" s="21" t="str">
        <f t="shared" si="43"/>
        <v>February</v>
      </c>
      <c r="F422" s="22">
        <f t="shared" si="44"/>
        <v>2021</v>
      </c>
      <c r="G422" s="23" t="str">
        <f t="shared" si="45"/>
        <v>2021-02</v>
      </c>
    </row>
    <row r="423" spans="1:7" x14ac:dyDescent="0.3">
      <c r="A423" s="18">
        <f t="shared" si="41"/>
        <v>20210223</v>
      </c>
      <c r="B423" s="19">
        <v>44250</v>
      </c>
      <c r="C423" s="24" t="str">
        <f t="shared" si="46"/>
        <v>23 February 2021</v>
      </c>
      <c r="D423" s="21">
        <f t="shared" si="42"/>
        <v>2</v>
      </c>
      <c r="E423" s="21" t="str">
        <f t="shared" si="43"/>
        <v>February</v>
      </c>
      <c r="F423" s="22">
        <f t="shared" si="44"/>
        <v>2021</v>
      </c>
      <c r="G423" s="23" t="str">
        <f t="shared" si="45"/>
        <v>2021-02</v>
      </c>
    </row>
    <row r="424" spans="1:7" x14ac:dyDescent="0.3">
      <c r="A424" s="18">
        <f t="shared" si="41"/>
        <v>20210224</v>
      </c>
      <c r="B424" s="19">
        <v>44251</v>
      </c>
      <c r="C424" s="24" t="str">
        <f t="shared" si="46"/>
        <v>24 February 2021</v>
      </c>
      <c r="D424" s="21">
        <f t="shared" si="42"/>
        <v>2</v>
      </c>
      <c r="E424" s="21" t="str">
        <f t="shared" si="43"/>
        <v>February</v>
      </c>
      <c r="F424" s="22">
        <f t="shared" si="44"/>
        <v>2021</v>
      </c>
      <c r="G424" s="23" t="str">
        <f t="shared" si="45"/>
        <v>2021-02</v>
      </c>
    </row>
    <row r="425" spans="1:7" x14ac:dyDescent="0.3">
      <c r="A425" s="18">
        <f t="shared" si="41"/>
        <v>20210225</v>
      </c>
      <c r="B425" s="19">
        <v>44252</v>
      </c>
      <c r="C425" s="24" t="str">
        <f t="shared" si="46"/>
        <v>25 February 2021</v>
      </c>
      <c r="D425" s="21">
        <f t="shared" si="42"/>
        <v>2</v>
      </c>
      <c r="E425" s="21" t="str">
        <f t="shared" si="43"/>
        <v>February</v>
      </c>
      <c r="F425" s="22">
        <f t="shared" si="44"/>
        <v>2021</v>
      </c>
      <c r="G425" s="23" t="str">
        <f t="shared" si="45"/>
        <v>2021-02</v>
      </c>
    </row>
    <row r="426" spans="1:7" x14ac:dyDescent="0.3">
      <c r="A426" s="18">
        <f t="shared" si="41"/>
        <v>20210226</v>
      </c>
      <c r="B426" s="19">
        <v>44253</v>
      </c>
      <c r="C426" s="24" t="str">
        <f t="shared" si="46"/>
        <v>26 February 2021</v>
      </c>
      <c r="D426" s="21">
        <f t="shared" si="42"/>
        <v>2</v>
      </c>
      <c r="E426" s="21" t="str">
        <f t="shared" si="43"/>
        <v>February</v>
      </c>
      <c r="F426" s="22">
        <f t="shared" si="44"/>
        <v>2021</v>
      </c>
      <c r="G426" s="23" t="str">
        <f t="shared" si="45"/>
        <v>2021-02</v>
      </c>
    </row>
    <row r="427" spans="1:7" x14ac:dyDescent="0.3">
      <c r="A427" s="18">
        <f t="shared" si="41"/>
        <v>20210227</v>
      </c>
      <c r="B427" s="19">
        <v>44254</v>
      </c>
      <c r="C427" s="24" t="str">
        <f t="shared" si="46"/>
        <v>27 February 2021</v>
      </c>
      <c r="D427" s="21">
        <f t="shared" si="42"/>
        <v>2</v>
      </c>
      <c r="E427" s="21" t="str">
        <f t="shared" si="43"/>
        <v>February</v>
      </c>
      <c r="F427" s="22">
        <f t="shared" si="44"/>
        <v>2021</v>
      </c>
      <c r="G427" s="23" t="str">
        <f t="shared" si="45"/>
        <v>2021-02</v>
      </c>
    </row>
    <row r="428" spans="1:7" x14ac:dyDescent="0.3">
      <c r="A428" s="18">
        <f t="shared" si="41"/>
        <v>20210228</v>
      </c>
      <c r="B428" s="19">
        <v>44255</v>
      </c>
      <c r="C428" s="24" t="str">
        <f t="shared" si="46"/>
        <v>28 February 2021</v>
      </c>
      <c r="D428" s="21">
        <f t="shared" si="42"/>
        <v>2</v>
      </c>
      <c r="E428" s="21" t="str">
        <f t="shared" si="43"/>
        <v>February</v>
      </c>
      <c r="F428" s="22">
        <f t="shared" si="44"/>
        <v>2021</v>
      </c>
      <c r="G428" s="23" t="str">
        <f t="shared" si="45"/>
        <v>2021-02</v>
      </c>
    </row>
    <row r="429" spans="1:7" x14ac:dyDescent="0.3">
      <c r="A429" s="18">
        <f t="shared" si="41"/>
        <v>20210301</v>
      </c>
      <c r="B429" s="19">
        <v>44256</v>
      </c>
      <c r="C429" s="24" t="str">
        <f t="shared" si="46"/>
        <v>01 March 2021</v>
      </c>
      <c r="D429" s="21">
        <f t="shared" si="42"/>
        <v>3</v>
      </c>
      <c r="E429" s="21" t="str">
        <f t="shared" si="43"/>
        <v>March</v>
      </c>
      <c r="F429" s="22">
        <f t="shared" si="44"/>
        <v>2021</v>
      </c>
      <c r="G429" s="23" t="str">
        <f t="shared" si="45"/>
        <v>2021-03</v>
      </c>
    </row>
    <row r="430" spans="1:7" x14ac:dyDescent="0.3">
      <c r="A430" s="18">
        <f t="shared" si="41"/>
        <v>20210302</v>
      </c>
      <c r="B430" s="19">
        <v>44257</v>
      </c>
      <c r="C430" s="24" t="str">
        <f t="shared" si="46"/>
        <v>02 March 2021</v>
      </c>
      <c r="D430" s="21">
        <f t="shared" si="42"/>
        <v>3</v>
      </c>
      <c r="E430" s="21" t="str">
        <f t="shared" si="43"/>
        <v>March</v>
      </c>
      <c r="F430" s="22">
        <f t="shared" si="44"/>
        <v>2021</v>
      </c>
      <c r="G430" s="23" t="str">
        <f t="shared" si="45"/>
        <v>2021-03</v>
      </c>
    </row>
    <row r="431" spans="1:7" x14ac:dyDescent="0.3">
      <c r="A431" s="18">
        <f t="shared" si="41"/>
        <v>20210303</v>
      </c>
      <c r="B431" s="19">
        <v>44258</v>
      </c>
      <c r="C431" s="24" t="str">
        <f t="shared" si="46"/>
        <v>03 March 2021</v>
      </c>
      <c r="D431" s="21">
        <f t="shared" si="42"/>
        <v>3</v>
      </c>
      <c r="E431" s="21" t="str">
        <f t="shared" si="43"/>
        <v>March</v>
      </c>
      <c r="F431" s="22">
        <f t="shared" si="44"/>
        <v>2021</v>
      </c>
      <c r="G431" s="23" t="str">
        <f t="shared" si="45"/>
        <v>2021-03</v>
      </c>
    </row>
    <row r="432" spans="1:7" x14ac:dyDescent="0.3">
      <c r="A432" s="18">
        <f t="shared" si="41"/>
        <v>20210304</v>
      </c>
      <c r="B432" s="19">
        <v>44259</v>
      </c>
      <c r="C432" s="24" t="str">
        <f t="shared" si="46"/>
        <v>04 March 2021</v>
      </c>
      <c r="D432" s="21">
        <f t="shared" si="42"/>
        <v>3</v>
      </c>
      <c r="E432" s="21" t="str">
        <f t="shared" si="43"/>
        <v>March</v>
      </c>
      <c r="F432" s="22">
        <f t="shared" si="44"/>
        <v>2021</v>
      </c>
      <c r="G432" s="23" t="str">
        <f t="shared" si="45"/>
        <v>2021-03</v>
      </c>
    </row>
    <row r="433" spans="1:7" x14ac:dyDescent="0.3">
      <c r="A433" s="18">
        <f t="shared" si="41"/>
        <v>20210305</v>
      </c>
      <c r="B433" s="19">
        <v>44260</v>
      </c>
      <c r="C433" s="24" t="str">
        <f t="shared" si="46"/>
        <v>05 March 2021</v>
      </c>
      <c r="D433" s="21">
        <f t="shared" si="42"/>
        <v>3</v>
      </c>
      <c r="E433" s="21" t="str">
        <f t="shared" si="43"/>
        <v>March</v>
      </c>
      <c r="F433" s="22">
        <f t="shared" si="44"/>
        <v>2021</v>
      </c>
      <c r="G433" s="23" t="str">
        <f t="shared" si="45"/>
        <v>2021-03</v>
      </c>
    </row>
    <row r="434" spans="1:7" x14ac:dyDescent="0.3">
      <c r="A434" s="18">
        <f t="shared" si="41"/>
        <v>20210306</v>
      </c>
      <c r="B434" s="19">
        <v>44261</v>
      </c>
      <c r="C434" s="24" t="str">
        <f t="shared" si="46"/>
        <v>06 March 2021</v>
      </c>
      <c r="D434" s="21">
        <f t="shared" si="42"/>
        <v>3</v>
      </c>
      <c r="E434" s="21" t="str">
        <f t="shared" si="43"/>
        <v>March</v>
      </c>
      <c r="F434" s="22">
        <f t="shared" si="44"/>
        <v>2021</v>
      </c>
      <c r="G434" s="23" t="str">
        <f t="shared" si="45"/>
        <v>2021-03</v>
      </c>
    </row>
    <row r="435" spans="1:7" x14ac:dyDescent="0.3">
      <c r="A435" s="18">
        <f t="shared" si="41"/>
        <v>20210307</v>
      </c>
      <c r="B435" s="19">
        <v>44262</v>
      </c>
      <c r="C435" s="24" t="str">
        <f t="shared" si="46"/>
        <v>07 March 2021</v>
      </c>
      <c r="D435" s="21">
        <f t="shared" si="42"/>
        <v>3</v>
      </c>
      <c r="E435" s="21" t="str">
        <f t="shared" si="43"/>
        <v>March</v>
      </c>
      <c r="F435" s="22">
        <f t="shared" si="44"/>
        <v>2021</v>
      </c>
      <c r="G435" s="23" t="str">
        <f t="shared" si="45"/>
        <v>2021-03</v>
      </c>
    </row>
    <row r="436" spans="1:7" x14ac:dyDescent="0.3">
      <c r="A436" s="18">
        <f t="shared" si="41"/>
        <v>20210308</v>
      </c>
      <c r="B436" s="19">
        <v>44263</v>
      </c>
      <c r="C436" s="24" t="str">
        <f t="shared" si="46"/>
        <v>08 March 2021</v>
      </c>
      <c r="D436" s="21">
        <f t="shared" si="42"/>
        <v>3</v>
      </c>
      <c r="E436" s="21" t="str">
        <f t="shared" si="43"/>
        <v>March</v>
      </c>
      <c r="F436" s="22">
        <f t="shared" si="44"/>
        <v>2021</v>
      </c>
      <c r="G436" s="23" t="str">
        <f t="shared" si="45"/>
        <v>2021-03</v>
      </c>
    </row>
    <row r="437" spans="1:7" x14ac:dyDescent="0.3">
      <c r="A437" s="18">
        <f t="shared" si="41"/>
        <v>20210309</v>
      </c>
      <c r="B437" s="19">
        <v>44264</v>
      </c>
      <c r="C437" s="24" t="str">
        <f t="shared" si="46"/>
        <v>09 March 2021</v>
      </c>
      <c r="D437" s="21">
        <f t="shared" si="42"/>
        <v>3</v>
      </c>
      <c r="E437" s="21" t="str">
        <f t="shared" si="43"/>
        <v>March</v>
      </c>
      <c r="F437" s="22">
        <f t="shared" si="44"/>
        <v>2021</v>
      </c>
      <c r="G437" s="23" t="str">
        <f t="shared" si="45"/>
        <v>2021-03</v>
      </c>
    </row>
    <row r="438" spans="1:7" x14ac:dyDescent="0.3">
      <c r="A438" s="18">
        <f t="shared" si="41"/>
        <v>20210310</v>
      </c>
      <c r="B438" s="19">
        <v>44265</v>
      </c>
      <c r="C438" s="24" t="str">
        <f t="shared" si="46"/>
        <v>10 March 2021</v>
      </c>
      <c r="D438" s="21">
        <f t="shared" si="42"/>
        <v>3</v>
      </c>
      <c r="E438" s="21" t="str">
        <f t="shared" si="43"/>
        <v>March</v>
      </c>
      <c r="F438" s="22">
        <f t="shared" si="44"/>
        <v>2021</v>
      </c>
      <c r="G438" s="23" t="str">
        <f t="shared" si="45"/>
        <v>2021-03</v>
      </c>
    </row>
    <row r="439" spans="1:7" x14ac:dyDescent="0.3">
      <c r="A439" s="18">
        <f t="shared" si="41"/>
        <v>20210311</v>
      </c>
      <c r="B439" s="19">
        <v>44266</v>
      </c>
      <c r="C439" s="24" t="str">
        <f t="shared" si="46"/>
        <v>11 March 2021</v>
      </c>
      <c r="D439" s="21">
        <f t="shared" si="42"/>
        <v>3</v>
      </c>
      <c r="E439" s="21" t="str">
        <f t="shared" si="43"/>
        <v>March</v>
      </c>
      <c r="F439" s="22">
        <f t="shared" si="44"/>
        <v>2021</v>
      </c>
      <c r="G439" s="23" t="str">
        <f t="shared" si="45"/>
        <v>2021-03</v>
      </c>
    </row>
    <row r="440" spans="1:7" x14ac:dyDescent="0.3">
      <c r="A440" s="18">
        <f t="shared" si="41"/>
        <v>20210312</v>
      </c>
      <c r="B440" s="19">
        <v>44267</v>
      </c>
      <c r="C440" s="24" t="str">
        <f t="shared" si="46"/>
        <v>12 March 2021</v>
      </c>
      <c r="D440" s="21">
        <f t="shared" si="42"/>
        <v>3</v>
      </c>
      <c r="E440" s="21" t="str">
        <f t="shared" si="43"/>
        <v>March</v>
      </c>
      <c r="F440" s="22">
        <f t="shared" si="44"/>
        <v>2021</v>
      </c>
      <c r="G440" s="23" t="str">
        <f t="shared" si="45"/>
        <v>2021-03</v>
      </c>
    </row>
    <row r="441" spans="1:7" x14ac:dyDescent="0.3">
      <c r="A441" s="18">
        <f t="shared" si="41"/>
        <v>20210313</v>
      </c>
      <c r="B441" s="19">
        <v>44268</v>
      </c>
      <c r="C441" s="24" t="str">
        <f t="shared" si="46"/>
        <v>13 March 2021</v>
      </c>
      <c r="D441" s="21">
        <f t="shared" si="42"/>
        <v>3</v>
      </c>
      <c r="E441" s="21" t="str">
        <f t="shared" si="43"/>
        <v>March</v>
      </c>
      <c r="F441" s="22">
        <f t="shared" si="44"/>
        <v>2021</v>
      </c>
      <c r="G441" s="23" t="str">
        <f t="shared" si="45"/>
        <v>2021-03</v>
      </c>
    </row>
    <row r="442" spans="1:7" x14ac:dyDescent="0.3">
      <c r="A442" s="18">
        <f t="shared" si="41"/>
        <v>20210314</v>
      </c>
      <c r="B442" s="19">
        <v>44269</v>
      </c>
      <c r="C442" s="24" t="str">
        <f t="shared" si="46"/>
        <v>14 March 2021</v>
      </c>
      <c r="D442" s="21">
        <f t="shared" si="42"/>
        <v>3</v>
      </c>
      <c r="E442" s="21" t="str">
        <f t="shared" si="43"/>
        <v>March</v>
      </c>
      <c r="F442" s="22">
        <f t="shared" si="44"/>
        <v>2021</v>
      </c>
      <c r="G442" s="23" t="str">
        <f t="shared" si="45"/>
        <v>2021-03</v>
      </c>
    </row>
    <row r="443" spans="1:7" x14ac:dyDescent="0.3">
      <c r="A443" s="18">
        <f t="shared" si="41"/>
        <v>20210315</v>
      </c>
      <c r="B443" s="19">
        <v>44270</v>
      </c>
      <c r="C443" s="24" t="str">
        <f t="shared" si="46"/>
        <v>15 March 2021</v>
      </c>
      <c r="D443" s="21">
        <f t="shared" si="42"/>
        <v>3</v>
      </c>
      <c r="E443" s="21" t="str">
        <f t="shared" si="43"/>
        <v>March</v>
      </c>
      <c r="F443" s="22">
        <f t="shared" si="44"/>
        <v>2021</v>
      </c>
      <c r="G443" s="23" t="str">
        <f t="shared" si="45"/>
        <v>2021-03</v>
      </c>
    </row>
    <row r="444" spans="1:7" x14ac:dyDescent="0.3">
      <c r="A444" s="18">
        <f t="shared" si="41"/>
        <v>20210316</v>
      </c>
      <c r="B444" s="19">
        <v>44271</v>
      </c>
      <c r="C444" s="24" t="str">
        <f t="shared" si="46"/>
        <v>16 March 2021</v>
      </c>
      <c r="D444" s="21">
        <f t="shared" si="42"/>
        <v>3</v>
      </c>
      <c r="E444" s="21" t="str">
        <f t="shared" si="43"/>
        <v>March</v>
      </c>
      <c r="F444" s="22">
        <f t="shared" si="44"/>
        <v>2021</v>
      </c>
      <c r="G444" s="23" t="str">
        <f t="shared" si="45"/>
        <v>2021-03</v>
      </c>
    </row>
    <row r="445" spans="1:7" x14ac:dyDescent="0.3">
      <c r="A445" s="18">
        <f t="shared" si="41"/>
        <v>20210317</v>
      </c>
      <c r="B445" s="19">
        <v>44272</v>
      </c>
      <c r="C445" s="24" t="str">
        <f t="shared" si="46"/>
        <v>17 March 2021</v>
      </c>
      <c r="D445" s="21">
        <f t="shared" si="42"/>
        <v>3</v>
      </c>
      <c r="E445" s="21" t="str">
        <f t="shared" si="43"/>
        <v>March</v>
      </c>
      <c r="F445" s="22">
        <f t="shared" si="44"/>
        <v>2021</v>
      </c>
      <c r="G445" s="23" t="str">
        <f t="shared" si="45"/>
        <v>2021-03</v>
      </c>
    </row>
    <row r="446" spans="1:7" x14ac:dyDescent="0.3">
      <c r="A446" s="18">
        <f t="shared" ref="A446:A509" si="47">YEAR(B446)*10000+MONTH(B446)*100+DAY(B446)</f>
        <v>20210318</v>
      </c>
      <c r="B446" s="19">
        <v>44273</v>
      </c>
      <c r="C446" s="24" t="str">
        <f t="shared" si="46"/>
        <v>18 March 2021</v>
      </c>
      <c r="D446" s="21">
        <f t="shared" ref="D446:D509" si="48">MONTH(B446)</f>
        <v>3</v>
      </c>
      <c r="E446" s="21" t="str">
        <f t="shared" ref="E446:E509" si="49">TEXT(B446,"MMMM")</f>
        <v>March</v>
      </c>
      <c r="F446" s="22">
        <f t="shared" ref="F446:F509" si="50">YEAR(B446)</f>
        <v>2021</v>
      </c>
      <c r="G446" s="23" t="str">
        <f t="shared" ref="G446:G509" si="51">TEXT(B446,"YYYY-MM")</f>
        <v>2021-03</v>
      </c>
    </row>
    <row r="447" spans="1:7" x14ac:dyDescent="0.3">
      <c r="A447" s="18">
        <f t="shared" si="47"/>
        <v>20210319</v>
      </c>
      <c r="B447" s="19">
        <v>44274</v>
      </c>
      <c r="C447" s="24" t="str">
        <f t="shared" ref="C447:C510" si="52">TEXT(B447,"dd MMMM YYYY")</f>
        <v>19 March 2021</v>
      </c>
      <c r="D447" s="21">
        <f t="shared" si="48"/>
        <v>3</v>
      </c>
      <c r="E447" s="21" t="str">
        <f t="shared" si="49"/>
        <v>March</v>
      </c>
      <c r="F447" s="22">
        <f t="shared" si="50"/>
        <v>2021</v>
      </c>
      <c r="G447" s="23" t="str">
        <f t="shared" si="51"/>
        <v>2021-03</v>
      </c>
    </row>
    <row r="448" spans="1:7" x14ac:dyDescent="0.3">
      <c r="A448" s="18">
        <f t="shared" si="47"/>
        <v>20210320</v>
      </c>
      <c r="B448" s="19">
        <v>44275</v>
      </c>
      <c r="C448" s="24" t="str">
        <f t="shared" si="52"/>
        <v>20 March 2021</v>
      </c>
      <c r="D448" s="21">
        <f t="shared" si="48"/>
        <v>3</v>
      </c>
      <c r="E448" s="21" t="str">
        <f t="shared" si="49"/>
        <v>March</v>
      </c>
      <c r="F448" s="22">
        <f t="shared" si="50"/>
        <v>2021</v>
      </c>
      <c r="G448" s="23" t="str">
        <f t="shared" si="51"/>
        <v>2021-03</v>
      </c>
    </row>
    <row r="449" spans="1:7" x14ac:dyDescent="0.3">
      <c r="A449" s="18">
        <f t="shared" si="47"/>
        <v>20210321</v>
      </c>
      <c r="B449" s="19">
        <v>44276</v>
      </c>
      <c r="C449" s="24" t="str">
        <f t="shared" si="52"/>
        <v>21 March 2021</v>
      </c>
      <c r="D449" s="21">
        <f t="shared" si="48"/>
        <v>3</v>
      </c>
      <c r="E449" s="21" t="str">
        <f t="shared" si="49"/>
        <v>March</v>
      </c>
      <c r="F449" s="22">
        <f t="shared" si="50"/>
        <v>2021</v>
      </c>
      <c r="G449" s="23" t="str">
        <f t="shared" si="51"/>
        <v>2021-03</v>
      </c>
    </row>
    <row r="450" spans="1:7" x14ac:dyDescent="0.3">
      <c r="A450" s="18">
        <f t="shared" si="47"/>
        <v>20210322</v>
      </c>
      <c r="B450" s="19">
        <v>44277</v>
      </c>
      <c r="C450" s="24" t="str">
        <f t="shared" si="52"/>
        <v>22 March 2021</v>
      </c>
      <c r="D450" s="21">
        <f t="shared" si="48"/>
        <v>3</v>
      </c>
      <c r="E450" s="21" t="str">
        <f t="shared" si="49"/>
        <v>March</v>
      </c>
      <c r="F450" s="22">
        <f t="shared" si="50"/>
        <v>2021</v>
      </c>
      <c r="G450" s="23" t="str">
        <f t="shared" si="51"/>
        <v>2021-03</v>
      </c>
    </row>
    <row r="451" spans="1:7" x14ac:dyDescent="0.3">
      <c r="A451" s="18">
        <f t="shared" si="47"/>
        <v>20210323</v>
      </c>
      <c r="B451" s="19">
        <v>44278</v>
      </c>
      <c r="C451" s="24" t="str">
        <f t="shared" si="52"/>
        <v>23 March 2021</v>
      </c>
      <c r="D451" s="21">
        <f t="shared" si="48"/>
        <v>3</v>
      </c>
      <c r="E451" s="21" t="str">
        <f t="shared" si="49"/>
        <v>March</v>
      </c>
      <c r="F451" s="22">
        <f t="shared" si="50"/>
        <v>2021</v>
      </c>
      <c r="G451" s="23" t="str">
        <f t="shared" si="51"/>
        <v>2021-03</v>
      </c>
    </row>
    <row r="452" spans="1:7" x14ac:dyDescent="0.3">
      <c r="A452" s="18">
        <f t="shared" si="47"/>
        <v>20210324</v>
      </c>
      <c r="B452" s="19">
        <v>44279</v>
      </c>
      <c r="C452" s="24" t="str">
        <f t="shared" si="52"/>
        <v>24 March 2021</v>
      </c>
      <c r="D452" s="21">
        <f t="shared" si="48"/>
        <v>3</v>
      </c>
      <c r="E452" s="21" t="str">
        <f t="shared" si="49"/>
        <v>March</v>
      </c>
      <c r="F452" s="22">
        <f t="shared" si="50"/>
        <v>2021</v>
      </c>
      <c r="G452" s="23" t="str">
        <f t="shared" si="51"/>
        <v>2021-03</v>
      </c>
    </row>
    <row r="453" spans="1:7" x14ac:dyDescent="0.3">
      <c r="A453" s="18">
        <f t="shared" si="47"/>
        <v>20210325</v>
      </c>
      <c r="B453" s="19">
        <v>44280</v>
      </c>
      <c r="C453" s="24" t="str">
        <f t="shared" si="52"/>
        <v>25 March 2021</v>
      </c>
      <c r="D453" s="21">
        <f t="shared" si="48"/>
        <v>3</v>
      </c>
      <c r="E453" s="21" t="str">
        <f t="shared" si="49"/>
        <v>March</v>
      </c>
      <c r="F453" s="22">
        <f t="shared" si="50"/>
        <v>2021</v>
      </c>
      <c r="G453" s="23" t="str">
        <f t="shared" si="51"/>
        <v>2021-03</v>
      </c>
    </row>
    <row r="454" spans="1:7" x14ac:dyDescent="0.3">
      <c r="A454" s="18">
        <f t="shared" si="47"/>
        <v>20210326</v>
      </c>
      <c r="B454" s="19">
        <v>44281</v>
      </c>
      <c r="C454" s="24" t="str">
        <f t="shared" si="52"/>
        <v>26 March 2021</v>
      </c>
      <c r="D454" s="21">
        <f t="shared" si="48"/>
        <v>3</v>
      </c>
      <c r="E454" s="21" t="str">
        <f t="shared" si="49"/>
        <v>March</v>
      </c>
      <c r="F454" s="22">
        <f t="shared" si="50"/>
        <v>2021</v>
      </c>
      <c r="G454" s="23" t="str">
        <f t="shared" si="51"/>
        <v>2021-03</v>
      </c>
    </row>
    <row r="455" spans="1:7" x14ac:dyDescent="0.3">
      <c r="A455" s="18">
        <f t="shared" si="47"/>
        <v>20210327</v>
      </c>
      <c r="B455" s="19">
        <v>44282</v>
      </c>
      <c r="C455" s="24" t="str">
        <f t="shared" si="52"/>
        <v>27 March 2021</v>
      </c>
      <c r="D455" s="21">
        <f t="shared" si="48"/>
        <v>3</v>
      </c>
      <c r="E455" s="21" t="str">
        <f t="shared" si="49"/>
        <v>March</v>
      </c>
      <c r="F455" s="22">
        <f t="shared" si="50"/>
        <v>2021</v>
      </c>
      <c r="G455" s="23" t="str">
        <f t="shared" si="51"/>
        <v>2021-03</v>
      </c>
    </row>
    <row r="456" spans="1:7" x14ac:dyDescent="0.3">
      <c r="A456" s="18">
        <f t="shared" si="47"/>
        <v>20210328</v>
      </c>
      <c r="B456" s="19">
        <v>44283</v>
      </c>
      <c r="C456" s="24" t="str">
        <f t="shared" si="52"/>
        <v>28 March 2021</v>
      </c>
      <c r="D456" s="21">
        <f t="shared" si="48"/>
        <v>3</v>
      </c>
      <c r="E456" s="21" t="str">
        <f t="shared" si="49"/>
        <v>March</v>
      </c>
      <c r="F456" s="22">
        <f t="shared" si="50"/>
        <v>2021</v>
      </c>
      <c r="G456" s="23" t="str">
        <f t="shared" si="51"/>
        <v>2021-03</v>
      </c>
    </row>
    <row r="457" spans="1:7" x14ac:dyDescent="0.3">
      <c r="A457" s="18">
        <f t="shared" si="47"/>
        <v>20210329</v>
      </c>
      <c r="B457" s="19">
        <v>44284</v>
      </c>
      <c r="C457" s="24" t="str">
        <f t="shared" si="52"/>
        <v>29 March 2021</v>
      </c>
      <c r="D457" s="21">
        <f t="shared" si="48"/>
        <v>3</v>
      </c>
      <c r="E457" s="21" t="str">
        <f t="shared" si="49"/>
        <v>March</v>
      </c>
      <c r="F457" s="22">
        <f t="shared" si="50"/>
        <v>2021</v>
      </c>
      <c r="G457" s="23" t="str">
        <f t="shared" si="51"/>
        <v>2021-03</v>
      </c>
    </row>
    <row r="458" spans="1:7" x14ac:dyDescent="0.3">
      <c r="A458" s="18">
        <f t="shared" si="47"/>
        <v>20210330</v>
      </c>
      <c r="B458" s="19">
        <v>44285</v>
      </c>
      <c r="C458" s="24" t="str">
        <f t="shared" si="52"/>
        <v>30 March 2021</v>
      </c>
      <c r="D458" s="21">
        <f t="shared" si="48"/>
        <v>3</v>
      </c>
      <c r="E458" s="21" t="str">
        <f t="shared" si="49"/>
        <v>March</v>
      </c>
      <c r="F458" s="22">
        <f t="shared" si="50"/>
        <v>2021</v>
      </c>
      <c r="G458" s="23" t="str">
        <f t="shared" si="51"/>
        <v>2021-03</v>
      </c>
    </row>
    <row r="459" spans="1:7" x14ac:dyDescent="0.3">
      <c r="A459" s="18">
        <f t="shared" si="47"/>
        <v>20210331</v>
      </c>
      <c r="B459" s="19">
        <v>44286</v>
      </c>
      <c r="C459" s="24" t="str">
        <f t="shared" si="52"/>
        <v>31 March 2021</v>
      </c>
      <c r="D459" s="21">
        <f t="shared" si="48"/>
        <v>3</v>
      </c>
      <c r="E459" s="21" t="str">
        <f t="shared" si="49"/>
        <v>March</v>
      </c>
      <c r="F459" s="22">
        <f t="shared" si="50"/>
        <v>2021</v>
      </c>
      <c r="G459" s="23" t="str">
        <f t="shared" si="51"/>
        <v>2021-03</v>
      </c>
    </row>
    <row r="460" spans="1:7" x14ac:dyDescent="0.3">
      <c r="A460" s="18">
        <f t="shared" si="47"/>
        <v>20210401</v>
      </c>
      <c r="B460" s="19">
        <v>44287</v>
      </c>
      <c r="C460" s="24" t="str">
        <f t="shared" si="52"/>
        <v>01 April 2021</v>
      </c>
      <c r="D460" s="21">
        <f t="shared" si="48"/>
        <v>4</v>
      </c>
      <c r="E460" s="21" t="str">
        <f t="shared" si="49"/>
        <v>April</v>
      </c>
      <c r="F460" s="22">
        <f t="shared" si="50"/>
        <v>2021</v>
      </c>
      <c r="G460" s="23" t="str">
        <f t="shared" si="51"/>
        <v>2021-04</v>
      </c>
    </row>
    <row r="461" spans="1:7" x14ac:dyDescent="0.3">
      <c r="A461" s="18">
        <f t="shared" si="47"/>
        <v>20210402</v>
      </c>
      <c r="B461" s="19">
        <v>44288</v>
      </c>
      <c r="C461" s="24" t="str">
        <f t="shared" si="52"/>
        <v>02 April 2021</v>
      </c>
      <c r="D461" s="21">
        <f t="shared" si="48"/>
        <v>4</v>
      </c>
      <c r="E461" s="21" t="str">
        <f t="shared" si="49"/>
        <v>April</v>
      </c>
      <c r="F461" s="22">
        <f t="shared" si="50"/>
        <v>2021</v>
      </c>
      <c r="G461" s="23" t="str">
        <f t="shared" si="51"/>
        <v>2021-04</v>
      </c>
    </row>
    <row r="462" spans="1:7" x14ac:dyDescent="0.3">
      <c r="A462" s="18">
        <f t="shared" si="47"/>
        <v>20210403</v>
      </c>
      <c r="B462" s="19">
        <v>44289</v>
      </c>
      <c r="C462" s="24" t="str">
        <f t="shared" si="52"/>
        <v>03 April 2021</v>
      </c>
      <c r="D462" s="21">
        <f t="shared" si="48"/>
        <v>4</v>
      </c>
      <c r="E462" s="21" t="str">
        <f t="shared" si="49"/>
        <v>April</v>
      </c>
      <c r="F462" s="22">
        <f t="shared" si="50"/>
        <v>2021</v>
      </c>
      <c r="G462" s="23" t="str">
        <f t="shared" si="51"/>
        <v>2021-04</v>
      </c>
    </row>
    <row r="463" spans="1:7" x14ac:dyDescent="0.3">
      <c r="A463" s="18">
        <f t="shared" si="47"/>
        <v>20210404</v>
      </c>
      <c r="B463" s="19">
        <v>44290</v>
      </c>
      <c r="C463" s="24" t="str">
        <f t="shared" si="52"/>
        <v>04 April 2021</v>
      </c>
      <c r="D463" s="21">
        <f t="shared" si="48"/>
        <v>4</v>
      </c>
      <c r="E463" s="21" t="str">
        <f t="shared" si="49"/>
        <v>April</v>
      </c>
      <c r="F463" s="22">
        <f t="shared" si="50"/>
        <v>2021</v>
      </c>
      <c r="G463" s="23" t="str">
        <f t="shared" si="51"/>
        <v>2021-04</v>
      </c>
    </row>
    <row r="464" spans="1:7" x14ac:dyDescent="0.3">
      <c r="A464" s="18">
        <f t="shared" si="47"/>
        <v>20210405</v>
      </c>
      <c r="B464" s="19">
        <v>44291</v>
      </c>
      <c r="C464" s="24" t="str">
        <f t="shared" si="52"/>
        <v>05 April 2021</v>
      </c>
      <c r="D464" s="21">
        <f t="shared" si="48"/>
        <v>4</v>
      </c>
      <c r="E464" s="21" t="str">
        <f t="shared" si="49"/>
        <v>April</v>
      </c>
      <c r="F464" s="22">
        <f t="shared" si="50"/>
        <v>2021</v>
      </c>
      <c r="G464" s="23" t="str">
        <f t="shared" si="51"/>
        <v>2021-04</v>
      </c>
    </row>
    <row r="465" spans="1:7" x14ac:dyDescent="0.3">
      <c r="A465" s="18">
        <f t="shared" si="47"/>
        <v>20210406</v>
      </c>
      <c r="B465" s="19">
        <v>44292</v>
      </c>
      <c r="C465" s="24" t="str">
        <f t="shared" si="52"/>
        <v>06 April 2021</v>
      </c>
      <c r="D465" s="21">
        <f t="shared" si="48"/>
        <v>4</v>
      </c>
      <c r="E465" s="21" t="str">
        <f t="shared" si="49"/>
        <v>April</v>
      </c>
      <c r="F465" s="22">
        <f t="shared" si="50"/>
        <v>2021</v>
      </c>
      <c r="G465" s="23" t="str">
        <f t="shared" si="51"/>
        <v>2021-04</v>
      </c>
    </row>
    <row r="466" spans="1:7" x14ac:dyDescent="0.3">
      <c r="A466" s="18">
        <f t="shared" si="47"/>
        <v>20210407</v>
      </c>
      <c r="B466" s="19">
        <v>44293</v>
      </c>
      <c r="C466" s="24" t="str">
        <f t="shared" si="52"/>
        <v>07 April 2021</v>
      </c>
      <c r="D466" s="21">
        <f t="shared" si="48"/>
        <v>4</v>
      </c>
      <c r="E466" s="21" t="str">
        <f t="shared" si="49"/>
        <v>April</v>
      </c>
      <c r="F466" s="22">
        <f t="shared" si="50"/>
        <v>2021</v>
      </c>
      <c r="G466" s="23" t="str">
        <f t="shared" si="51"/>
        <v>2021-04</v>
      </c>
    </row>
    <row r="467" spans="1:7" x14ac:dyDescent="0.3">
      <c r="A467" s="18">
        <f t="shared" si="47"/>
        <v>20210408</v>
      </c>
      <c r="B467" s="19">
        <v>44294</v>
      </c>
      <c r="C467" s="24" t="str">
        <f t="shared" si="52"/>
        <v>08 April 2021</v>
      </c>
      <c r="D467" s="21">
        <f t="shared" si="48"/>
        <v>4</v>
      </c>
      <c r="E467" s="21" t="str">
        <f t="shared" si="49"/>
        <v>April</v>
      </c>
      <c r="F467" s="22">
        <f t="shared" si="50"/>
        <v>2021</v>
      </c>
      <c r="G467" s="23" t="str">
        <f t="shared" si="51"/>
        <v>2021-04</v>
      </c>
    </row>
    <row r="468" spans="1:7" x14ac:dyDescent="0.3">
      <c r="A468" s="18">
        <f t="shared" si="47"/>
        <v>20210409</v>
      </c>
      <c r="B468" s="19">
        <v>44295</v>
      </c>
      <c r="C468" s="24" t="str">
        <f t="shared" si="52"/>
        <v>09 April 2021</v>
      </c>
      <c r="D468" s="21">
        <f t="shared" si="48"/>
        <v>4</v>
      </c>
      <c r="E468" s="21" t="str">
        <f t="shared" si="49"/>
        <v>April</v>
      </c>
      <c r="F468" s="22">
        <f t="shared" si="50"/>
        <v>2021</v>
      </c>
      <c r="G468" s="23" t="str">
        <f t="shared" si="51"/>
        <v>2021-04</v>
      </c>
    </row>
    <row r="469" spans="1:7" x14ac:dyDescent="0.3">
      <c r="A469" s="18">
        <f t="shared" si="47"/>
        <v>20210410</v>
      </c>
      <c r="B469" s="19">
        <v>44296</v>
      </c>
      <c r="C469" s="24" t="str">
        <f t="shared" si="52"/>
        <v>10 April 2021</v>
      </c>
      <c r="D469" s="21">
        <f t="shared" si="48"/>
        <v>4</v>
      </c>
      <c r="E469" s="21" t="str">
        <f t="shared" si="49"/>
        <v>April</v>
      </c>
      <c r="F469" s="22">
        <f t="shared" si="50"/>
        <v>2021</v>
      </c>
      <c r="G469" s="23" t="str">
        <f t="shared" si="51"/>
        <v>2021-04</v>
      </c>
    </row>
    <row r="470" spans="1:7" x14ac:dyDescent="0.3">
      <c r="A470" s="18">
        <f t="shared" si="47"/>
        <v>20210411</v>
      </c>
      <c r="B470" s="19">
        <v>44297</v>
      </c>
      <c r="C470" s="24" t="str">
        <f t="shared" si="52"/>
        <v>11 April 2021</v>
      </c>
      <c r="D470" s="21">
        <f t="shared" si="48"/>
        <v>4</v>
      </c>
      <c r="E470" s="21" t="str">
        <f t="shared" si="49"/>
        <v>April</v>
      </c>
      <c r="F470" s="22">
        <f t="shared" si="50"/>
        <v>2021</v>
      </c>
      <c r="G470" s="23" t="str">
        <f t="shared" si="51"/>
        <v>2021-04</v>
      </c>
    </row>
    <row r="471" spans="1:7" x14ac:dyDescent="0.3">
      <c r="A471" s="18">
        <f t="shared" si="47"/>
        <v>20210412</v>
      </c>
      <c r="B471" s="19">
        <v>44298</v>
      </c>
      <c r="C471" s="24" t="str">
        <f t="shared" si="52"/>
        <v>12 April 2021</v>
      </c>
      <c r="D471" s="21">
        <f t="shared" si="48"/>
        <v>4</v>
      </c>
      <c r="E471" s="21" t="str">
        <f t="shared" si="49"/>
        <v>April</v>
      </c>
      <c r="F471" s="22">
        <f t="shared" si="50"/>
        <v>2021</v>
      </c>
      <c r="G471" s="23" t="str">
        <f t="shared" si="51"/>
        <v>2021-04</v>
      </c>
    </row>
    <row r="472" spans="1:7" x14ac:dyDescent="0.3">
      <c r="A472" s="18">
        <f t="shared" si="47"/>
        <v>20210413</v>
      </c>
      <c r="B472" s="19">
        <v>44299</v>
      </c>
      <c r="C472" s="24" t="str">
        <f t="shared" si="52"/>
        <v>13 April 2021</v>
      </c>
      <c r="D472" s="21">
        <f t="shared" si="48"/>
        <v>4</v>
      </c>
      <c r="E472" s="21" t="str">
        <f t="shared" si="49"/>
        <v>April</v>
      </c>
      <c r="F472" s="22">
        <f t="shared" si="50"/>
        <v>2021</v>
      </c>
      <c r="G472" s="23" t="str">
        <f t="shared" si="51"/>
        <v>2021-04</v>
      </c>
    </row>
    <row r="473" spans="1:7" x14ac:dyDescent="0.3">
      <c r="A473" s="18">
        <f t="shared" si="47"/>
        <v>20210414</v>
      </c>
      <c r="B473" s="19">
        <v>44300</v>
      </c>
      <c r="C473" s="24" t="str">
        <f t="shared" si="52"/>
        <v>14 April 2021</v>
      </c>
      <c r="D473" s="21">
        <f t="shared" si="48"/>
        <v>4</v>
      </c>
      <c r="E473" s="21" t="str">
        <f t="shared" si="49"/>
        <v>April</v>
      </c>
      <c r="F473" s="22">
        <f t="shared" si="50"/>
        <v>2021</v>
      </c>
      <c r="G473" s="23" t="str">
        <f t="shared" si="51"/>
        <v>2021-04</v>
      </c>
    </row>
    <row r="474" spans="1:7" x14ac:dyDescent="0.3">
      <c r="A474" s="18">
        <f t="shared" si="47"/>
        <v>20210415</v>
      </c>
      <c r="B474" s="19">
        <v>44301</v>
      </c>
      <c r="C474" s="24" t="str">
        <f t="shared" si="52"/>
        <v>15 April 2021</v>
      </c>
      <c r="D474" s="21">
        <f t="shared" si="48"/>
        <v>4</v>
      </c>
      <c r="E474" s="21" t="str">
        <f t="shared" si="49"/>
        <v>April</v>
      </c>
      <c r="F474" s="22">
        <f t="shared" si="50"/>
        <v>2021</v>
      </c>
      <c r="G474" s="23" t="str">
        <f t="shared" si="51"/>
        <v>2021-04</v>
      </c>
    </row>
    <row r="475" spans="1:7" x14ac:dyDescent="0.3">
      <c r="A475" s="18">
        <f t="shared" si="47"/>
        <v>20210416</v>
      </c>
      <c r="B475" s="19">
        <v>44302</v>
      </c>
      <c r="C475" s="24" t="str">
        <f t="shared" si="52"/>
        <v>16 April 2021</v>
      </c>
      <c r="D475" s="21">
        <f t="shared" si="48"/>
        <v>4</v>
      </c>
      <c r="E475" s="21" t="str">
        <f t="shared" si="49"/>
        <v>April</v>
      </c>
      <c r="F475" s="22">
        <f t="shared" si="50"/>
        <v>2021</v>
      </c>
      <c r="G475" s="23" t="str">
        <f t="shared" si="51"/>
        <v>2021-04</v>
      </c>
    </row>
    <row r="476" spans="1:7" x14ac:dyDescent="0.3">
      <c r="A476" s="18">
        <f t="shared" si="47"/>
        <v>20210417</v>
      </c>
      <c r="B476" s="19">
        <v>44303</v>
      </c>
      <c r="C476" s="24" t="str">
        <f t="shared" si="52"/>
        <v>17 April 2021</v>
      </c>
      <c r="D476" s="21">
        <f t="shared" si="48"/>
        <v>4</v>
      </c>
      <c r="E476" s="21" t="str">
        <f t="shared" si="49"/>
        <v>April</v>
      </c>
      <c r="F476" s="22">
        <f t="shared" si="50"/>
        <v>2021</v>
      </c>
      <c r="G476" s="23" t="str">
        <f t="shared" si="51"/>
        <v>2021-04</v>
      </c>
    </row>
    <row r="477" spans="1:7" x14ac:dyDescent="0.3">
      <c r="A477" s="18">
        <f t="shared" si="47"/>
        <v>20210418</v>
      </c>
      <c r="B477" s="19">
        <v>44304</v>
      </c>
      <c r="C477" s="24" t="str">
        <f t="shared" si="52"/>
        <v>18 April 2021</v>
      </c>
      <c r="D477" s="21">
        <f t="shared" si="48"/>
        <v>4</v>
      </c>
      <c r="E477" s="21" t="str">
        <f t="shared" si="49"/>
        <v>April</v>
      </c>
      <c r="F477" s="22">
        <f t="shared" si="50"/>
        <v>2021</v>
      </c>
      <c r="G477" s="23" t="str">
        <f t="shared" si="51"/>
        <v>2021-04</v>
      </c>
    </row>
    <row r="478" spans="1:7" x14ac:dyDescent="0.3">
      <c r="A478" s="18">
        <f t="shared" si="47"/>
        <v>20210419</v>
      </c>
      <c r="B478" s="19">
        <v>44305</v>
      </c>
      <c r="C478" s="24" t="str">
        <f t="shared" si="52"/>
        <v>19 April 2021</v>
      </c>
      <c r="D478" s="21">
        <f t="shared" si="48"/>
        <v>4</v>
      </c>
      <c r="E478" s="21" t="str">
        <f t="shared" si="49"/>
        <v>April</v>
      </c>
      <c r="F478" s="22">
        <f t="shared" si="50"/>
        <v>2021</v>
      </c>
      <c r="G478" s="23" t="str">
        <f t="shared" si="51"/>
        <v>2021-04</v>
      </c>
    </row>
    <row r="479" spans="1:7" x14ac:dyDescent="0.3">
      <c r="A479" s="18">
        <f t="shared" si="47"/>
        <v>20210420</v>
      </c>
      <c r="B479" s="19">
        <v>44306</v>
      </c>
      <c r="C479" s="24" t="str">
        <f t="shared" si="52"/>
        <v>20 April 2021</v>
      </c>
      <c r="D479" s="21">
        <f t="shared" si="48"/>
        <v>4</v>
      </c>
      <c r="E479" s="21" t="str">
        <f t="shared" si="49"/>
        <v>April</v>
      </c>
      <c r="F479" s="22">
        <f t="shared" si="50"/>
        <v>2021</v>
      </c>
      <c r="G479" s="23" t="str">
        <f t="shared" si="51"/>
        <v>2021-04</v>
      </c>
    </row>
    <row r="480" spans="1:7" x14ac:dyDescent="0.3">
      <c r="A480" s="18">
        <f t="shared" si="47"/>
        <v>20210421</v>
      </c>
      <c r="B480" s="19">
        <v>44307</v>
      </c>
      <c r="C480" s="24" t="str">
        <f t="shared" si="52"/>
        <v>21 April 2021</v>
      </c>
      <c r="D480" s="21">
        <f t="shared" si="48"/>
        <v>4</v>
      </c>
      <c r="E480" s="21" t="str">
        <f t="shared" si="49"/>
        <v>April</v>
      </c>
      <c r="F480" s="22">
        <f t="shared" si="50"/>
        <v>2021</v>
      </c>
      <c r="G480" s="23" t="str">
        <f t="shared" si="51"/>
        <v>2021-04</v>
      </c>
    </row>
    <row r="481" spans="1:7" x14ac:dyDescent="0.3">
      <c r="A481" s="18">
        <f t="shared" si="47"/>
        <v>20210422</v>
      </c>
      <c r="B481" s="19">
        <v>44308</v>
      </c>
      <c r="C481" s="24" t="str">
        <f t="shared" si="52"/>
        <v>22 April 2021</v>
      </c>
      <c r="D481" s="21">
        <f t="shared" si="48"/>
        <v>4</v>
      </c>
      <c r="E481" s="21" t="str">
        <f t="shared" si="49"/>
        <v>April</v>
      </c>
      <c r="F481" s="22">
        <f t="shared" si="50"/>
        <v>2021</v>
      </c>
      <c r="G481" s="23" t="str">
        <f t="shared" si="51"/>
        <v>2021-04</v>
      </c>
    </row>
    <row r="482" spans="1:7" x14ac:dyDescent="0.3">
      <c r="A482" s="18">
        <f t="shared" si="47"/>
        <v>20210423</v>
      </c>
      <c r="B482" s="19">
        <v>44309</v>
      </c>
      <c r="C482" s="24" t="str">
        <f t="shared" si="52"/>
        <v>23 April 2021</v>
      </c>
      <c r="D482" s="21">
        <f t="shared" si="48"/>
        <v>4</v>
      </c>
      <c r="E482" s="21" t="str">
        <f t="shared" si="49"/>
        <v>April</v>
      </c>
      <c r="F482" s="22">
        <f t="shared" si="50"/>
        <v>2021</v>
      </c>
      <c r="G482" s="23" t="str">
        <f t="shared" si="51"/>
        <v>2021-04</v>
      </c>
    </row>
    <row r="483" spans="1:7" x14ac:dyDescent="0.3">
      <c r="A483" s="18">
        <f t="shared" si="47"/>
        <v>20210424</v>
      </c>
      <c r="B483" s="19">
        <v>44310</v>
      </c>
      <c r="C483" s="24" t="str">
        <f t="shared" si="52"/>
        <v>24 April 2021</v>
      </c>
      <c r="D483" s="21">
        <f t="shared" si="48"/>
        <v>4</v>
      </c>
      <c r="E483" s="21" t="str">
        <f t="shared" si="49"/>
        <v>April</v>
      </c>
      <c r="F483" s="22">
        <f t="shared" si="50"/>
        <v>2021</v>
      </c>
      <c r="G483" s="23" t="str">
        <f t="shared" si="51"/>
        <v>2021-04</v>
      </c>
    </row>
    <row r="484" spans="1:7" x14ac:dyDescent="0.3">
      <c r="A484" s="18">
        <f t="shared" si="47"/>
        <v>20210425</v>
      </c>
      <c r="B484" s="19">
        <v>44311</v>
      </c>
      <c r="C484" s="24" t="str">
        <f t="shared" si="52"/>
        <v>25 April 2021</v>
      </c>
      <c r="D484" s="21">
        <f t="shared" si="48"/>
        <v>4</v>
      </c>
      <c r="E484" s="21" t="str">
        <f t="shared" si="49"/>
        <v>April</v>
      </c>
      <c r="F484" s="22">
        <f t="shared" si="50"/>
        <v>2021</v>
      </c>
      <c r="G484" s="23" t="str">
        <f t="shared" si="51"/>
        <v>2021-04</v>
      </c>
    </row>
    <row r="485" spans="1:7" x14ac:dyDescent="0.3">
      <c r="A485" s="18">
        <f t="shared" si="47"/>
        <v>20210426</v>
      </c>
      <c r="B485" s="19">
        <v>44312</v>
      </c>
      <c r="C485" s="24" t="str">
        <f t="shared" si="52"/>
        <v>26 April 2021</v>
      </c>
      <c r="D485" s="21">
        <f t="shared" si="48"/>
        <v>4</v>
      </c>
      <c r="E485" s="21" t="str">
        <f t="shared" si="49"/>
        <v>April</v>
      </c>
      <c r="F485" s="22">
        <f t="shared" si="50"/>
        <v>2021</v>
      </c>
      <c r="G485" s="23" t="str">
        <f t="shared" si="51"/>
        <v>2021-04</v>
      </c>
    </row>
    <row r="486" spans="1:7" x14ac:dyDescent="0.3">
      <c r="A486" s="18">
        <f t="shared" si="47"/>
        <v>20210427</v>
      </c>
      <c r="B486" s="19">
        <v>44313</v>
      </c>
      <c r="C486" s="24" t="str">
        <f t="shared" si="52"/>
        <v>27 April 2021</v>
      </c>
      <c r="D486" s="21">
        <f t="shared" si="48"/>
        <v>4</v>
      </c>
      <c r="E486" s="21" t="str">
        <f t="shared" si="49"/>
        <v>April</v>
      </c>
      <c r="F486" s="22">
        <f t="shared" si="50"/>
        <v>2021</v>
      </c>
      <c r="G486" s="23" t="str">
        <f t="shared" si="51"/>
        <v>2021-04</v>
      </c>
    </row>
    <row r="487" spans="1:7" x14ac:dyDescent="0.3">
      <c r="A487" s="18">
        <f t="shared" si="47"/>
        <v>20210428</v>
      </c>
      <c r="B487" s="19">
        <v>44314</v>
      </c>
      <c r="C487" s="24" t="str">
        <f t="shared" si="52"/>
        <v>28 April 2021</v>
      </c>
      <c r="D487" s="21">
        <f t="shared" si="48"/>
        <v>4</v>
      </c>
      <c r="E487" s="21" t="str">
        <f t="shared" si="49"/>
        <v>April</v>
      </c>
      <c r="F487" s="22">
        <f t="shared" si="50"/>
        <v>2021</v>
      </c>
      <c r="G487" s="23" t="str">
        <f t="shared" si="51"/>
        <v>2021-04</v>
      </c>
    </row>
    <row r="488" spans="1:7" x14ac:dyDescent="0.3">
      <c r="A488" s="18">
        <f t="shared" si="47"/>
        <v>20210429</v>
      </c>
      <c r="B488" s="19">
        <v>44315</v>
      </c>
      <c r="C488" s="24" t="str">
        <f t="shared" si="52"/>
        <v>29 April 2021</v>
      </c>
      <c r="D488" s="21">
        <f t="shared" si="48"/>
        <v>4</v>
      </c>
      <c r="E488" s="21" t="str">
        <f t="shared" si="49"/>
        <v>April</v>
      </c>
      <c r="F488" s="22">
        <f t="shared" si="50"/>
        <v>2021</v>
      </c>
      <c r="G488" s="23" t="str">
        <f t="shared" si="51"/>
        <v>2021-04</v>
      </c>
    </row>
    <row r="489" spans="1:7" x14ac:dyDescent="0.3">
      <c r="A489" s="18">
        <f t="shared" si="47"/>
        <v>20210430</v>
      </c>
      <c r="B489" s="19">
        <v>44316</v>
      </c>
      <c r="C489" s="24" t="str">
        <f t="shared" si="52"/>
        <v>30 April 2021</v>
      </c>
      <c r="D489" s="21">
        <f t="shared" si="48"/>
        <v>4</v>
      </c>
      <c r="E489" s="21" t="str">
        <f t="shared" si="49"/>
        <v>April</v>
      </c>
      <c r="F489" s="22">
        <f t="shared" si="50"/>
        <v>2021</v>
      </c>
      <c r="G489" s="23" t="str">
        <f t="shared" si="51"/>
        <v>2021-04</v>
      </c>
    </row>
    <row r="490" spans="1:7" x14ac:dyDescent="0.3">
      <c r="A490" s="18">
        <f t="shared" si="47"/>
        <v>20210501</v>
      </c>
      <c r="B490" s="19">
        <v>44317</v>
      </c>
      <c r="C490" s="24" t="str">
        <f t="shared" si="52"/>
        <v>01 May 2021</v>
      </c>
      <c r="D490" s="21">
        <f t="shared" si="48"/>
        <v>5</v>
      </c>
      <c r="E490" s="21" t="str">
        <f t="shared" si="49"/>
        <v>May</v>
      </c>
      <c r="F490" s="22">
        <f t="shared" si="50"/>
        <v>2021</v>
      </c>
      <c r="G490" s="23" t="str">
        <f t="shared" si="51"/>
        <v>2021-05</v>
      </c>
    </row>
    <row r="491" spans="1:7" x14ac:dyDescent="0.3">
      <c r="A491" s="18">
        <f t="shared" si="47"/>
        <v>20210502</v>
      </c>
      <c r="B491" s="19">
        <v>44318</v>
      </c>
      <c r="C491" s="24" t="str">
        <f t="shared" si="52"/>
        <v>02 May 2021</v>
      </c>
      <c r="D491" s="21">
        <f t="shared" si="48"/>
        <v>5</v>
      </c>
      <c r="E491" s="21" t="str">
        <f t="shared" si="49"/>
        <v>May</v>
      </c>
      <c r="F491" s="22">
        <f t="shared" si="50"/>
        <v>2021</v>
      </c>
      <c r="G491" s="23" t="str">
        <f t="shared" si="51"/>
        <v>2021-05</v>
      </c>
    </row>
    <row r="492" spans="1:7" x14ac:dyDescent="0.3">
      <c r="A492" s="18">
        <f t="shared" si="47"/>
        <v>20210503</v>
      </c>
      <c r="B492" s="19">
        <v>44319</v>
      </c>
      <c r="C492" s="24" t="str">
        <f t="shared" si="52"/>
        <v>03 May 2021</v>
      </c>
      <c r="D492" s="21">
        <f t="shared" si="48"/>
        <v>5</v>
      </c>
      <c r="E492" s="21" t="str">
        <f t="shared" si="49"/>
        <v>May</v>
      </c>
      <c r="F492" s="22">
        <f t="shared" si="50"/>
        <v>2021</v>
      </c>
      <c r="G492" s="23" t="str">
        <f t="shared" si="51"/>
        <v>2021-05</v>
      </c>
    </row>
    <row r="493" spans="1:7" x14ac:dyDescent="0.3">
      <c r="A493" s="18">
        <f t="shared" si="47"/>
        <v>20210504</v>
      </c>
      <c r="B493" s="19">
        <v>44320</v>
      </c>
      <c r="C493" s="24" t="str">
        <f t="shared" si="52"/>
        <v>04 May 2021</v>
      </c>
      <c r="D493" s="21">
        <f t="shared" si="48"/>
        <v>5</v>
      </c>
      <c r="E493" s="21" t="str">
        <f t="shared" si="49"/>
        <v>May</v>
      </c>
      <c r="F493" s="22">
        <f t="shared" si="50"/>
        <v>2021</v>
      </c>
      <c r="G493" s="23" t="str">
        <f t="shared" si="51"/>
        <v>2021-05</v>
      </c>
    </row>
    <row r="494" spans="1:7" x14ac:dyDescent="0.3">
      <c r="A494" s="18">
        <f t="shared" si="47"/>
        <v>20210505</v>
      </c>
      <c r="B494" s="19">
        <v>44321</v>
      </c>
      <c r="C494" s="24" t="str">
        <f t="shared" si="52"/>
        <v>05 May 2021</v>
      </c>
      <c r="D494" s="21">
        <f t="shared" si="48"/>
        <v>5</v>
      </c>
      <c r="E494" s="21" t="str">
        <f t="shared" si="49"/>
        <v>May</v>
      </c>
      <c r="F494" s="22">
        <f t="shared" si="50"/>
        <v>2021</v>
      </c>
      <c r="G494" s="23" t="str">
        <f t="shared" si="51"/>
        <v>2021-05</v>
      </c>
    </row>
    <row r="495" spans="1:7" x14ac:dyDescent="0.3">
      <c r="A495" s="18">
        <f t="shared" si="47"/>
        <v>20210506</v>
      </c>
      <c r="B495" s="19">
        <v>44322</v>
      </c>
      <c r="C495" s="24" t="str">
        <f t="shared" si="52"/>
        <v>06 May 2021</v>
      </c>
      <c r="D495" s="21">
        <f t="shared" si="48"/>
        <v>5</v>
      </c>
      <c r="E495" s="21" t="str">
        <f t="shared" si="49"/>
        <v>May</v>
      </c>
      <c r="F495" s="22">
        <f t="shared" si="50"/>
        <v>2021</v>
      </c>
      <c r="G495" s="23" t="str">
        <f t="shared" si="51"/>
        <v>2021-05</v>
      </c>
    </row>
    <row r="496" spans="1:7" x14ac:dyDescent="0.3">
      <c r="A496" s="18">
        <f t="shared" si="47"/>
        <v>20210507</v>
      </c>
      <c r="B496" s="19">
        <v>44323</v>
      </c>
      <c r="C496" s="24" t="str">
        <f t="shared" si="52"/>
        <v>07 May 2021</v>
      </c>
      <c r="D496" s="21">
        <f t="shared" si="48"/>
        <v>5</v>
      </c>
      <c r="E496" s="21" t="str">
        <f t="shared" si="49"/>
        <v>May</v>
      </c>
      <c r="F496" s="22">
        <f t="shared" si="50"/>
        <v>2021</v>
      </c>
      <c r="G496" s="23" t="str">
        <f t="shared" si="51"/>
        <v>2021-05</v>
      </c>
    </row>
    <row r="497" spans="1:7" x14ac:dyDescent="0.3">
      <c r="A497" s="18">
        <f t="shared" si="47"/>
        <v>20210508</v>
      </c>
      <c r="B497" s="19">
        <v>44324</v>
      </c>
      <c r="C497" s="24" t="str">
        <f t="shared" si="52"/>
        <v>08 May 2021</v>
      </c>
      <c r="D497" s="21">
        <f t="shared" si="48"/>
        <v>5</v>
      </c>
      <c r="E497" s="21" t="str">
        <f t="shared" si="49"/>
        <v>May</v>
      </c>
      <c r="F497" s="22">
        <f t="shared" si="50"/>
        <v>2021</v>
      </c>
      <c r="G497" s="23" t="str">
        <f t="shared" si="51"/>
        <v>2021-05</v>
      </c>
    </row>
    <row r="498" spans="1:7" x14ac:dyDescent="0.3">
      <c r="A498" s="18">
        <f t="shared" si="47"/>
        <v>20210509</v>
      </c>
      <c r="B498" s="19">
        <v>44325</v>
      </c>
      <c r="C498" s="24" t="str">
        <f t="shared" si="52"/>
        <v>09 May 2021</v>
      </c>
      <c r="D498" s="21">
        <f t="shared" si="48"/>
        <v>5</v>
      </c>
      <c r="E498" s="21" t="str">
        <f t="shared" si="49"/>
        <v>May</v>
      </c>
      <c r="F498" s="22">
        <f t="shared" si="50"/>
        <v>2021</v>
      </c>
      <c r="G498" s="23" t="str">
        <f t="shared" si="51"/>
        <v>2021-05</v>
      </c>
    </row>
    <row r="499" spans="1:7" x14ac:dyDescent="0.3">
      <c r="A499" s="18">
        <f t="shared" si="47"/>
        <v>20210510</v>
      </c>
      <c r="B499" s="19">
        <v>44326</v>
      </c>
      <c r="C499" s="24" t="str">
        <f t="shared" si="52"/>
        <v>10 May 2021</v>
      </c>
      <c r="D499" s="21">
        <f t="shared" si="48"/>
        <v>5</v>
      </c>
      <c r="E499" s="21" t="str">
        <f t="shared" si="49"/>
        <v>May</v>
      </c>
      <c r="F499" s="22">
        <f t="shared" si="50"/>
        <v>2021</v>
      </c>
      <c r="G499" s="23" t="str">
        <f t="shared" si="51"/>
        <v>2021-05</v>
      </c>
    </row>
    <row r="500" spans="1:7" x14ac:dyDescent="0.3">
      <c r="A500" s="18">
        <f t="shared" si="47"/>
        <v>20210511</v>
      </c>
      <c r="B500" s="19">
        <v>44327</v>
      </c>
      <c r="C500" s="24" t="str">
        <f t="shared" si="52"/>
        <v>11 May 2021</v>
      </c>
      <c r="D500" s="21">
        <f t="shared" si="48"/>
        <v>5</v>
      </c>
      <c r="E500" s="21" t="str">
        <f t="shared" si="49"/>
        <v>May</v>
      </c>
      <c r="F500" s="22">
        <f t="shared" si="50"/>
        <v>2021</v>
      </c>
      <c r="G500" s="23" t="str">
        <f t="shared" si="51"/>
        <v>2021-05</v>
      </c>
    </row>
    <row r="501" spans="1:7" x14ac:dyDescent="0.3">
      <c r="A501" s="18">
        <f t="shared" si="47"/>
        <v>20210512</v>
      </c>
      <c r="B501" s="19">
        <v>44328</v>
      </c>
      <c r="C501" s="24" t="str">
        <f t="shared" si="52"/>
        <v>12 May 2021</v>
      </c>
      <c r="D501" s="21">
        <f t="shared" si="48"/>
        <v>5</v>
      </c>
      <c r="E501" s="21" t="str">
        <f t="shared" si="49"/>
        <v>May</v>
      </c>
      <c r="F501" s="22">
        <f t="shared" si="50"/>
        <v>2021</v>
      </c>
      <c r="G501" s="23" t="str">
        <f t="shared" si="51"/>
        <v>2021-05</v>
      </c>
    </row>
    <row r="502" spans="1:7" x14ac:dyDescent="0.3">
      <c r="A502" s="18">
        <f t="shared" si="47"/>
        <v>20210513</v>
      </c>
      <c r="B502" s="19">
        <v>44329</v>
      </c>
      <c r="C502" s="24" t="str">
        <f t="shared" si="52"/>
        <v>13 May 2021</v>
      </c>
      <c r="D502" s="21">
        <f t="shared" si="48"/>
        <v>5</v>
      </c>
      <c r="E502" s="21" t="str">
        <f t="shared" si="49"/>
        <v>May</v>
      </c>
      <c r="F502" s="22">
        <f t="shared" si="50"/>
        <v>2021</v>
      </c>
      <c r="G502" s="23" t="str">
        <f t="shared" si="51"/>
        <v>2021-05</v>
      </c>
    </row>
    <row r="503" spans="1:7" x14ac:dyDescent="0.3">
      <c r="A503" s="18">
        <f t="shared" si="47"/>
        <v>20210514</v>
      </c>
      <c r="B503" s="19">
        <v>44330</v>
      </c>
      <c r="C503" s="24" t="str">
        <f t="shared" si="52"/>
        <v>14 May 2021</v>
      </c>
      <c r="D503" s="21">
        <f t="shared" si="48"/>
        <v>5</v>
      </c>
      <c r="E503" s="21" t="str">
        <f t="shared" si="49"/>
        <v>May</v>
      </c>
      <c r="F503" s="22">
        <f t="shared" si="50"/>
        <v>2021</v>
      </c>
      <c r="G503" s="23" t="str">
        <f t="shared" si="51"/>
        <v>2021-05</v>
      </c>
    </row>
    <row r="504" spans="1:7" x14ac:dyDescent="0.3">
      <c r="A504" s="18">
        <f t="shared" si="47"/>
        <v>20210515</v>
      </c>
      <c r="B504" s="19">
        <v>44331</v>
      </c>
      <c r="C504" s="24" t="str">
        <f t="shared" si="52"/>
        <v>15 May 2021</v>
      </c>
      <c r="D504" s="21">
        <f t="shared" si="48"/>
        <v>5</v>
      </c>
      <c r="E504" s="21" t="str">
        <f t="shared" si="49"/>
        <v>May</v>
      </c>
      <c r="F504" s="22">
        <f t="shared" si="50"/>
        <v>2021</v>
      </c>
      <c r="G504" s="23" t="str">
        <f t="shared" si="51"/>
        <v>2021-05</v>
      </c>
    </row>
    <row r="505" spans="1:7" x14ac:dyDescent="0.3">
      <c r="A505" s="18">
        <f t="shared" si="47"/>
        <v>20210516</v>
      </c>
      <c r="B505" s="19">
        <v>44332</v>
      </c>
      <c r="C505" s="24" t="str">
        <f t="shared" si="52"/>
        <v>16 May 2021</v>
      </c>
      <c r="D505" s="21">
        <f t="shared" si="48"/>
        <v>5</v>
      </c>
      <c r="E505" s="21" t="str">
        <f t="shared" si="49"/>
        <v>May</v>
      </c>
      <c r="F505" s="22">
        <f t="shared" si="50"/>
        <v>2021</v>
      </c>
      <c r="G505" s="23" t="str">
        <f t="shared" si="51"/>
        <v>2021-05</v>
      </c>
    </row>
    <row r="506" spans="1:7" x14ac:dyDescent="0.3">
      <c r="A506" s="18">
        <f t="shared" si="47"/>
        <v>20210517</v>
      </c>
      <c r="B506" s="19">
        <v>44333</v>
      </c>
      <c r="C506" s="24" t="str">
        <f t="shared" si="52"/>
        <v>17 May 2021</v>
      </c>
      <c r="D506" s="21">
        <f t="shared" si="48"/>
        <v>5</v>
      </c>
      <c r="E506" s="21" t="str">
        <f t="shared" si="49"/>
        <v>May</v>
      </c>
      <c r="F506" s="22">
        <f t="shared" si="50"/>
        <v>2021</v>
      </c>
      <c r="G506" s="23" t="str">
        <f t="shared" si="51"/>
        <v>2021-05</v>
      </c>
    </row>
    <row r="507" spans="1:7" x14ac:dyDescent="0.3">
      <c r="A507" s="18">
        <f t="shared" si="47"/>
        <v>20210518</v>
      </c>
      <c r="B507" s="19">
        <v>44334</v>
      </c>
      <c r="C507" s="24" t="str">
        <f t="shared" si="52"/>
        <v>18 May 2021</v>
      </c>
      <c r="D507" s="21">
        <f t="shared" si="48"/>
        <v>5</v>
      </c>
      <c r="E507" s="21" t="str">
        <f t="shared" si="49"/>
        <v>May</v>
      </c>
      <c r="F507" s="22">
        <f t="shared" si="50"/>
        <v>2021</v>
      </c>
      <c r="G507" s="23" t="str">
        <f t="shared" si="51"/>
        <v>2021-05</v>
      </c>
    </row>
    <row r="508" spans="1:7" x14ac:dyDescent="0.3">
      <c r="A508" s="18">
        <f t="shared" si="47"/>
        <v>20210519</v>
      </c>
      <c r="B508" s="19">
        <v>44335</v>
      </c>
      <c r="C508" s="24" t="str">
        <f t="shared" si="52"/>
        <v>19 May 2021</v>
      </c>
      <c r="D508" s="21">
        <f t="shared" si="48"/>
        <v>5</v>
      </c>
      <c r="E508" s="21" t="str">
        <f t="shared" si="49"/>
        <v>May</v>
      </c>
      <c r="F508" s="22">
        <f t="shared" si="50"/>
        <v>2021</v>
      </c>
      <c r="G508" s="23" t="str">
        <f t="shared" si="51"/>
        <v>2021-05</v>
      </c>
    </row>
    <row r="509" spans="1:7" x14ac:dyDescent="0.3">
      <c r="A509" s="18">
        <f t="shared" si="47"/>
        <v>20210520</v>
      </c>
      <c r="B509" s="19">
        <v>44336</v>
      </c>
      <c r="C509" s="24" t="str">
        <f t="shared" si="52"/>
        <v>20 May 2021</v>
      </c>
      <c r="D509" s="21">
        <f t="shared" si="48"/>
        <v>5</v>
      </c>
      <c r="E509" s="21" t="str">
        <f t="shared" si="49"/>
        <v>May</v>
      </c>
      <c r="F509" s="22">
        <f t="shared" si="50"/>
        <v>2021</v>
      </c>
      <c r="G509" s="23" t="str">
        <f t="shared" si="51"/>
        <v>2021-05</v>
      </c>
    </row>
    <row r="510" spans="1:7" x14ac:dyDescent="0.3">
      <c r="A510" s="18">
        <f t="shared" ref="A510:A573" si="53">YEAR(B510)*10000+MONTH(B510)*100+DAY(B510)</f>
        <v>20210521</v>
      </c>
      <c r="B510" s="19">
        <v>44337</v>
      </c>
      <c r="C510" s="24" t="str">
        <f t="shared" si="52"/>
        <v>21 May 2021</v>
      </c>
      <c r="D510" s="21">
        <f t="shared" ref="D510:D573" si="54">MONTH(B510)</f>
        <v>5</v>
      </c>
      <c r="E510" s="21" t="str">
        <f t="shared" ref="E510:E573" si="55">TEXT(B510,"MMMM")</f>
        <v>May</v>
      </c>
      <c r="F510" s="22">
        <f t="shared" ref="F510:F573" si="56">YEAR(B510)</f>
        <v>2021</v>
      </c>
      <c r="G510" s="23" t="str">
        <f t="shared" ref="G510:G573" si="57">TEXT(B510,"YYYY-MM")</f>
        <v>2021-05</v>
      </c>
    </row>
    <row r="511" spans="1:7" x14ac:dyDescent="0.3">
      <c r="A511" s="18">
        <f t="shared" si="53"/>
        <v>20210522</v>
      </c>
      <c r="B511" s="19">
        <v>44338</v>
      </c>
      <c r="C511" s="24" t="str">
        <f t="shared" ref="C511:C574" si="58">TEXT(B511,"dd MMMM YYYY")</f>
        <v>22 May 2021</v>
      </c>
      <c r="D511" s="21">
        <f t="shared" si="54"/>
        <v>5</v>
      </c>
      <c r="E511" s="21" t="str">
        <f t="shared" si="55"/>
        <v>May</v>
      </c>
      <c r="F511" s="22">
        <f t="shared" si="56"/>
        <v>2021</v>
      </c>
      <c r="G511" s="23" t="str">
        <f t="shared" si="57"/>
        <v>2021-05</v>
      </c>
    </row>
    <row r="512" spans="1:7" x14ac:dyDescent="0.3">
      <c r="A512" s="18">
        <f t="shared" si="53"/>
        <v>20210523</v>
      </c>
      <c r="B512" s="19">
        <v>44339</v>
      </c>
      <c r="C512" s="24" t="str">
        <f t="shared" si="58"/>
        <v>23 May 2021</v>
      </c>
      <c r="D512" s="21">
        <f t="shared" si="54"/>
        <v>5</v>
      </c>
      <c r="E512" s="21" t="str">
        <f t="shared" si="55"/>
        <v>May</v>
      </c>
      <c r="F512" s="22">
        <f t="shared" si="56"/>
        <v>2021</v>
      </c>
      <c r="G512" s="23" t="str">
        <f t="shared" si="57"/>
        <v>2021-05</v>
      </c>
    </row>
    <row r="513" spans="1:7" x14ac:dyDescent="0.3">
      <c r="A513" s="18">
        <f t="shared" si="53"/>
        <v>20210524</v>
      </c>
      <c r="B513" s="19">
        <v>44340</v>
      </c>
      <c r="C513" s="24" t="str">
        <f t="shared" si="58"/>
        <v>24 May 2021</v>
      </c>
      <c r="D513" s="21">
        <f t="shared" si="54"/>
        <v>5</v>
      </c>
      <c r="E513" s="21" t="str">
        <f t="shared" si="55"/>
        <v>May</v>
      </c>
      <c r="F513" s="22">
        <f t="shared" si="56"/>
        <v>2021</v>
      </c>
      <c r="G513" s="23" t="str">
        <f t="shared" si="57"/>
        <v>2021-05</v>
      </c>
    </row>
    <row r="514" spans="1:7" x14ac:dyDescent="0.3">
      <c r="A514" s="18">
        <f t="shared" si="53"/>
        <v>20210525</v>
      </c>
      <c r="B514" s="19">
        <v>44341</v>
      </c>
      <c r="C514" s="24" t="str">
        <f t="shared" si="58"/>
        <v>25 May 2021</v>
      </c>
      <c r="D514" s="21">
        <f t="shared" si="54"/>
        <v>5</v>
      </c>
      <c r="E514" s="21" t="str">
        <f t="shared" si="55"/>
        <v>May</v>
      </c>
      <c r="F514" s="22">
        <f t="shared" si="56"/>
        <v>2021</v>
      </c>
      <c r="G514" s="23" t="str">
        <f t="shared" si="57"/>
        <v>2021-05</v>
      </c>
    </row>
    <row r="515" spans="1:7" x14ac:dyDescent="0.3">
      <c r="A515" s="18">
        <f t="shared" si="53"/>
        <v>20210526</v>
      </c>
      <c r="B515" s="19">
        <v>44342</v>
      </c>
      <c r="C515" s="24" t="str">
        <f t="shared" si="58"/>
        <v>26 May 2021</v>
      </c>
      <c r="D515" s="21">
        <f t="shared" si="54"/>
        <v>5</v>
      </c>
      <c r="E515" s="21" t="str">
        <f t="shared" si="55"/>
        <v>May</v>
      </c>
      <c r="F515" s="22">
        <f t="shared" si="56"/>
        <v>2021</v>
      </c>
      <c r="G515" s="23" t="str">
        <f t="shared" si="57"/>
        <v>2021-05</v>
      </c>
    </row>
    <row r="516" spans="1:7" x14ac:dyDescent="0.3">
      <c r="A516" s="18">
        <f t="shared" si="53"/>
        <v>20210527</v>
      </c>
      <c r="B516" s="19">
        <v>44343</v>
      </c>
      <c r="C516" s="24" t="str">
        <f t="shared" si="58"/>
        <v>27 May 2021</v>
      </c>
      <c r="D516" s="21">
        <f t="shared" si="54"/>
        <v>5</v>
      </c>
      <c r="E516" s="21" t="str">
        <f t="shared" si="55"/>
        <v>May</v>
      </c>
      <c r="F516" s="22">
        <f t="shared" si="56"/>
        <v>2021</v>
      </c>
      <c r="G516" s="23" t="str">
        <f t="shared" si="57"/>
        <v>2021-05</v>
      </c>
    </row>
    <row r="517" spans="1:7" x14ac:dyDescent="0.3">
      <c r="A517" s="18">
        <f t="shared" si="53"/>
        <v>20210528</v>
      </c>
      <c r="B517" s="19">
        <v>44344</v>
      </c>
      <c r="C517" s="24" t="str">
        <f t="shared" si="58"/>
        <v>28 May 2021</v>
      </c>
      <c r="D517" s="21">
        <f t="shared" si="54"/>
        <v>5</v>
      </c>
      <c r="E517" s="21" t="str">
        <f t="shared" si="55"/>
        <v>May</v>
      </c>
      <c r="F517" s="22">
        <f t="shared" si="56"/>
        <v>2021</v>
      </c>
      <c r="G517" s="23" t="str">
        <f t="shared" si="57"/>
        <v>2021-05</v>
      </c>
    </row>
    <row r="518" spans="1:7" x14ac:dyDescent="0.3">
      <c r="A518" s="18">
        <f t="shared" si="53"/>
        <v>20210529</v>
      </c>
      <c r="B518" s="19">
        <v>44345</v>
      </c>
      <c r="C518" s="24" t="str">
        <f t="shared" si="58"/>
        <v>29 May 2021</v>
      </c>
      <c r="D518" s="21">
        <f t="shared" si="54"/>
        <v>5</v>
      </c>
      <c r="E518" s="21" t="str">
        <f t="shared" si="55"/>
        <v>May</v>
      </c>
      <c r="F518" s="22">
        <f t="shared" si="56"/>
        <v>2021</v>
      </c>
      <c r="G518" s="23" t="str">
        <f t="shared" si="57"/>
        <v>2021-05</v>
      </c>
    </row>
    <row r="519" spans="1:7" x14ac:dyDescent="0.3">
      <c r="A519" s="18">
        <f t="shared" si="53"/>
        <v>20210530</v>
      </c>
      <c r="B519" s="19">
        <v>44346</v>
      </c>
      <c r="C519" s="24" t="str">
        <f t="shared" si="58"/>
        <v>30 May 2021</v>
      </c>
      <c r="D519" s="21">
        <f t="shared" si="54"/>
        <v>5</v>
      </c>
      <c r="E519" s="21" t="str">
        <f t="shared" si="55"/>
        <v>May</v>
      </c>
      <c r="F519" s="22">
        <f t="shared" si="56"/>
        <v>2021</v>
      </c>
      <c r="G519" s="23" t="str">
        <f t="shared" si="57"/>
        <v>2021-05</v>
      </c>
    </row>
    <row r="520" spans="1:7" x14ac:dyDescent="0.3">
      <c r="A520" s="18">
        <f t="shared" si="53"/>
        <v>20210531</v>
      </c>
      <c r="B520" s="19">
        <v>44347</v>
      </c>
      <c r="C520" s="24" t="str">
        <f t="shared" si="58"/>
        <v>31 May 2021</v>
      </c>
      <c r="D520" s="21">
        <f t="shared" si="54"/>
        <v>5</v>
      </c>
      <c r="E520" s="21" t="str">
        <f t="shared" si="55"/>
        <v>May</v>
      </c>
      <c r="F520" s="22">
        <f t="shared" si="56"/>
        <v>2021</v>
      </c>
      <c r="G520" s="23" t="str">
        <f t="shared" si="57"/>
        <v>2021-05</v>
      </c>
    </row>
    <row r="521" spans="1:7" x14ac:dyDescent="0.3">
      <c r="A521" s="18">
        <f t="shared" si="53"/>
        <v>20210601</v>
      </c>
      <c r="B521" s="19">
        <v>44348</v>
      </c>
      <c r="C521" s="24" t="str">
        <f t="shared" si="58"/>
        <v>01 June 2021</v>
      </c>
      <c r="D521" s="21">
        <f t="shared" si="54"/>
        <v>6</v>
      </c>
      <c r="E521" s="21" t="str">
        <f t="shared" si="55"/>
        <v>June</v>
      </c>
      <c r="F521" s="22">
        <f t="shared" si="56"/>
        <v>2021</v>
      </c>
      <c r="G521" s="23" t="str">
        <f t="shared" si="57"/>
        <v>2021-06</v>
      </c>
    </row>
    <row r="522" spans="1:7" x14ac:dyDescent="0.3">
      <c r="A522" s="18">
        <f t="shared" si="53"/>
        <v>20210602</v>
      </c>
      <c r="B522" s="19">
        <v>44349</v>
      </c>
      <c r="C522" s="24" t="str">
        <f t="shared" si="58"/>
        <v>02 June 2021</v>
      </c>
      <c r="D522" s="21">
        <f t="shared" si="54"/>
        <v>6</v>
      </c>
      <c r="E522" s="21" t="str">
        <f t="shared" si="55"/>
        <v>June</v>
      </c>
      <c r="F522" s="22">
        <f t="shared" si="56"/>
        <v>2021</v>
      </c>
      <c r="G522" s="23" t="str">
        <f t="shared" si="57"/>
        <v>2021-06</v>
      </c>
    </row>
    <row r="523" spans="1:7" x14ac:dyDescent="0.3">
      <c r="A523" s="18">
        <f t="shared" si="53"/>
        <v>20210603</v>
      </c>
      <c r="B523" s="19">
        <v>44350</v>
      </c>
      <c r="C523" s="24" t="str">
        <f t="shared" si="58"/>
        <v>03 June 2021</v>
      </c>
      <c r="D523" s="21">
        <f t="shared" si="54"/>
        <v>6</v>
      </c>
      <c r="E523" s="21" t="str">
        <f t="shared" si="55"/>
        <v>June</v>
      </c>
      <c r="F523" s="22">
        <f t="shared" si="56"/>
        <v>2021</v>
      </c>
      <c r="G523" s="23" t="str">
        <f t="shared" si="57"/>
        <v>2021-06</v>
      </c>
    </row>
    <row r="524" spans="1:7" x14ac:dyDescent="0.3">
      <c r="A524" s="18">
        <f t="shared" si="53"/>
        <v>20210604</v>
      </c>
      <c r="B524" s="19">
        <v>44351</v>
      </c>
      <c r="C524" s="24" t="str">
        <f t="shared" si="58"/>
        <v>04 June 2021</v>
      </c>
      <c r="D524" s="21">
        <f t="shared" si="54"/>
        <v>6</v>
      </c>
      <c r="E524" s="21" t="str">
        <f t="shared" si="55"/>
        <v>June</v>
      </c>
      <c r="F524" s="22">
        <f t="shared" si="56"/>
        <v>2021</v>
      </c>
      <c r="G524" s="23" t="str">
        <f t="shared" si="57"/>
        <v>2021-06</v>
      </c>
    </row>
    <row r="525" spans="1:7" x14ac:dyDescent="0.3">
      <c r="A525" s="18">
        <f t="shared" si="53"/>
        <v>20210605</v>
      </c>
      <c r="B525" s="19">
        <v>44352</v>
      </c>
      <c r="C525" s="24" t="str">
        <f t="shared" si="58"/>
        <v>05 June 2021</v>
      </c>
      <c r="D525" s="21">
        <f t="shared" si="54"/>
        <v>6</v>
      </c>
      <c r="E525" s="21" t="str">
        <f t="shared" si="55"/>
        <v>June</v>
      </c>
      <c r="F525" s="22">
        <f t="shared" si="56"/>
        <v>2021</v>
      </c>
      <c r="G525" s="23" t="str">
        <f t="shared" si="57"/>
        <v>2021-06</v>
      </c>
    </row>
    <row r="526" spans="1:7" x14ac:dyDescent="0.3">
      <c r="A526" s="18">
        <f t="shared" si="53"/>
        <v>20210606</v>
      </c>
      <c r="B526" s="19">
        <v>44353</v>
      </c>
      <c r="C526" s="24" t="str">
        <f t="shared" si="58"/>
        <v>06 June 2021</v>
      </c>
      <c r="D526" s="21">
        <f t="shared" si="54"/>
        <v>6</v>
      </c>
      <c r="E526" s="21" t="str">
        <f t="shared" si="55"/>
        <v>June</v>
      </c>
      <c r="F526" s="22">
        <f t="shared" si="56"/>
        <v>2021</v>
      </c>
      <c r="G526" s="23" t="str">
        <f t="shared" si="57"/>
        <v>2021-06</v>
      </c>
    </row>
    <row r="527" spans="1:7" x14ac:dyDescent="0.3">
      <c r="A527" s="18">
        <f t="shared" si="53"/>
        <v>20210607</v>
      </c>
      <c r="B527" s="19">
        <v>44354</v>
      </c>
      <c r="C527" s="24" t="str">
        <f t="shared" si="58"/>
        <v>07 June 2021</v>
      </c>
      <c r="D527" s="21">
        <f t="shared" si="54"/>
        <v>6</v>
      </c>
      <c r="E527" s="21" t="str">
        <f t="shared" si="55"/>
        <v>June</v>
      </c>
      <c r="F527" s="22">
        <f t="shared" si="56"/>
        <v>2021</v>
      </c>
      <c r="G527" s="23" t="str">
        <f t="shared" si="57"/>
        <v>2021-06</v>
      </c>
    </row>
    <row r="528" spans="1:7" x14ac:dyDescent="0.3">
      <c r="A528" s="18">
        <f t="shared" si="53"/>
        <v>20210608</v>
      </c>
      <c r="B528" s="19">
        <v>44355</v>
      </c>
      <c r="C528" s="24" t="str">
        <f t="shared" si="58"/>
        <v>08 June 2021</v>
      </c>
      <c r="D528" s="21">
        <f t="shared" si="54"/>
        <v>6</v>
      </c>
      <c r="E528" s="21" t="str">
        <f t="shared" si="55"/>
        <v>June</v>
      </c>
      <c r="F528" s="22">
        <f t="shared" si="56"/>
        <v>2021</v>
      </c>
      <c r="G528" s="23" t="str">
        <f t="shared" si="57"/>
        <v>2021-06</v>
      </c>
    </row>
    <row r="529" spans="1:7" x14ac:dyDescent="0.3">
      <c r="A529" s="18">
        <f t="shared" si="53"/>
        <v>20210609</v>
      </c>
      <c r="B529" s="19">
        <v>44356</v>
      </c>
      <c r="C529" s="24" t="str">
        <f t="shared" si="58"/>
        <v>09 June 2021</v>
      </c>
      <c r="D529" s="21">
        <f t="shared" si="54"/>
        <v>6</v>
      </c>
      <c r="E529" s="21" t="str">
        <f t="shared" si="55"/>
        <v>June</v>
      </c>
      <c r="F529" s="22">
        <f t="shared" si="56"/>
        <v>2021</v>
      </c>
      <c r="G529" s="23" t="str">
        <f t="shared" si="57"/>
        <v>2021-06</v>
      </c>
    </row>
    <row r="530" spans="1:7" x14ac:dyDescent="0.3">
      <c r="A530" s="18">
        <f t="shared" si="53"/>
        <v>20210610</v>
      </c>
      <c r="B530" s="19">
        <v>44357</v>
      </c>
      <c r="C530" s="24" t="str">
        <f t="shared" si="58"/>
        <v>10 June 2021</v>
      </c>
      <c r="D530" s="21">
        <f t="shared" si="54"/>
        <v>6</v>
      </c>
      <c r="E530" s="21" t="str">
        <f t="shared" si="55"/>
        <v>June</v>
      </c>
      <c r="F530" s="22">
        <f t="shared" si="56"/>
        <v>2021</v>
      </c>
      <c r="G530" s="23" t="str">
        <f t="shared" si="57"/>
        <v>2021-06</v>
      </c>
    </row>
    <row r="531" spans="1:7" x14ac:dyDescent="0.3">
      <c r="A531" s="18">
        <f t="shared" si="53"/>
        <v>20210611</v>
      </c>
      <c r="B531" s="19">
        <v>44358</v>
      </c>
      <c r="C531" s="24" t="str">
        <f t="shared" si="58"/>
        <v>11 June 2021</v>
      </c>
      <c r="D531" s="21">
        <f t="shared" si="54"/>
        <v>6</v>
      </c>
      <c r="E531" s="21" t="str">
        <f t="shared" si="55"/>
        <v>June</v>
      </c>
      <c r="F531" s="22">
        <f t="shared" si="56"/>
        <v>2021</v>
      </c>
      <c r="G531" s="23" t="str">
        <f t="shared" si="57"/>
        <v>2021-06</v>
      </c>
    </row>
    <row r="532" spans="1:7" x14ac:dyDescent="0.3">
      <c r="A532" s="18">
        <f t="shared" si="53"/>
        <v>20210612</v>
      </c>
      <c r="B532" s="19">
        <v>44359</v>
      </c>
      <c r="C532" s="24" t="str">
        <f t="shared" si="58"/>
        <v>12 June 2021</v>
      </c>
      <c r="D532" s="21">
        <f t="shared" si="54"/>
        <v>6</v>
      </c>
      <c r="E532" s="21" t="str">
        <f t="shared" si="55"/>
        <v>June</v>
      </c>
      <c r="F532" s="22">
        <f t="shared" si="56"/>
        <v>2021</v>
      </c>
      <c r="G532" s="23" t="str">
        <f t="shared" si="57"/>
        <v>2021-06</v>
      </c>
    </row>
    <row r="533" spans="1:7" x14ac:dyDescent="0.3">
      <c r="A533" s="18">
        <f t="shared" si="53"/>
        <v>20210613</v>
      </c>
      <c r="B533" s="19">
        <v>44360</v>
      </c>
      <c r="C533" s="24" t="str">
        <f t="shared" si="58"/>
        <v>13 June 2021</v>
      </c>
      <c r="D533" s="21">
        <f t="shared" si="54"/>
        <v>6</v>
      </c>
      <c r="E533" s="21" t="str">
        <f t="shared" si="55"/>
        <v>June</v>
      </c>
      <c r="F533" s="22">
        <f t="shared" si="56"/>
        <v>2021</v>
      </c>
      <c r="G533" s="23" t="str">
        <f t="shared" si="57"/>
        <v>2021-06</v>
      </c>
    </row>
    <row r="534" spans="1:7" x14ac:dyDescent="0.3">
      <c r="A534" s="18">
        <f t="shared" si="53"/>
        <v>20210614</v>
      </c>
      <c r="B534" s="19">
        <v>44361</v>
      </c>
      <c r="C534" s="24" t="str">
        <f t="shared" si="58"/>
        <v>14 June 2021</v>
      </c>
      <c r="D534" s="21">
        <f t="shared" si="54"/>
        <v>6</v>
      </c>
      <c r="E534" s="21" t="str">
        <f t="shared" si="55"/>
        <v>June</v>
      </c>
      <c r="F534" s="22">
        <f t="shared" si="56"/>
        <v>2021</v>
      </c>
      <c r="G534" s="23" t="str">
        <f t="shared" si="57"/>
        <v>2021-06</v>
      </c>
    </row>
    <row r="535" spans="1:7" x14ac:dyDescent="0.3">
      <c r="A535" s="18">
        <f t="shared" si="53"/>
        <v>20210615</v>
      </c>
      <c r="B535" s="19">
        <v>44362</v>
      </c>
      <c r="C535" s="24" t="str">
        <f t="shared" si="58"/>
        <v>15 June 2021</v>
      </c>
      <c r="D535" s="21">
        <f t="shared" si="54"/>
        <v>6</v>
      </c>
      <c r="E535" s="21" t="str">
        <f t="shared" si="55"/>
        <v>June</v>
      </c>
      <c r="F535" s="22">
        <f t="shared" si="56"/>
        <v>2021</v>
      </c>
      <c r="G535" s="23" t="str">
        <f t="shared" si="57"/>
        <v>2021-06</v>
      </c>
    </row>
    <row r="536" spans="1:7" x14ac:dyDescent="0.3">
      <c r="A536" s="18">
        <f t="shared" si="53"/>
        <v>20210616</v>
      </c>
      <c r="B536" s="19">
        <v>44363</v>
      </c>
      <c r="C536" s="24" t="str">
        <f t="shared" si="58"/>
        <v>16 June 2021</v>
      </c>
      <c r="D536" s="21">
        <f t="shared" si="54"/>
        <v>6</v>
      </c>
      <c r="E536" s="21" t="str">
        <f t="shared" si="55"/>
        <v>June</v>
      </c>
      <c r="F536" s="22">
        <f t="shared" si="56"/>
        <v>2021</v>
      </c>
      <c r="G536" s="23" t="str">
        <f t="shared" si="57"/>
        <v>2021-06</v>
      </c>
    </row>
    <row r="537" spans="1:7" x14ac:dyDescent="0.3">
      <c r="A537" s="18">
        <f t="shared" si="53"/>
        <v>20210617</v>
      </c>
      <c r="B537" s="19">
        <v>44364</v>
      </c>
      <c r="C537" s="24" t="str">
        <f t="shared" si="58"/>
        <v>17 June 2021</v>
      </c>
      <c r="D537" s="21">
        <f t="shared" si="54"/>
        <v>6</v>
      </c>
      <c r="E537" s="21" t="str">
        <f t="shared" si="55"/>
        <v>June</v>
      </c>
      <c r="F537" s="22">
        <f t="shared" si="56"/>
        <v>2021</v>
      </c>
      <c r="G537" s="23" t="str">
        <f t="shared" si="57"/>
        <v>2021-06</v>
      </c>
    </row>
    <row r="538" spans="1:7" x14ac:dyDescent="0.3">
      <c r="A538" s="18">
        <f t="shared" si="53"/>
        <v>20210618</v>
      </c>
      <c r="B538" s="19">
        <v>44365</v>
      </c>
      <c r="C538" s="24" t="str">
        <f t="shared" si="58"/>
        <v>18 June 2021</v>
      </c>
      <c r="D538" s="21">
        <f t="shared" si="54"/>
        <v>6</v>
      </c>
      <c r="E538" s="21" t="str">
        <f t="shared" si="55"/>
        <v>June</v>
      </c>
      <c r="F538" s="22">
        <f t="shared" si="56"/>
        <v>2021</v>
      </c>
      <c r="G538" s="23" t="str">
        <f t="shared" si="57"/>
        <v>2021-06</v>
      </c>
    </row>
    <row r="539" spans="1:7" x14ac:dyDescent="0.3">
      <c r="A539" s="18">
        <f t="shared" si="53"/>
        <v>20210619</v>
      </c>
      <c r="B539" s="19">
        <v>44366</v>
      </c>
      <c r="C539" s="24" t="str">
        <f t="shared" si="58"/>
        <v>19 June 2021</v>
      </c>
      <c r="D539" s="21">
        <f t="shared" si="54"/>
        <v>6</v>
      </c>
      <c r="E539" s="21" t="str">
        <f t="shared" si="55"/>
        <v>June</v>
      </c>
      <c r="F539" s="22">
        <f t="shared" si="56"/>
        <v>2021</v>
      </c>
      <c r="G539" s="23" t="str">
        <f t="shared" si="57"/>
        <v>2021-06</v>
      </c>
    </row>
    <row r="540" spans="1:7" x14ac:dyDescent="0.3">
      <c r="A540" s="18">
        <f t="shared" si="53"/>
        <v>20210620</v>
      </c>
      <c r="B540" s="19">
        <v>44367</v>
      </c>
      <c r="C540" s="24" t="str">
        <f t="shared" si="58"/>
        <v>20 June 2021</v>
      </c>
      <c r="D540" s="21">
        <f t="shared" si="54"/>
        <v>6</v>
      </c>
      <c r="E540" s="21" t="str">
        <f t="shared" si="55"/>
        <v>June</v>
      </c>
      <c r="F540" s="22">
        <f t="shared" si="56"/>
        <v>2021</v>
      </c>
      <c r="G540" s="23" t="str">
        <f t="shared" si="57"/>
        <v>2021-06</v>
      </c>
    </row>
    <row r="541" spans="1:7" x14ac:dyDescent="0.3">
      <c r="A541" s="18">
        <f t="shared" si="53"/>
        <v>20210621</v>
      </c>
      <c r="B541" s="19">
        <v>44368</v>
      </c>
      <c r="C541" s="24" t="str">
        <f t="shared" si="58"/>
        <v>21 June 2021</v>
      </c>
      <c r="D541" s="21">
        <f t="shared" si="54"/>
        <v>6</v>
      </c>
      <c r="E541" s="21" t="str">
        <f t="shared" si="55"/>
        <v>June</v>
      </c>
      <c r="F541" s="22">
        <f t="shared" si="56"/>
        <v>2021</v>
      </c>
      <c r="G541" s="23" t="str">
        <f t="shared" si="57"/>
        <v>2021-06</v>
      </c>
    </row>
    <row r="542" spans="1:7" x14ac:dyDescent="0.3">
      <c r="A542" s="18">
        <f t="shared" si="53"/>
        <v>20210622</v>
      </c>
      <c r="B542" s="19">
        <v>44369</v>
      </c>
      <c r="C542" s="24" t="str">
        <f t="shared" si="58"/>
        <v>22 June 2021</v>
      </c>
      <c r="D542" s="21">
        <f t="shared" si="54"/>
        <v>6</v>
      </c>
      <c r="E542" s="21" t="str">
        <f t="shared" si="55"/>
        <v>June</v>
      </c>
      <c r="F542" s="22">
        <f t="shared" si="56"/>
        <v>2021</v>
      </c>
      <c r="G542" s="23" t="str">
        <f t="shared" si="57"/>
        <v>2021-06</v>
      </c>
    </row>
    <row r="543" spans="1:7" x14ac:dyDescent="0.3">
      <c r="A543" s="18">
        <f t="shared" si="53"/>
        <v>20210623</v>
      </c>
      <c r="B543" s="19">
        <v>44370</v>
      </c>
      <c r="C543" s="24" t="str">
        <f t="shared" si="58"/>
        <v>23 June 2021</v>
      </c>
      <c r="D543" s="21">
        <f t="shared" si="54"/>
        <v>6</v>
      </c>
      <c r="E543" s="21" t="str">
        <f t="shared" si="55"/>
        <v>June</v>
      </c>
      <c r="F543" s="22">
        <f t="shared" si="56"/>
        <v>2021</v>
      </c>
      <c r="G543" s="23" t="str">
        <f t="shared" si="57"/>
        <v>2021-06</v>
      </c>
    </row>
    <row r="544" spans="1:7" x14ac:dyDescent="0.3">
      <c r="A544" s="18">
        <f t="shared" si="53"/>
        <v>20210624</v>
      </c>
      <c r="B544" s="19">
        <v>44371</v>
      </c>
      <c r="C544" s="24" t="str">
        <f t="shared" si="58"/>
        <v>24 June 2021</v>
      </c>
      <c r="D544" s="21">
        <f t="shared" si="54"/>
        <v>6</v>
      </c>
      <c r="E544" s="21" t="str">
        <f t="shared" si="55"/>
        <v>June</v>
      </c>
      <c r="F544" s="22">
        <f t="shared" si="56"/>
        <v>2021</v>
      </c>
      <c r="G544" s="23" t="str">
        <f t="shared" si="57"/>
        <v>2021-06</v>
      </c>
    </row>
    <row r="545" spans="1:7" x14ac:dyDescent="0.3">
      <c r="A545" s="18">
        <f t="shared" si="53"/>
        <v>20210625</v>
      </c>
      <c r="B545" s="19">
        <v>44372</v>
      </c>
      <c r="C545" s="24" t="str">
        <f t="shared" si="58"/>
        <v>25 June 2021</v>
      </c>
      <c r="D545" s="21">
        <f t="shared" si="54"/>
        <v>6</v>
      </c>
      <c r="E545" s="21" t="str">
        <f t="shared" si="55"/>
        <v>June</v>
      </c>
      <c r="F545" s="22">
        <f t="shared" si="56"/>
        <v>2021</v>
      </c>
      <c r="G545" s="23" t="str">
        <f t="shared" si="57"/>
        <v>2021-06</v>
      </c>
    </row>
    <row r="546" spans="1:7" x14ac:dyDescent="0.3">
      <c r="A546" s="18">
        <f t="shared" si="53"/>
        <v>20210626</v>
      </c>
      <c r="B546" s="19">
        <v>44373</v>
      </c>
      <c r="C546" s="24" t="str">
        <f t="shared" si="58"/>
        <v>26 June 2021</v>
      </c>
      <c r="D546" s="21">
        <f t="shared" si="54"/>
        <v>6</v>
      </c>
      <c r="E546" s="21" t="str">
        <f t="shared" si="55"/>
        <v>June</v>
      </c>
      <c r="F546" s="22">
        <f t="shared" si="56"/>
        <v>2021</v>
      </c>
      <c r="G546" s="23" t="str">
        <f t="shared" si="57"/>
        <v>2021-06</v>
      </c>
    </row>
    <row r="547" spans="1:7" x14ac:dyDescent="0.3">
      <c r="A547" s="18">
        <f t="shared" si="53"/>
        <v>20210627</v>
      </c>
      <c r="B547" s="19">
        <v>44374</v>
      </c>
      <c r="C547" s="24" t="str">
        <f t="shared" si="58"/>
        <v>27 June 2021</v>
      </c>
      <c r="D547" s="21">
        <f t="shared" si="54"/>
        <v>6</v>
      </c>
      <c r="E547" s="21" t="str">
        <f t="shared" si="55"/>
        <v>June</v>
      </c>
      <c r="F547" s="22">
        <f t="shared" si="56"/>
        <v>2021</v>
      </c>
      <c r="G547" s="23" t="str">
        <f t="shared" si="57"/>
        <v>2021-06</v>
      </c>
    </row>
    <row r="548" spans="1:7" x14ac:dyDescent="0.3">
      <c r="A548" s="18">
        <f t="shared" si="53"/>
        <v>20210628</v>
      </c>
      <c r="B548" s="19">
        <v>44375</v>
      </c>
      <c r="C548" s="24" t="str">
        <f t="shared" si="58"/>
        <v>28 June 2021</v>
      </c>
      <c r="D548" s="21">
        <f t="shared" si="54"/>
        <v>6</v>
      </c>
      <c r="E548" s="21" t="str">
        <f t="shared" si="55"/>
        <v>June</v>
      </c>
      <c r="F548" s="22">
        <f t="shared" si="56"/>
        <v>2021</v>
      </c>
      <c r="G548" s="23" t="str">
        <f t="shared" si="57"/>
        <v>2021-06</v>
      </c>
    </row>
    <row r="549" spans="1:7" x14ac:dyDescent="0.3">
      <c r="A549" s="18">
        <f t="shared" si="53"/>
        <v>20210629</v>
      </c>
      <c r="B549" s="19">
        <v>44376</v>
      </c>
      <c r="C549" s="24" t="str">
        <f t="shared" si="58"/>
        <v>29 June 2021</v>
      </c>
      <c r="D549" s="21">
        <f t="shared" si="54"/>
        <v>6</v>
      </c>
      <c r="E549" s="21" t="str">
        <f t="shared" si="55"/>
        <v>June</v>
      </c>
      <c r="F549" s="22">
        <f t="shared" si="56"/>
        <v>2021</v>
      </c>
      <c r="G549" s="23" t="str">
        <f t="shared" si="57"/>
        <v>2021-06</v>
      </c>
    </row>
    <row r="550" spans="1:7" x14ac:dyDescent="0.3">
      <c r="A550" s="18">
        <f t="shared" si="53"/>
        <v>20210630</v>
      </c>
      <c r="B550" s="19">
        <v>44377</v>
      </c>
      <c r="C550" s="24" t="str">
        <f t="shared" si="58"/>
        <v>30 June 2021</v>
      </c>
      <c r="D550" s="21">
        <f t="shared" si="54"/>
        <v>6</v>
      </c>
      <c r="E550" s="21" t="str">
        <f t="shared" si="55"/>
        <v>June</v>
      </c>
      <c r="F550" s="22">
        <f t="shared" si="56"/>
        <v>2021</v>
      </c>
      <c r="G550" s="23" t="str">
        <f t="shared" si="57"/>
        <v>2021-06</v>
      </c>
    </row>
    <row r="551" spans="1:7" x14ac:dyDescent="0.3">
      <c r="A551" s="18">
        <f t="shared" si="53"/>
        <v>20210701</v>
      </c>
      <c r="B551" s="19">
        <v>44378</v>
      </c>
      <c r="C551" s="24" t="str">
        <f t="shared" si="58"/>
        <v>01 July 2021</v>
      </c>
      <c r="D551" s="21">
        <f t="shared" si="54"/>
        <v>7</v>
      </c>
      <c r="E551" s="21" t="str">
        <f t="shared" si="55"/>
        <v>July</v>
      </c>
      <c r="F551" s="22">
        <f t="shared" si="56"/>
        <v>2021</v>
      </c>
      <c r="G551" s="23" t="str">
        <f t="shared" si="57"/>
        <v>2021-07</v>
      </c>
    </row>
    <row r="552" spans="1:7" x14ac:dyDescent="0.3">
      <c r="A552" s="18">
        <f t="shared" si="53"/>
        <v>20210702</v>
      </c>
      <c r="B552" s="19">
        <v>44379</v>
      </c>
      <c r="C552" s="24" t="str">
        <f t="shared" si="58"/>
        <v>02 July 2021</v>
      </c>
      <c r="D552" s="21">
        <f t="shared" si="54"/>
        <v>7</v>
      </c>
      <c r="E552" s="21" t="str">
        <f t="shared" si="55"/>
        <v>July</v>
      </c>
      <c r="F552" s="22">
        <f t="shared" si="56"/>
        <v>2021</v>
      </c>
      <c r="G552" s="23" t="str">
        <f t="shared" si="57"/>
        <v>2021-07</v>
      </c>
    </row>
    <row r="553" spans="1:7" x14ac:dyDescent="0.3">
      <c r="A553" s="18">
        <f t="shared" si="53"/>
        <v>20210703</v>
      </c>
      <c r="B553" s="19">
        <v>44380</v>
      </c>
      <c r="C553" s="24" t="str">
        <f t="shared" si="58"/>
        <v>03 July 2021</v>
      </c>
      <c r="D553" s="21">
        <f t="shared" si="54"/>
        <v>7</v>
      </c>
      <c r="E553" s="21" t="str">
        <f t="shared" si="55"/>
        <v>July</v>
      </c>
      <c r="F553" s="22">
        <f t="shared" si="56"/>
        <v>2021</v>
      </c>
      <c r="G553" s="23" t="str">
        <f t="shared" si="57"/>
        <v>2021-07</v>
      </c>
    </row>
    <row r="554" spans="1:7" x14ac:dyDescent="0.3">
      <c r="A554" s="18">
        <f t="shared" si="53"/>
        <v>20210704</v>
      </c>
      <c r="B554" s="19">
        <v>44381</v>
      </c>
      <c r="C554" s="24" t="str">
        <f t="shared" si="58"/>
        <v>04 July 2021</v>
      </c>
      <c r="D554" s="21">
        <f t="shared" si="54"/>
        <v>7</v>
      </c>
      <c r="E554" s="21" t="str">
        <f t="shared" si="55"/>
        <v>July</v>
      </c>
      <c r="F554" s="22">
        <f t="shared" si="56"/>
        <v>2021</v>
      </c>
      <c r="G554" s="23" t="str">
        <f t="shared" si="57"/>
        <v>2021-07</v>
      </c>
    </row>
    <row r="555" spans="1:7" x14ac:dyDescent="0.3">
      <c r="A555" s="18">
        <f t="shared" si="53"/>
        <v>20210705</v>
      </c>
      <c r="B555" s="19">
        <v>44382</v>
      </c>
      <c r="C555" s="24" t="str">
        <f t="shared" si="58"/>
        <v>05 July 2021</v>
      </c>
      <c r="D555" s="21">
        <f t="shared" si="54"/>
        <v>7</v>
      </c>
      <c r="E555" s="21" t="str">
        <f t="shared" si="55"/>
        <v>July</v>
      </c>
      <c r="F555" s="22">
        <f t="shared" si="56"/>
        <v>2021</v>
      </c>
      <c r="G555" s="23" t="str">
        <f t="shared" si="57"/>
        <v>2021-07</v>
      </c>
    </row>
    <row r="556" spans="1:7" x14ac:dyDescent="0.3">
      <c r="A556" s="18">
        <f t="shared" si="53"/>
        <v>20210706</v>
      </c>
      <c r="B556" s="19">
        <v>44383</v>
      </c>
      <c r="C556" s="24" t="str">
        <f t="shared" si="58"/>
        <v>06 July 2021</v>
      </c>
      <c r="D556" s="21">
        <f t="shared" si="54"/>
        <v>7</v>
      </c>
      <c r="E556" s="21" t="str">
        <f t="shared" si="55"/>
        <v>July</v>
      </c>
      <c r="F556" s="22">
        <f t="shared" si="56"/>
        <v>2021</v>
      </c>
      <c r="G556" s="23" t="str">
        <f t="shared" si="57"/>
        <v>2021-07</v>
      </c>
    </row>
    <row r="557" spans="1:7" x14ac:dyDescent="0.3">
      <c r="A557" s="18">
        <f t="shared" si="53"/>
        <v>20210707</v>
      </c>
      <c r="B557" s="19">
        <v>44384</v>
      </c>
      <c r="C557" s="24" t="str">
        <f t="shared" si="58"/>
        <v>07 July 2021</v>
      </c>
      <c r="D557" s="21">
        <f t="shared" si="54"/>
        <v>7</v>
      </c>
      <c r="E557" s="21" t="str">
        <f t="shared" si="55"/>
        <v>July</v>
      </c>
      <c r="F557" s="22">
        <f t="shared" si="56"/>
        <v>2021</v>
      </c>
      <c r="G557" s="23" t="str">
        <f t="shared" si="57"/>
        <v>2021-07</v>
      </c>
    </row>
    <row r="558" spans="1:7" x14ac:dyDescent="0.3">
      <c r="A558" s="18">
        <f t="shared" si="53"/>
        <v>20210708</v>
      </c>
      <c r="B558" s="19">
        <v>44385</v>
      </c>
      <c r="C558" s="24" t="str">
        <f t="shared" si="58"/>
        <v>08 July 2021</v>
      </c>
      <c r="D558" s="21">
        <f t="shared" si="54"/>
        <v>7</v>
      </c>
      <c r="E558" s="21" t="str">
        <f t="shared" si="55"/>
        <v>July</v>
      </c>
      <c r="F558" s="22">
        <f t="shared" si="56"/>
        <v>2021</v>
      </c>
      <c r="G558" s="23" t="str">
        <f t="shared" si="57"/>
        <v>2021-07</v>
      </c>
    </row>
    <row r="559" spans="1:7" x14ac:dyDescent="0.3">
      <c r="A559" s="18">
        <f t="shared" si="53"/>
        <v>20210709</v>
      </c>
      <c r="B559" s="19">
        <v>44386</v>
      </c>
      <c r="C559" s="24" t="str">
        <f t="shared" si="58"/>
        <v>09 July 2021</v>
      </c>
      <c r="D559" s="21">
        <f t="shared" si="54"/>
        <v>7</v>
      </c>
      <c r="E559" s="21" t="str">
        <f t="shared" si="55"/>
        <v>July</v>
      </c>
      <c r="F559" s="22">
        <f t="shared" si="56"/>
        <v>2021</v>
      </c>
      <c r="G559" s="23" t="str">
        <f t="shared" si="57"/>
        <v>2021-07</v>
      </c>
    </row>
    <row r="560" spans="1:7" x14ac:dyDescent="0.3">
      <c r="A560" s="18">
        <f t="shared" si="53"/>
        <v>20210710</v>
      </c>
      <c r="B560" s="19">
        <v>44387</v>
      </c>
      <c r="C560" s="24" t="str">
        <f t="shared" si="58"/>
        <v>10 July 2021</v>
      </c>
      <c r="D560" s="21">
        <f t="shared" si="54"/>
        <v>7</v>
      </c>
      <c r="E560" s="21" t="str">
        <f t="shared" si="55"/>
        <v>July</v>
      </c>
      <c r="F560" s="22">
        <f t="shared" si="56"/>
        <v>2021</v>
      </c>
      <c r="G560" s="23" t="str">
        <f t="shared" si="57"/>
        <v>2021-07</v>
      </c>
    </row>
    <row r="561" spans="1:7" x14ac:dyDescent="0.3">
      <c r="A561" s="18">
        <f t="shared" si="53"/>
        <v>20210711</v>
      </c>
      <c r="B561" s="19">
        <v>44388</v>
      </c>
      <c r="C561" s="24" t="str">
        <f t="shared" si="58"/>
        <v>11 July 2021</v>
      </c>
      <c r="D561" s="21">
        <f t="shared" si="54"/>
        <v>7</v>
      </c>
      <c r="E561" s="21" t="str">
        <f t="shared" si="55"/>
        <v>July</v>
      </c>
      <c r="F561" s="22">
        <f t="shared" si="56"/>
        <v>2021</v>
      </c>
      <c r="G561" s="23" t="str">
        <f t="shared" si="57"/>
        <v>2021-07</v>
      </c>
    </row>
    <row r="562" spans="1:7" x14ac:dyDescent="0.3">
      <c r="A562" s="18">
        <f t="shared" si="53"/>
        <v>20210712</v>
      </c>
      <c r="B562" s="19">
        <v>44389</v>
      </c>
      <c r="C562" s="24" t="str">
        <f t="shared" si="58"/>
        <v>12 July 2021</v>
      </c>
      <c r="D562" s="21">
        <f t="shared" si="54"/>
        <v>7</v>
      </c>
      <c r="E562" s="21" t="str">
        <f t="shared" si="55"/>
        <v>July</v>
      </c>
      <c r="F562" s="22">
        <f t="shared" si="56"/>
        <v>2021</v>
      </c>
      <c r="G562" s="23" t="str">
        <f t="shared" si="57"/>
        <v>2021-07</v>
      </c>
    </row>
    <row r="563" spans="1:7" x14ac:dyDescent="0.3">
      <c r="A563" s="18">
        <f t="shared" si="53"/>
        <v>20210713</v>
      </c>
      <c r="B563" s="19">
        <v>44390</v>
      </c>
      <c r="C563" s="24" t="str">
        <f t="shared" si="58"/>
        <v>13 July 2021</v>
      </c>
      <c r="D563" s="21">
        <f t="shared" si="54"/>
        <v>7</v>
      </c>
      <c r="E563" s="21" t="str">
        <f t="shared" si="55"/>
        <v>July</v>
      </c>
      <c r="F563" s="22">
        <f t="shared" si="56"/>
        <v>2021</v>
      </c>
      <c r="G563" s="23" t="str">
        <f t="shared" si="57"/>
        <v>2021-07</v>
      </c>
    </row>
    <row r="564" spans="1:7" x14ac:dyDescent="0.3">
      <c r="A564" s="18">
        <f t="shared" si="53"/>
        <v>20210714</v>
      </c>
      <c r="B564" s="19">
        <v>44391</v>
      </c>
      <c r="C564" s="24" t="str">
        <f t="shared" si="58"/>
        <v>14 July 2021</v>
      </c>
      <c r="D564" s="21">
        <f t="shared" si="54"/>
        <v>7</v>
      </c>
      <c r="E564" s="21" t="str">
        <f t="shared" si="55"/>
        <v>July</v>
      </c>
      <c r="F564" s="22">
        <f t="shared" si="56"/>
        <v>2021</v>
      </c>
      <c r="G564" s="23" t="str">
        <f t="shared" si="57"/>
        <v>2021-07</v>
      </c>
    </row>
    <row r="565" spans="1:7" x14ac:dyDescent="0.3">
      <c r="A565" s="18">
        <f t="shared" si="53"/>
        <v>20210715</v>
      </c>
      <c r="B565" s="19">
        <v>44392</v>
      </c>
      <c r="C565" s="24" t="str">
        <f t="shared" si="58"/>
        <v>15 July 2021</v>
      </c>
      <c r="D565" s="21">
        <f t="shared" si="54"/>
        <v>7</v>
      </c>
      <c r="E565" s="21" t="str">
        <f t="shared" si="55"/>
        <v>July</v>
      </c>
      <c r="F565" s="22">
        <f t="shared" si="56"/>
        <v>2021</v>
      </c>
      <c r="G565" s="23" t="str">
        <f t="shared" si="57"/>
        <v>2021-07</v>
      </c>
    </row>
    <row r="566" spans="1:7" x14ac:dyDescent="0.3">
      <c r="A566" s="18">
        <f t="shared" si="53"/>
        <v>20210716</v>
      </c>
      <c r="B566" s="19">
        <v>44393</v>
      </c>
      <c r="C566" s="24" t="str">
        <f t="shared" si="58"/>
        <v>16 July 2021</v>
      </c>
      <c r="D566" s="21">
        <f t="shared" si="54"/>
        <v>7</v>
      </c>
      <c r="E566" s="21" t="str">
        <f t="shared" si="55"/>
        <v>July</v>
      </c>
      <c r="F566" s="22">
        <f t="shared" si="56"/>
        <v>2021</v>
      </c>
      <c r="G566" s="23" t="str">
        <f t="shared" si="57"/>
        <v>2021-07</v>
      </c>
    </row>
    <row r="567" spans="1:7" x14ac:dyDescent="0.3">
      <c r="A567" s="18">
        <f t="shared" si="53"/>
        <v>20210717</v>
      </c>
      <c r="B567" s="19">
        <v>44394</v>
      </c>
      <c r="C567" s="24" t="str">
        <f t="shared" si="58"/>
        <v>17 July 2021</v>
      </c>
      <c r="D567" s="21">
        <f t="shared" si="54"/>
        <v>7</v>
      </c>
      <c r="E567" s="21" t="str">
        <f t="shared" si="55"/>
        <v>July</v>
      </c>
      <c r="F567" s="22">
        <f t="shared" si="56"/>
        <v>2021</v>
      </c>
      <c r="G567" s="23" t="str">
        <f t="shared" si="57"/>
        <v>2021-07</v>
      </c>
    </row>
    <row r="568" spans="1:7" x14ac:dyDescent="0.3">
      <c r="A568" s="18">
        <f t="shared" si="53"/>
        <v>20210718</v>
      </c>
      <c r="B568" s="19">
        <v>44395</v>
      </c>
      <c r="C568" s="24" t="str">
        <f t="shared" si="58"/>
        <v>18 July 2021</v>
      </c>
      <c r="D568" s="21">
        <f t="shared" si="54"/>
        <v>7</v>
      </c>
      <c r="E568" s="21" t="str">
        <f t="shared" si="55"/>
        <v>July</v>
      </c>
      <c r="F568" s="22">
        <f t="shared" si="56"/>
        <v>2021</v>
      </c>
      <c r="G568" s="23" t="str">
        <f t="shared" si="57"/>
        <v>2021-07</v>
      </c>
    </row>
    <row r="569" spans="1:7" x14ac:dyDescent="0.3">
      <c r="A569" s="18">
        <f t="shared" si="53"/>
        <v>20210719</v>
      </c>
      <c r="B569" s="19">
        <v>44396</v>
      </c>
      <c r="C569" s="24" t="str">
        <f t="shared" si="58"/>
        <v>19 July 2021</v>
      </c>
      <c r="D569" s="21">
        <f t="shared" si="54"/>
        <v>7</v>
      </c>
      <c r="E569" s="21" t="str">
        <f t="shared" si="55"/>
        <v>July</v>
      </c>
      <c r="F569" s="22">
        <f t="shared" si="56"/>
        <v>2021</v>
      </c>
      <c r="G569" s="23" t="str">
        <f t="shared" si="57"/>
        <v>2021-07</v>
      </c>
    </row>
    <row r="570" spans="1:7" x14ac:dyDescent="0.3">
      <c r="A570" s="18">
        <f t="shared" si="53"/>
        <v>20210720</v>
      </c>
      <c r="B570" s="19">
        <v>44397</v>
      </c>
      <c r="C570" s="24" t="str">
        <f t="shared" si="58"/>
        <v>20 July 2021</v>
      </c>
      <c r="D570" s="21">
        <f t="shared" si="54"/>
        <v>7</v>
      </c>
      <c r="E570" s="21" t="str">
        <f t="shared" si="55"/>
        <v>July</v>
      </c>
      <c r="F570" s="22">
        <f t="shared" si="56"/>
        <v>2021</v>
      </c>
      <c r="G570" s="23" t="str">
        <f t="shared" si="57"/>
        <v>2021-07</v>
      </c>
    </row>
    <row r="571" spans="1:7" x14ac:dyDescent="0.3">
      <c r="A571" s="18">
        <f t="shared" si="53"/>
        <v>20210721</v>
      </c>
      <c r="B571" s="19">
        <v>44398</v>
      </c>
      <c r="C571" s="24" t="str">
        <f t="shared" si="58"/>
        <v>21 July 2021</v>
      </c>
      <c r="D571" s="21">
        <f t="shared" si="54"/>
        <v>7</v>
      </c>
      <c r="E571" s="21" t="str">
        <f t="shared" si="55"/>
        <v>July</v>
      </c>
      <c r="F571" s="22">
        <f t="shared" si="56"/>
        <v>2021</v>
      </c>
      <c r="G571" s="23" t="str">
        <f t="shared" si="57"/>
        <v>2021-07</v>
      </c>
    </row>
    <row r="572" spans="1:7" x14ac:dyDescent="0.3">
      <c r="A572" s="18">
        <f t="shared" si="53"/>
        <v>20210722</v>
      </c>
      <c r="B572" s="19">
        <v>44399</v>
      </c>
      <c r="C572" s="24" t="str">
        <f t="shared" si="58"/>
        <v>22 July 2021</v>
      </c>
      <c r="D572" s="21">
        <f t="shared" si="54"/>
        <v>7</v>
      </c>
      <c r="E572" s="21" t="str">
        <f t="shared" si="55"/>
        <v>July</v>
      </c>
      <c r="F572" s="22">
        <f t="shared" si="56"/>
        <v>2021</v>
      </c>
      <c r="G572" s="23" t="str">
        <f t="shared" si="57"/>
        <v>2021-07</v>
      </c>
    </row>
    <row r="573" spans="1:7" x14ac:dyDescent="0.3">
      <c r="A573" s="18">
        <f t="shared" si="53"/>
        <v>20210723</v>
      </c>
      <c r="B573" s="19">
        <v>44400</v>
      </c>
      <c r="C573" s="24" t="str">
        <f t="shared" si="58"/>
        <v>23 July 2021</v>
      </c>
      <c r="D573" s="21">
        <f t="shared" si="54"/>
        <v>7</v>
      </c>
      <c r="E573" s="21" t="str">
        <f t="shared" si="55"/>
        <v>July</v>
      </c>
      <c r="F573" s="22">
        <f t="shared" si="56"/>
        <v>2021</v>
      </c>
      <c r="G573" s="23" t="str">
        <f t="shared" si="57"/>
        <v>2021-07</v>
      </c>
    </row>
    <row r="574" spans="1:7" x14ac:dyDescent="0.3">
      <c r="A574" s="18">
        <f t="shared" ref="A574:A637" si="59">YEAR(B574)*10000+MONTH(B574)*100+DAY(B574)</f>
        <v>20210724</v>
      </c>
      <c r="B574" s="19">
        <v>44401</v>
      </c>
      <c r="C574" s="24" t="str">
        <f t="shared" si="58"/>
        <v>24 July 2021</v>
      </c>
      <c r="D574" s="21">
        <f t="shared" ref="D574:D637" si="60">MONTH(B574)</f>
        <v>7</v>
      </c>
      <c r="E574" s="21" t="str">
        <f t="shared" ref="E574:E637" si="61">TEXT(B574,"MMMM")</f>
        <v>July</v>
      </c>
      <c r="F574" s="22">
        <f t="shared" ref="F574:F637" si="62">YEAR(B574)</f>
        <v>2021</v>
      </c>
      <c r="G574" s="23" t="str">
        <f t="shared" ref="G574:G637" si="63">TEXT(B574,"YYYY-MM")</f>
        <v>2021-07</v>
      </c>
    </row>
    <row r="575" spans="1:7" x14ac:dyDescent="0.3">
      <c r="A575" s="18">
        <f t="shared" si="59"/>
        <v>20210725</v>
      </c>
      <c r="B575" s="19">
        <v>44402</v>
      </c>
      <c r="C575" s="24" t="str">
        <f t="shared" ref="C575:C638" si="64">TEXT(B575,"dd MMMM YYYY")</f>
        <v>25 July 2021</v>
      </c>
      <c r="D575" s="21">
        <f t="shared" si="60"/>
        <v>7</v>
      </c>
      <c r="E575" s="21" t="str">
        <f t="shared" si="61"/>
        <v>July</v>
      </c>
      <c r="F575" s="22">
        <f t="shared" si="62"/>
        <v>2021</v>
      </c>
      <c r="G575" s="23" t="str">
        <f t="shared" si="63"/>
        <v>2021-07</v>
      </c>
    </row>
    <row r="576" spans="1:7" x14ac:dyDescent="0.3">
      <c r="A576" s="18">
        <f t="shared" si="59"/>
        <v>20210726</v>
      </c>
      <c r="B576" s="19">
        <v>44403</v>
      </c>
      <c r="C576" s="24" t="str">
        <f t="shared" si="64"/>
        <v>26 July 2021</v>
      </c>
      <c r="D576" s="21">
        <f t="shared" si="60"/>
        <v>7</v>
      </c>
      <c r="E576" s="21" t="str">
        <f t="shared" si="61"/>
        <v>July</v>
      </c>
      <c r="F576" s="22">
        <f t="shared" si="62"/>
        <v>2021</v>
      </c>
      <c r="G576" s="23" t="str">
        <f t="shared" si="63"/>
        <v>2021-07</v>
      </c>
    </row>
    <row r="577" spans="1:7" x14ac:dyDescent="0.3">
      <c r="A577" s="18">
        <f t="shared" si="59"/>
        <v>20210727</v>
      </c>
      <c r="B577" s="19">
        <v>44404</v>
      </c>
      <c r="C577" s="24" t="str">
        <f t="shared" si="64"/>
        <v>27 July 2021</v>
      </c>
      <c r="D577" s="21">
        <f t="shared" si="60"/>
        <v>7</v>
      </c>
      <c r="E577" s="21" t="str">
        <f t="shared" si="61"/>
        <v>July</v>
      </c>
      <c r="F577" s="22">
        <f t="shared" si="62"/>
        <v>2021</v>
      </c>
      <c r="G577" s="23" t="str">
        <f t="shared" si="63"/>
        <v>2021-07</v>
      </c>
    </row>
    <row r="578" spans="1:7" x14ac:dyDescent="0.3">
      <c r="A578" s="18">
        <f t="shared" si="59"/>
        <v>20210728</v>
      </c>
      <c r="B578" s="19">
        <v>44405</v>
      </c>
      <c r="C578" s="24" t="str">
        <f t="shared" si="64"/>
        <v>28 July 2021</v>
      </c>
      <c r="D578" s="21">
        <f t="shared" si="60"/>
        <v>7</v>
      </c>
      <c r="E578" s="21" t="str">
        <f t="shared" si="61"/>
        <v>July</v>
      </c>
      <c r="F578" s="22">
        <f t="shared" si="62"/>
        <v>2021</v>
      </c>
      <c r="G578" s="23" t="str">
        <f t="shared" si="63"/>
        <v>2021-07</v>
      </c>
    </row>
    <row r="579" spans="1:7" x14ac:dyDescent="0.3">
      <c r="A579" s="18">
        <f t="shared" si="59"/>
        <v>20210729</v>
      </c>
      <c r="B579" s="19">
        <v>44406</v>
      </c>
      <c r="C579" s="24" t="str">
        <f t="shared" si="64"/>
        <v>29 July 2021</v>
      </c>
      <c r="D579" s="21">
        <f t="shared" si="60"/>
        <v>7</v>
      </c>
      <c r="E579" s="21" t="str">
        <f t="shared" si="61"/>
        <v>July</v>
      </c>
      <c r="F579" s="22">
        <f t="shared" si="62"/>
        <v>2021</v>
      </c>
      <c r="G579" s="23" t="str">
        <f t="shared" si="63"/>
        <v>2021-07</v>
      </c>
    </row>
    <row r="580" spans="1:7" x14ac:dyDescent="0.3">
      <c r="A580" s="18">
        <f t="shared" si="59"/>
        <v>20210730</v>
      </c>
      <c r="B580" s="19">
        <v>44407</v>
      </c>
      <c r="C580" s="24" t="str">
        <f t="shared" si="64"/>
        <v>30 July 2021</v>
      </c>
      <c r="D580" s="21">
        <f t="shared" si="60"/>
        <v>7</v>
      </c>
      <c r="E580" s="21" t="str">
        <f t="shared" si="61"/>
        <v>July</v>
      </c>
      <c r="F580" s="22">
        <f t="shared" si="62"/>
        <v>2021</v>
      </c>
      <c r="G580" s="23" t="str">
        <f t="shared" si="63"/>
        <v>2021-07</v>
      </c>
    </row>
    <row r="581" spans="1:7" x14ac:dyDescent="0.3">
      <c r="A581" s="18">
        <f t="shared" si="59"/>
        <v>20210731</v>
      </c>
      <c r="B581" s="19">
        <v>44408</v>
      </c>
      <c r="C581" s="24" t="str">
        <f t="shared" si="64"/>
        <v>31 July 2021</v>
      </c>
      <c r="D581" s="21">
        <f t="shared" si="60"/>
        <v>7</v>
      </c>
      <c r="E581" s="21" t="str">
        <f t="shared" si="61"/>
        <v>July</v>
      </c>
      <c r="F581" s="22">
        <f t="shared" si="62"/>
        <v>2021</v>
      </c>
      <c r="G581" s="23" t="str">
        <f t="shared" si="63"/>
        <v>2021-07</v>
      </c>
    </row>
    <row r="582" spans="1:7" x14ac:dyDescent="0.3">
      <c r="A582" s="18">
        <f t="shared" si="59"/>
        <v>20210801</v>
      </c>
      <c r="B582" s="19">
        <v>44409</v>
      </c>
      <c r="C582" s="24" t="str">
        <f t="shared" si="64"/>
        <v>01 August 2021</v>
      </c>
      <c r="D582" s="21">
        <f t="shared" si="60"/>
        <v>8</v>
      </c>
      <c r="E582" s="21" t="str">
        <f t="shared" si="61"/>
        <v>August</v>
      </c>
      <c r="F582" s="22">
        <f t="shared" si="62"/>
        <v>2021</v>
      </c>
      <c r="G582" s="23" t="str">
        <f t="shared" si="63"/>
        <v>2021-08</v>
      </c>
    </row>
    <row r="583" spans="1:7" x14ac:dyDescent="0.3">
      <c r="A583" s="18">
        <f t="shared" si="59"/>
        <v>20210802</v>
      </c>
      <c r="B583" s="19">
        <v>44410</v>
      </c>
      <c r="C583" s="24" t="str">
        <f t="shared" si="64"/>
        <v>02 August 2021</v>
      </c>
      <c r="D583" s="21">
        <f t="shared" si="60"/>
        <v>8</v>
      </c>
      <c r="E583" s="21" t="str">
        <f t="shared" si="61"/>
        <v>August</v>
      </c>
      <c r="F583" s="22">
        <f t="shared" si="62"/>
        <v>2021</v>
      </c>
      <c r="G583" s="23" t="str">
        <f t="shared" si="63"/>
        <v>2021-08</v>
      </c>
    </row>
    <row r="584" spans="1:7" x14ac:dyDescent="0.3">
      <c r="A584" s="18">
        <f t="shared" si="59"/>
        <v>20210803</v>
      </c>
      <c r="B584" s="19">
        <v>44411</v>
      </c>
      <c r="C584" s="24" t="str">
        <f t="shared" si="64"/>
        <v>03 August 2021</v>
      </c>
      <c r="D584" s="21">
        <f t="shared" si="60"/>
        <v>8</v>
      </c>
      <c r="E584" s="21" t="str">
        <f t="shared" si="61"/>
        <v>August</v>
      </c>
      <c r="F584" s="22">
        <f t="shared" si="62"/>
        <v>2021</v>
      </c>
      <c r="G584" s="23" t="str">
        <f t="shared" si="63"/>
        <v>2021-08</v>
      </c>
    </row>
    <row r="585" spans="1:7" x14ac:dyDescent="0.3">
      <c r="A585" s="18">
        <f t="shared" si="59"/>
        <v>20210804</v>
      </c>
      <c r="B585" s="19">
        <v>44412</v>
      </c>
      <c r="C585" s="24" t="str">
        <f t="shared" si="64"/>
        <v>04 August 2021</v>
      </c>
      <c r="D585" s="21">
        <f t="shared" si="60"/>
        <v>8</v>
      </c>
      <c r="E585" s="21" t="str">
        <f t="shared" si="61"/>
        <v>August</v>
      </c>
      <c r="F585" s="22">
        <f t="shared" si="62"/>
        <v>2021</v>
      </c>
      <c r="G585" s="23" t="str">
        <f t="shared" si="63"/>
        <v>2021-08</v>
      </c>
    </row>
    <row r="586" spans="1:7" x14ac:dyDescent="0.3">
      <c r="A586" s="18">
        <f t="shared" si="59"/>
        <v>20210805</v>
      </c>
      <c r="B586" s="19">
        <v>44413</v>
      </c>
      <c r="C586" s="24" t="str">
        <f t="shared" si="64"/>
        <v>05 August 2021</v>
      </c>
      <c r="D586" s="21">
        <f t="shared" si="60"/>
        <v>8</v>
      </c>
      <c r="E586" s="21" t="str">
        <f t="shared" si="61"/>
        <v>August</v>
      </c>
      <c r="F586" s="22">
        <f t="shared" si="62"/>
        <v>2021</v>
      </c>
      <c r="G586" s="23" t="str">
        <f t="shared" si="63"/>
        <v>2021-08</v>
      </c>
    </row>
    <row r="587" spans="1:7" x14ac:dyDescent="0.3">
      <c r="A587" s="18">
        <f t="shared" si="59"/>
        <v>20210806</v>
      </c>
      <c r="B587" s="19">
        <v>44414</v>
      </c>
      <c r="C587" s="24" t="str">
        <f t="shared" si="64"/>
        <v>06 August 2021</v>
      </c>
      <c r="D587" s="21">
        <f t="shared" si="60"/>
        <v>8</v>
      </c>
      <c r="E587" s="21" t="str">
        <f t="shared" si="61"/>
        <v>August</v>
      </c>
      <c r="F587" s="22">
        <f t="shared" si="62"/>
        <v>2021</v>
      </c>
      <c r="G587" s="23" t="str">
        <f t="shared" si="63"/>
        <v>2021-08</v>
      </c>
    </row>
    <row r="588" spans="1:7" x14ac:dyDescent="0.3">
      <c r="A588" s="18">
        <f t="shared" si="59"/>
        <v>20210807</v>
      </c>
      <c r="B588" s="19">
        <v>44415</v>
      </c>
      <c r="C588" s="24" t="str">
        <f t="shared" si="64"/>
        <v>07 August 2021</v>
      </c>
      <c r="D588" s="21">
        <f t="shared" si="60"/>
        <v>8</v>
      </c>
      <c r="E588" s="21" t="str">
        <f t="shared" si="61"/>
        <v>August</v>
      </c>
      <c r="F588" s="22">
        <f t="shared" si="62"/>
        <v>2021</v>
      </c>
      <c r="G588" s="23" t="str">
        <f t="shared" si="63"/>
        <v>2021-08</v>
      </c>
    </row>
    <row r="589" spans="1:7" x14ac:dyDescent="0.3">
      <c r="A589" s="18">
        <f t="shared" si="59"/>
        <v>20210808</v>
      </c>
      <c r="B589" s="19">
        <v>44416</v>
      </c>
      <c r="C589" s="24" t="str">
        <f t="shared" si="64"/>
        <v>08 August 2021</v>
      </c>
      <c r="D589" s="21">
        <f t="shared" si="60"/>
        <v>8</v>
      </c>
      <c r="E589" s="21" t="str">
        <f t="shared" si="61"/>
        <v>August</v>
      </c>
      <c r="F589" s="22">
        <f t="shared" si="62"/>
        <v>2021</v>
      </c>
      <c r="G589" s="23" t="str">
        <f t="shared" si="63"/>
        <v>2021-08</v>
      </c>
    </row>
    <row r="590" spans="1:7" x14ac:dyDescent="0.3">
      <c r="A590" s="18">
        <f t="shared" si="59"/>
        <v>20210809</v>
      </c>
      <c r="B590" s="19">
        <v>44417</v>
      </c>
      <c r="C590" s="24" t="str">
        <f t="shared" si="64"/>
        <v>09 August 2021</v>
      </c>
      <c r="D590" s="21">
        <f t="shared" si="60"/>
        <v>8</v>
      </c>
      <c r="E590" s="21" t="str">
        <f t="shared" si="61"/>
        <v>August</v>
      </c>
      <c r="F590" s="22">
        <f t="shared" si="62"/>
        <v>2021</v>
      </c>
      <c r="G590" s="23" t="str">
        <f t="shared" si="63"/>
        <v>2021-08</v>
      </c>
    </row>
    <row r="591" spans="1:7" x14ac:dyDescent="0.3">
      <c r="A591" s="18">
        <f t="shared" si="59"/>
        <v>20210810</v>
      </c>
      <c r="B591" s="19">
        <v>44418</v>
      </c>
      <c r="C591" s="24" t="str">
        <f t="shared" si="64"/>
        <v>10 August 2021</v>
      </c>
      <c r="D591" s="21">
        <f t="shared" si="60"/>
        <v>8</v>
      </c>
      <c r="E591" s="21" t="str">
        <f t="shared" si="61"/>
        <v>August</v>
      </c>
      <c r="F591" s="22">
        <f t="shared" si="62"/>
        <v>2021</v>
      </c>
      <c r="G591" s="23" t="str">
        <f t="shared" si="63"/>
        <v>2021-08</v>
      </c>
    </row>
    <row r="592" spans="1:7" x14ac:dyDescent="0.3">
      <c r="A592" s="18">
        <f t="shared" si="59"/>
        <v>20210811</v>
      </c>
      <c r="B592" s="19">
        <v>44419</v>
      </c>
      <c r="C592" s="24" t="str">
        <f t="shared" si="64"/>
        <v>11 August 2021</v>
      </c>
      <c r="D592" s="21">
        <f t="shared" si="60"/>
        <v>8</v>
      </c>
      <c r="E592" s="21" t="str">
        <f t="shared" si="61"/>
        <v>August</v>
      </c>
      <c r="F592" s="22">
        <f t="shared" si="62"/>
        <v>2021</v>
      </c>
      <c r="G592" s="23" t="str">
        <f t="shared" si="63"/>
        <v>2021-08</v>
      </c>
    </row>
    <row r="593" spans="1:7" x14ac:dyDescent="0.3">
      <c r="A593" s="18">
        <f t="shared" si="59"/>
        <v>20210812</v>
      </c>
      <c r="B593" s="19">
        <v>44420</v>
      </c>
      <c r="C593" s="24" t="str">
        <f t="shared" si="64"/>
        <v>12 August 2021</v>
      </c>
      <c r="D593" s="21">
        <f t="shared" si="60"/>
        <v>8</v>
      </c>
      <c r="E593" s="21" t="str">
        <f t="shared" si="61"/>
        <v>August</v>
      </c>
      <c r="F593" s="22">
        <f t="shared" si="62"/>
        <v>2021</v>
      </c>
      <c r="G593" s="23" t="str">
        <f t="shared" si="63"/>
        <v>2021-08</v>
      </c>
    </row>
    <row r="594" spans="1:7" x14ac:dyDescent="0.3">
      <c r="A594" s="18">
        <f t="shared" si="59"/>
        <v>20210813</v>
      </c>
      <c r="B594" s="19">
        <v>44421</v>
      </c>
      <c r="C594" s="24" t="str">
        <f t="shared" si="64"/>
        <v>13 August 2021</v>
      </c>
      <c r="D594" s="21">
        <f t="shared" si="60"/>
        <v>8</v>
      </c>
      <c r="E594" s="21" t="str">
        <f t="shared" si="61"/>
        <v>August</v>
      </c>
      <c r="F594" s="22">
        <f t="shared" si="62"/>
        <v>2021</v>
      </c>
      <c r="G594" s="23" t="str">
        <f t="shared" si="63"/>
        <v>2021-08</v>
      </c>
    </row>
    <row r="595" spans="1:7" x14ac:dyDescent="0.3">
      <c r="A595" s="18">
        <f t="shared" si="59"/>
        <v>20210814</v>
      </c>
      <c r="B595" s="19">
        <v>44422</v>
      </c>
      <c r="C595" s="24" t="str">
        <f t="shared" si="64"/>
        <v>14 August 2021</v>
      </c>
      <c r="D595" s="21">
        <f t="shared" si="60"/>
        <v>8</v>
      </c>
      <c r="E595" s="21" t="str">
        <f t="shared" si="61"/>
        <v>August</v>
      </c>
      <c r="F595" s="22">
        <f t="shared" si="62"/>
        <v>2021</v>
      </c>
      <c r="G595" s="23" t="str">
        <f t="shared" si="63"/>
        <v>2021-08</v>
      </c>
    </row>
    <row r="596" spans="1:7" x14ac:dyDescent="0.3">
      <c r="A596" s="18">
        <f t="shared" si="59"/>
        <v>20210815</v>
      </c>
      <c r="B596" s="19">
        <v>44423</v>
      </c>
      <c r="C596" s="24" t="str">
        <f t="shared" si="64"/>
        <v>15 August 2021</v>
      </c>
      <c r="D596" s="21">
        <f t="shared" si="60"/>
        <v>8</v>
      </c>
      <c r="E596" s="21" t="str">
        <f t="shared" si="61"/>
        <v>August</v>
      </c>
      <c r="F596" s="22">
        <f t="shared" si="62"/>
        <v>2021</v>
      </c>
      <c r="G596" s="23" t="str">
        <f t="shared" si="63"/>
        <v>2021-08</v>
      </c>
    </row>
    <row r="597" spans="1:7" x14ac:dyDescent="0.3">
      <c r="A597" s="18">
        <f t="shared" si="59"/>
        <v>20210816</v>
      </c>
      <c r="B597" s="19">
        <v>44424</v>
      </c>
      <c r="C597" s="24" t="str">
        <f t="shared" si="64"/>
        <v>16 August 2021</v>
      </c>
      <c r="D597" s="21">
        <f t="shared" si="60"/>
        <v>8</v>
      </c>
      <c r="E597" s="21" t="str">
        <f t="shared" si="61"/>
        <v>August</v>
      </c>
      <c r="F597" s="22">
        <f t="shared" si="62"/>
        <v>2021</v>
      </c>
      <c r="G597" s="23" t="str">
        <f t="shared" si="63"/>
        <v>2021-08</v>
      </c>
    </row>
    <row r="598" spans="1:7" x14ac:dyDescent="0.3">
      <c r="A598" s="18">
        <f t="shared" si="59"/>
        <v>20210817</v>
      </c>
      <c r="B598" s="19">
        <v>44425</v>
      </c>
      <c r="C598" s="24" t="str">
        <f t="shared" si="64"/>
        <v>17 August 2021</v>
      </c>
      <c r="D598" s="21">
        <f t="shared" si="60"/>
        <v>8</v>
      </c>
      <c r="E598" s="21" t="str">
        <f t="shared" si="61"/>
        <v>August</v>
      </c>
      <c r="F598" s="22">
        <f t="shared" si="62"/>
        <v>2021</v>
      </c>
      <c r="G598" s="23" t="str">
        <f t="shared" si="63"/>
        <v>2021-08</v>
      </c>
    </row>
    <row r="599" spans="1:7" x14ac:dyDescent="0.3">
      <c r="A599" s="18">
        <f t="shared" si="59"/>
        <v>20210818</v>
      </c>
      <c r="B599" s="19">
        <v>44426</v>
      </c>
      <c r="C599" s="24" t="str">
        <f t="shared" si="64"/>
        <v>18 August 2021</v>
      </c>
      <c r="D599" s="21">
        <f t="shared" si="60"/>
        <v>8</v>
      </c>
      <c r="E599" s="21" t="str">
        <f t="shared" si="61"/>
        <v>August</v>
      </c>
      <c r="F599" s="22">
        <f t="shared" si="62"/>
        <v>2021</v>
      </c>
      <c r="G599" s="23" t="str">
        <f t="shared" si="63"/>
        <v>2021-08</v>
      </c>
    </row>
    <row r="600" spans="1:7" x14ac:dyDescent="0.3">
      <c r="A600" s="18">
        <f t="shared" si="59"/>
        <v>20210819</v>
      </c>
      <c r="B600" s="19">
        <v>44427</v>
      </c>
      <c r="C600" s="24" t="str">
        <f t="shared" si="64"/>
        <v>19 August 2021</v>
      </c>
      <c r="D600" s="21">
        <f t="shared" si="60"/>
        <v>8</v>
      </c>
      <c r="E600" s="21" t="str">
        <f t="shared" si="61"/>
        <v>August</v>
      </c>
      <c r="F600" s="22">
        <f t="shared" si="62"/>
        <v>2021</v>
      </c>
      <c r="G600" s="23" t="str">
        <f t="shared" si="63"/>
        <v>2021-08</v>
      </c>
    </row>
    <row r="601" spans="1:7" x14ac:dyDescent="0.3">
      <c r="A601" s="18">
        <f t="shared" si="59"/>
        <v>20210820</v>
      </c>
      <c r="B601" s="19">
        <v>44428</v>
      </c>
      <c r="C601" s="24" t="str">
        <f t="shared" si="64"/>
        <v>20 August 2021</v>
      </c>
      <c r="D601" s="21">
        <f t="shared" si="60"/>
        <v>8</v>
      </c>
      <c r="E601" s="21" t="str">
        <f t="shared" si="61"/>
        <v>August</v>
      </c>
      <c r="F601" s="22">
        <f t="shared" si="62"/>
        <v>2021</v>
      </c>
      <c r="G601" s="23" t="str">
        <f t="shared" si="63"/>
        <v>2021-08</v>
      </c>
    </row>
    <row r="602" spans="1:7" x14ac:dyDescent="0.3">
      <c r="A602" s="18">
        <f t="shared" si="59"/>
        <v>20210821</v>
      </c>
      <c r="B602" s="19">
        <v>44429</v>
      </c>
      <c r="C602" s="24" t="str">
        <f t="shared" si="64"/>
        <v>21 August 2021</v>
      </c>
      <c r="D602" s="21">
        <f t="shared" si="60"/>
        <v>8</v>
      </c>
      <c r="E602" s="21" t="str">
        <f t="shared" si="61"/>
        <v>August</v>
      </c>
      <c r="F602" s="22">
        <f t="shared" si="62"/>
        <v>2021</v>
      </c>
      <c r="G602" s="23" t="str">
        <f t="shared" si="63"/>
        <v>2021-08</v>
      </c>
    </row>
    <row r="603" spans="1:7" x14ac:dyDescent="0.3">
      <c r="A603" s="18">
        <f t="shared" si="59"/>
        <v>20210822</v>
      </c>
      <c r="B603" s="19">
        <v>44430</v>
      </c>
      <c r="C603" s="24" t="str">
        <f t="shared" si="64"/>
        <v>22 August 2021</v>
      </c>
      <c r="D603" s="21">
        <f t="shared" si="60"/>
        <v>8</v>
      </c>
      <c r="E603" s="21" t="str">
        <f t="shared" si="61"/>
        <v>August</v>
      </c>
      <c r="F603" s="22">
        <f t="shared" si="62"/>
        <v>2021</v>
      </c>
      <c r="G603" s="23" t="str">
        <f t="shared" si="63"/>
        <v>2021-08</v>
      </c>
    </row>
    <row r="604" spans="1:7" x14ac:dyDescent="0.3">
      <c r="A604" s="18">
        <f t="shared" si="59"/>
        <v>20210823</v>
      </c>
      <c r="B604" s="19">
        <v>44431</v>
      </c>
      <c r="C604" s="24" t="str">
        <f t="shared" si="64"/>
        <v>23 August 2021</v>
      </c>
      <c r="D604" s="21">
        <f t="shared" si="60"/>
        <v>8</v>
      </c>
      <c r="E604" s="21" t="str">
        <f t="shared" si="61"/>
        <v>August</v>
      </c>
      <c r="F604" s="22">
        <f t="shared" si="62"/>
        <v>2021</v>
      </c>
      <c r="G604" s="23" t="str">
        <f t="shared" si="63"/>
        <v>2021-08</v>
      </c>
    </row>
    <row r="605" spans="1:7" x14ac:dyDescent="0.3">
      <c r="A605" s="18">
        <f t="shared" si="59"/>
        <v>20210824</v>
      </c>
      <c r="B605" s="19">
        <v>44432</v>
      </c>
      <c r="C605" s="24" t="str">
        <f t="shared" si="64"/>
        <v>24 August 2021</v>
      </c>
      <c r="D605" s="21">
        <f t="shared" si="60"/>
        <v>8</v>
      </c>
      <c r="E605" s="21" t="str">
        <f t="shared" si="61"/>
        <v>August</v>
      </c>
      <c r="F605" s="22">
        <f t="shared" si="62"/>
        <v>2021</v>
      </c>
      <c r="G605" s="23" t="str">
        <f t="shared" si="63"/>
        <v>2021-08</v>
      </c>
    </row>
    <row r="606" spans="1:7" x14ac:dyDescent="0.3">
      <c r="A606" s="18">
        <f t="shared" si="59"/>
        <v>20210825</v>
      </c>
      <c r="B606" s="19">
        <v>44433</v>
      </c>
      <c r="C606" s="24" t="str">
        <f t="shared" si="64"/>
        <v>25 August 2021</v>
      </c>
      <c r="D606" s="21">
        <f t="shared" si="60"/>
        <v>8</v>
      </c>
      <c r="E606" s="21" t="str">
        <f t="shared" si="61"/>
        <v>August</v>
      </c>
      <c r="F606" s="22">
        <f t="shared" si="62"/>
        <v>2021</v>
      </c>
      <c r="G606" s="23" t="str">
        <f t="shared" si="63"/>
        <v>2021-08</v>
      </c>
    </row>
    <row r="607" spans="1:7" x14ac:dyDescent="0.3">
      <c r="A607" s="18">
        <f t="shared" si="59"/>
        <v>20210826</v>
      </c>
      <c r="B607" s="19">
        <v>44434</v>
      </c>
      <c r="C607" s="24" t="str">
        <f t="shared" si="64"/>
        <v>26 August 2021</v>
      </c>
      <c r="D607" s="21">
        <f t="shared" si="60"/>
        <v>8</v>
      </c>
      <c r="E607" s="21" t="str">
        <f t="shared" si="61"/>
        <v>August</v>
      </c>
      <c r="F607" s="22">
        <f t="shared" si="62"/>
        <v>2021</v>
      </c>
      <c r="G607" s="23" t="str">
        <f t="shared" si="63"/>
        <v>2021-08</v>
      </c>
    </row>
    <row r="608" spans="1:7" x14ac:dyDescent="0.3">
      <c r="A608" s="18">
        <f t="shared" si="59"/>
        <v>20210827</v>
      </c>
      <c r="B608" s="19">
        <v>44435</v>
      </c>
      <c r="C608" s="24" t="str">
        <f t="shared" si="64"/>
        <v>27 August 2021</v>
      </c>
      <c r="D608" s="21">
        <f t="shared" si="60"/>
        <v>8</v>
      </c>
      <c r="E608" s="21" t="str">
        <f t="shared" si="61"/>
        <v>August</v>
      </c>
      <c r="F608" s="22">
        <f t="shared" si="62"/>
        <v>2021</v>
      </c>
      <c r="G608" s="23" t="str">
        <f t="shared" si="63"/>
        <v>2021-08</v>
      </c>
    </row>
    <row r="609" spans="1:7" x14ac:dyDescent="0.3">
      <c r="A609" s="18">
        <f t="shared" si="59"/>
        <v>20210828</v>
      </c>
      <c r="B609" s="19">
        <v>44436</v>
      </c>
      <c r="C609" s="24" t="str">
        <f t="shared" si="64"/>
        <v>28 August 2021</v>
      </c>
      <c r="D609" s="21">
        <f t="shared" si="60"/>
        <v>8</v>
      </c>
      <c r="E609" s="21" t="str">
        <f t="shared" si="61"/>
        <v>August</v>
      </c>
      <c r="F609" s="22">
        <f t="shared" si="62"/>
        <v>2021</v>
      </c>
      <c r="G609" s="23" t="str">
        <f t="shared" si="63"/>
        <v>2021-08</v>
      </c>
    </row>
    <row r="610" spans="1:7" x14ac:dyDescent="0.3">
      <c r="A610" s="18">
        <f t="shared" si="59"/>
        <v>20210829</v>
      </c>
      <c r="B610" s="19">
        <v>44437</v>
      </c>
      <c r="C610" s="24" t="str">
        <f t="shared" si="64"/>
        <v>29 August 2021</v>
      </c>
      <c r="D610" s="21">
        <f t="shared" si="60"/>
        <v>8</v>
      </c>
      <c r="E610" s="21" t="str">
        <f t="shared" si="61"/>
        <v>August</v>
      </c>
      <c r="F610" s="22">
        <f t="shared" si="62"/>
        <v>2021</v>
      </c>
      <c r="G610" s="23" t="str">
        <f t="shared" si="63"/>
        <v>2021-08</v>
      </c>
    </row>
    <row r="611" spans="1:7" x14ac:dyDescent="0.3">
      <c r="A611" s="18">
        <f t="shared" si="59"/>
        <v>20210830</v>
      </c>
      <c r="B611" s="19">
        <v>44438</v>
      </c>
      <c r="C611" s="24" t="str">
        <f t="shared" si="64"/>
        <v>30 August 2021</v>
      </c>
      <c r="D611" s="21">
        <f t="shared" si="60"/>
        <v>8</v>
      </c>
      <c r="E611" s="21" t="str">
        <f t="shared" si="61"/>
        <v>August</v>
      </c>
      <c r="F611" s="22">
        <f t="shared" si="62"/>
        <v>2021</v>
      </c>
      <c r="G611" s="23" t="str">
        <f t="shared" si="63"/>
        <v>2021-08</v>
      </c>
    </row>
    <row r="612" spans="1:7" x14ac:dyDescent="0.3">
      <c r="A612" s="18">
        <f t="shared" si="59"/>
        <v>20210831</v>
      </c>
      <c r="B612" s="19">
        <v>44439</v>
      </c>
      <c r="C612" s="24" t="str">
        <f t="shared" si="64"/>
        <v>31 August 2021</v>
      </c>
      <c r="D612" s="21">
        <f t="shared" si="60"/>
        <v>8</v>
      </c>
      <c r="E612" s="21" t="str">
        <f t="shared" si="61"/>
        <v>August</v>
      </c>
      <c r="F612" s="22">
        <f t="shared" si="62"/>
        <v>2021</v>
      </c>
      <c r="G612" s="23" t="str">
        <f t="shared" si="63"/>
        <v>2021-08</v>
      </c>
    </row>
    <row r="613" spans="1:7" x14ac:dyDescent="0.3">
      <c r="A613" s="18">
        <f t="shared" si="59"/>
        <v>20210901</v>
      </c>
      <c r="B613" s="19">
        <v>44440</v>
      </c>
      <c r="C613" s="24" t="str">
        <f t="shared" si="64"/>
        <v>01 September 2021</v>
      </c>
      <c r="D613" s="21">
        <f t="shared" si="60"/>
        <v>9</v>
      </c>
      <c r="E613" s="21" t="str">
        <f t="shared" si="61"/>
        <v>September</v>
      </c>
      <c r="F613" s="22">
        <f t="shared" si="62"/>
        <v>2021</v>
      </c>
      <c r="G613" s="23" t="str">
        <f t="shared" si="63"/>
        <v>2021-09</v>
      </c>
    </row>
    <row r="614" spans="1:7" x14ac:dyDescent="0.3">
      <c r="A614" s="18">
        <f t="shared" si="59"/>
        <v>20210902</v>
      </c>
      <c r="B614" s="19">
        <v>44441</v>
      </c>
      <c r="C614" s="24" t="str">
        <f t="shared" si="64"/>
        <v>02 September 2021</v>
      </c>
      <c r="D614" s="21">
        <f t="shared" si="60"/>
        <v>9</v>
      </c>
      <c r="E614" s="21" t="str">
        <f t="shared" si="61"/>
        <v>September</v>
      </c>
      <c r="F614" s="22">
        <f t="shared" si="62"/>
        <v>2021</v>
      </c>
      <c r="G614" s="23" t="str">
        <f t="shared" si="63"/>
        <v>2021-09</v>
      </c>
    </row>
    <row r="615" spans="1:7" x14ac:dyDescent="0.3">
      <c r="A615" s="18">
        <f t="shared" si="59"/>
        <v>20210903</v>
      </c>
      <c r="B615" s="19">
        <v>44442</v>
      </c>
      <c r="C615" s="24" t="str">
        <f t="shared" si="64"/>
        <v>03 September 2021</v>
      </c>
      <c r="D615" s="21">
        <f t="shared" si="60"/>
        <v>9</v>
      </c>
      <c r="E615" s="21" t="str">
        <f t="shared" si="61"/>
        <v>September</v>
      </c>
      <c r="F615" s="22">
        <f t="shared" si="62"/>
        <v>2021</v>
      </c>
      <c r="G615" s="23" t="str">
        <f t="shared" si="63"/>
        <v>2021-09</v>
      </c>
    </row>
    <row r="616" spans="1:7" x14ac:dyDescent="0.3">
      <c r="A616" s="18">
        <f t="shared" si="59"/>
        <v>20210904</v>
      </c>
      <c r="B616" s="19">
        <v>44443</v>
      </c>
      <c r="C616" s="24" t="str">
        <f t="shared" si="64"/>
        <v>04 September 2021</v>
      </c>
      <c r="D616" s="21">
        <f t="shared" si="60"/>
        <v>9</v>
      </c>
      <c r="E616" s="21" t="str">
        <f t="shared" si="61"/>
        <v>September</v>
      </c>
      <c r="F616" s="22">
        <f t="shared" si="62"/>
        <v>2021</v>
      </c>
      <c r="G616" s="23" t="str">
        <f t="shared" si="63"/>
        <v>2021-09</v>
      </c>
    </row>
    <row r="617" spans="1:7" x14ac:dyDescent="0.3">
      <c r="A617" s="18">
        <f t="shared" si="59"/>
        <v>20210905</v>
      </c>
      <c r="B617" s="19">
        <v>44444</v>
      </c>
      <c r="C617" s="24" t="str">
        <f t="shared" si="64"/>
        <v>05 September 2021</v>
      </c>
      <c r="D617" s="21">
        <f t="shared" si="60"/>
        <v>9</v>
      </c>
      <c r="E617" s="21" t="str">
        <f t="shared" si="61"/>
        <v>September</v>
      </c>
      <c r="F617" s="22">
        <f t="shared" si="62"/>
        <v>2021</v>
      </c>
      <c r="G617" s="23" t="str">
        <f t="shared" si="63"/>
        <v>2021-09</v>
      </c>
    </row>
    <row r="618" spans="1:7" x14ac:dyDescent="0.3">
      <c r="A618" s="18">
        <f t="shared" si="59"/>
        <v>20210906</v>
      </c>
      <c r="B618" s="19">
        <v>44445</v>
      </c>
      <c r="C618" s="24" t="str">
        <f t="shared" si="64"/>
        <v>06 September 2021</v>
      </c>
      <c r="D618" s="21">
        <f t="shared" si="60"/>
        <v>9</v>
      </c>
      <c r="E618" s="21" t="str">
        <f t="shared" si="61"/>
        <v>September</v>
      </c>
      <c r="F618" s="22">
        <f t="shared" si="62"/>
        <v>2021</v>
      </c>
      <c r="G618" s="23" t="str">
        <f t="shared" si="63"/>
        <v>2021-09</v>
      </c>
    </row>
    <row r="619" spans="1:7" x14ac:dyDescent="0.3">
      <c r="A619" s="18">
        <f t="shared" si="59"/>
        <v>20210907</v>
      </c>
      <c r="B619" s="19">
        <v>44446</v>
      </c>
      <c r="C619" s="24" t="str">
        <f t="shared" si="64"/>
        <v>07 September 2021</v>
      </c>
      <c r="D619" s="21">
        <f t="shared" si="60"/>
        <v>9</v>
      </c>
      <c r="E619" s="21" t="str">
        <f t="shared" si="61"/>
        <v>September</v>
      </c>
      <c r="F619" s="22">
        <f t="shared" si="62"/>
        <v>2021</v>
      </c>
      <c r="G619" s="23" t="str">
        <f t="shared" si="63"/>
        <v>2021-09</v>
      </c>
    </row>
    <row r="620" spans="1:7" x14ac:dyDescent="0.3">
      <c r="A620" s="18">
        <f t="shared" si="59"/>
        <v>20210908</v>
      </c>
      <c r="B620" s="19">
        <v>44447</v>
      </c>
      <c r="C620" s="24" t="str">
        <f t="shared" si="64"/>
        <v>08 September 2021</v>
      </c>
      <c r="D620" s="21">
        <f t="shared" si="60"/>
        <v>9</v>
      </c>
      <c r="E620" s="21" t="str">
        <f t="shared" si="61"/>
        <v>September</v>
      </c>
      <c r="F620" s="22">
        <f t="shared" si="62"/>
        <v>2021</v>
      </c>
      <c r="G620" s="23" t="str">
        <f t="shared" si="63"/>
        <v>2021-09</v>
      </c>
    </row>
    <row r="621" spans="1:7" x14ac:dyDescent="0.3">
      <c r="A621" s="18">
        <f t="shared" si="59"/>
        <v>20210909</v>
      </c>
      <c r="B621" s="19">
        <v>44448</v>
      </c>
      <c r="C621" s="24" t="str">
        <f t="shared" si="64"/>
        <v>09 September 2021</v>
      </c>
      <c r="D621" s="21">
        <f t="shared" si="60"/>
        <v>9</v>
      </c>
      <c r="E621" s="21" t="str">
        <f t="shared" si="61"/>
        <v>September</v>
      </c>
      <c r="F621" s="22">
        <f t="shared" si="62"/>
        <v>2021</v>
      </c>
      <c r="G621" s="23" t="str">
        <f t="shared" si="63"/>
        <v>2021-09</v>
      </c>
    </row>
    <row r="622" spans="1:7" x14ac:dyDescent="0.3">
      <c r="A622" s="18">
        <f t="shared" si="59"/>
        <v>20210910</v>
      </c>
      <c r="B622" s="19">
        <v>44449</v>
      </c>
      <c r="C622" s="24" t="str">
        <f t="shared" si="64"/>
        <v>10 September 2021</v>
      </c>
      <c r="D622" s="21">
        <f t="shared" si="60"/>
        <v>9</v>
      </c>
      <c r="E622" s="21" t="str">
        <f t="shared" si="61"/>
        <v>September</v>
      </c>
      <c r="F622" s="22">
        <f t="shared" si="62"/>
        <v>2021</v>
      </c>
      <c r="G622" s="23" t="str">
        <f t="shared" si="63"/>
        <v>2021-09</v>
      </c>
    </row>
    <row r="623" spans="1:7" x14ac:dyDescent="0.3">
      <c r="A623" s="18">
        <f t="shared" si="59"/>
        <v>20210911</v>
      </c>
      <c r="B623" s="19">
        <v>44450</v>
      </c>
      <c r="C623" s="24" t="str">
        <f t="shared" si="64"/>
        <v>11 September 2021</v>
      </c>
      <c r="D623" s="21">
        <f t="shared" si="60"/>
        <v>9</v>
      </c>
      <c r="E623" s="21" t="str">
        <f t="shared" si="61"/>
        <v>September</v>
      </c>
      <c r="F623" s="22">
        <f t="shared" si="62"/>
        <v>2021</v>
      </c>
      <c r="G623" s="23" t="str">
        <f t="shared" si="63"/>
        <v>2021-09</v>
      </c>
    </row>
    <row r="624" spans="1:7" x14ac:dyDescent="0.3">
      <c r="A624" s="18">
        <f t="shared" si="59"/>
        <v>20210912</v>
      </c>
      <c r="B624" s="19">
        <v>44451</v>
      </c>
      <c r="C624" s="24" t="str">
        <f t="shared" si="64"/>
        <v>12 September 2021</v>
      </c>
      <c r="D624" s="21">
        <f t="shared" si="60"/>
        <v>9</v>
      </c>
      <c r="E624" s="21" t="str">
        <f t="shared" si="61"/>
        <v>September</v>
      </c>
      <c r="F624" s="22">
        <f t="shared" si="62"/>
        <v>2021</v>
      </c>
      <c r="G624" s="23" t="str">
        <f t="shared" si="63"/>
        <v>2021-09</v>
      </c>
    </row>
    <row r="625" spans="1:7" x14ac:dyDescent="0.3">
      <c r="A625" s="18">
        <f t="shared" si="59"/>
        <v>20210913</v>
      </c>
      <c r="B625" s="19">
        <v>44452</v>
      </c>
      <c r="C625" s="24" t="str">
        <f t="shared" si="64"/>
        <v>13 September 2021</v>
      </c>
      <c r="D625" s="21">
        <f t="shared" si="60"/>
        <v>9</v>
      </c>
      <c r="E625" s="21" t="str">
        <f t="shared" si="61"/>
        <v>September</v>
      </c>
      <c r="F625" s="22">
        <f t="shared" si="62"/>
        <v>2021</v>
      </c>
      <c r="G625" s="23" t="str">
        <f t="shared" si="63"/>
        <v>2021-09</v>
      </c>
    </row>
    <row r="626" spans="1:7" x14ac:dyDescent="0.3">
      <c r="A626" s="18">
        <f t="shared" si="59"/>
        <v>20210914</v>
      </c>
      <c r="B626" s="19">
        <v>44453</v>
      </c>
      <c r="C626" s="24" t="str">
        <f t="shared" si="64"/>
        <v>14 September 2021</v>
      </c>
      <c r="D626" s="21">
        <f t="shared" si="60"/>
        <v>9</v>
      </c>
      <c r="E626" s="21" t="str">
        <f t="shared" si="61"/>
        <v>September</v>
      </c>
      <c r="F626" s="22">
        <f t="shared" si="62"/>
        <v>2021</v>
      </c>
      <c r="G626" s="23" t="str">
        <f t="shared" si="63"/>
        <v>2021-09</v>
      </c>
    </row>
    <row r="627" spans="1:7" x14ac:dyDescent="0.3">
      <c r="A627" s="18">
        <f t="shared" si="59"/>
        <v>20210915</v>
      </c>
      <c r="B627" s="19">
        <v>44454</v>
      </c>
      <c r="C627" s="24" t="str">
        <f t="shared" si="64"/>
        <v>15 September 2021</v>
      </c>
      <c r="D627" s="21">
        <f t="shared" si="60"/>
        <v>9</v>
      </c>
      <c r="E627" s="21" t="str">
        <f t="shared" si="61"/>
        <v>September</v>
      </c>
      <c r="F627" s="22">
        <f t="shared" si="62"/>
        <v>2021</v>
      </c>
      <c r="G627" s="23" t="str">
        <f t="shared" si="63"/>
        <v>2021-09</v>
      </c>
    </row>
    <row r="628" spans="1:7" x14ac:dyDescent="0.3">
      <c r="A628" s="18">
        <f t="shared" si="59"/>
        <v>20210916</v>
      </c>
      <c r="B628" s="19">
        <v>44455</v>
      </c>
      <c r="C628" s="24" t="str">
        <f t="shared" si="64"/>
        <v>16 September 2021</v>
      </c>
      <c r="D628" s="21">
        <f t="shared" si="60"/>
        <v>9</v>
      </c>
      <c r="E628" s="21" t="str">
        <f t="shared" si="61"/>
        <v>September</v>
      </c>
      <c r="F628" s="22">
        <f t="shared" si="62"/>
        <v>2021</v>
      </c>
      <c r="G628" s="23" t="str">
        <f t="shared" si="63"/>
        <v>2021-09</v>
      </c>
    </row>
    <row r="629" spans="1:7" x14ac:dyDescent="0.3">
      <c r="A629" s="18">
        <f t="shared" si="59"/>
        <v>20210917</v>
      </c>
      <c r="B629" s="19">
        <v>44456</v>
      </c>
      <c r="C629" s="24" t="str">
        <f t="shared" si="64"/>
        <v>17 September 2021</v>
      </c>
      <c r="D629" s="21">
        <f t="shared" si="60"/>
        <v>9</v>
      </c>
      <c r="E629" s="21" t="str">
        <f t="shared" si="61"/>
        <v>September</v>
      </c>
      <c r="F629" s="22">
        <f t="shared" si="62"/>
        <v>2021</v>
      </c>
      <c r="G629" s="23" t="str">
        <f t="shared" si="63"/>
        <v>2021-09</v>
      </c>
    </row>
    <row r="630" spans="1:7" x14ac:dyDescent="0.3">
      <c r="A630" s="18">
        <f t="shared" si="59"/>
        <v>20210918</v>
      </c>
      <c r="B630" s="19">
        <v>44457</v>
      </c>
      <c r="C630" s="24" t="str">
        <f t="shared" si="64"/>
        <v>18 September 2021</v>
      </c>
      <c r="D630" s="21">
        <f t="shared" si="60"/>
        <v>9</v>
      </c>
      <c r="E630" s="21" t="str">
        <f t="shared" si="61"/>
        <v>September</v>
      </c>
      <c r="F630" s="22">
        <f t="shared" si="62"/>
        <v>2021</v>
      </c>
      <c r="G630" s="23" t="str">
        <f t="shared" si="63"/>
        <v>2021-09</v>
      </c>
    </row>
    <row r="631" spans="1:7" x14ac:dyDescent="0.3">
      <c r="A631" s="18">
        <f t="shared" si="59"/>
        <v>20210919</v>
      </c>
      <c r="B631" s="19">
        <v>44458</v>
      </c>
      <c r="C631" s="24" t="str">
        <f t="shared" si="64"/>
        <v>19 September 2021</v>
      </c>
      <c r="D631" s="21">
        <f t="shared" si="60"/>
        <v>9</v>
      </c>
      <c r="E631" s="21" t="str">
        <f t="shared" si="61"/>
        <v>September</v>
      </c>
      <c r="F631" s="22">
        <f t="shared" si="62"/>
        <v>2021</v>
      </c>
      <c r="G631" s="23" t="str">
        <f t="shared" si="63"/>
        <v>2021-09</v>
      </c>
    </row>
    <row r="632" spans="1:7" x14ac:dyDescent="0.3">
      <c r="A632" s="18">
        <f t="shared" si="59"/>
        <v>20210920</v>
      </c>
      <c r="B632" s="19">
        <v>44459</v>
      </c>
      <c r="C632" s="24" t="str">
        <f t="shared" si="64"/>
        <v>20 September 2021</v>
      </c>
      <c r="D632" s="21">
        <f t="shared" si="60"/>
        <v>9</v>
      </c>
      <c r="E632" s="21" t="str">
        <f t="shared" si="61"/>
        <v>September</v>
      </c>
      <c r="F632" s="22">
        <f t="shared" si="62"/>
        <v>2021</v>
      </c>
      <c r="G632" s="23" t="str">
        <f t="shared" si="63"/>
        <v>2021-09</v>
      </c>
    </row>
    <row r="633" spans="1:7" x14ac:dyDescent="0.3">
      <c r="A633" s="18">
        <f t="shared" si="59"/>
        <v>20210921</v>
      </c>
      <c r="B633" s="19">
        <v>44460</v>
      </c>
      <c r="C633" s="24" t="str">
        <f t="shared" si="64"/>
        <v>21 September 2021</v>
      </c>
      <c r="D633" s="21">
        <f t="shared" si="60"/>
        <v>9</v>
      </c>
      <c r="E633" s="21" t="str">
        <f t="shared" si="61"/>
        <v>September</v>
      </c>
      <c r="F633" s="22">
        <f t="shared" si="62"/>
        <v>2021</v>
      </c>
      <c r="G633" s="23" t="str">
        <f t="shared" si="63"/>
        <v>2021-09</v>
      </c>
    </row>
    <row r="634" spans="1:7" x14ac:dyDescent="0.3">
      <c r="A634" s="18">
        <f t="shared" si="59"/>
        <v>20210922</v>
      </c>
      <c r="B634" s="19">
        <v>44461</v>
      </c>
      <c r="C634" s="24" t="str">
        <f t="shared" si="64"/>
        <v>22 September 2021</v>
      </c>
      <c r="D634" s="21">
        <f t="shared" si="60"/>
        <v>9</v>
      </c>
      <c r="E634" s="21" t="str">
        <f t="shared" si="61"/>
        <v>September</v>
      </c>
      <c r="F634" s="22">
        <f t="shared" si="62"/>
        <v>2021</v>
      </c>
      <c r="G634" s="23" t="str">
        <f t="shared" si="63"/>
        <v>2021-09</v>
      </c>
    </row>
    <row r="635" spans="1:7" x14ac:dyDescent="0.3">
      <c r="A635" s="18">
        <f t="shared" si="59"/>
        <v>20210923</v>
      </c>
      <c r="B635" s="19">
        <v>44462</v>
      </c>
      <c r="C635" s="24" t="str">
        <f t="shared" si="64"/>
        <v>23 September 2021</v>
      </c>
      <c r="D635" s="21">
        <f t="shared" si="60"/>
        <v>9</v>
      </c>
      <c r="E635" s="21" t="str">
        <f t="shared" si="61"/>
        <v>September</v>
      </c>
      <c r="F635" s="22">
        <f t="shared" si="62"/>
        <v>2021</v>
      </c>
      <c r="G635" s="23" t="str">
        <f t="shared" si="63"/>
        <v>2021-09</v>
      </c>
    </row>
    <row r="636" spans="1:7" x14ac:dyDescent="0.3">
      <c r="A636" s="18">
        <f t="shared" si="59"/>
        <v>20210924</v>
      </c>
      <c r="B636" s="19">
        <v>44463</v>
      </c>
      <c r="C636" s="24" t="str">
        <f t="shared" si="64"/>
        <v>24 September 2021</v>
      </c>
      <c r="D636" s="21">
        <f t="shared" si="60"/>
        <v>9</v>
      </c>
      <c r="E636" s="21" t="str">
        <f t="shared" si="61"/>
        <v>September</v>
      </c>
      <c r="F636" s="22">
        <f t="shared" si="62"/>
        <v>2021</v>
      </c>
      <c r="G636" s="23" t="str">
        <f t="shared" si="63"/>
        <v>2021-09</v>
      </c>
    </row>
    <row r="637" spans="1:7" x14ac:dyDescent="0.3">
      <c r="A637" s="18">
        <f t="shared" si="59"/>
        <v>20210925</v>
      </c>
      <c r="B637" s="19">
        <v>44464</v>
      </c>
      <c r="C637" s="24" t="str">
        <f t="shared" si="64"/>
        <v>25 September 2021</v>
      </c>
      <c r="D637" s="21">
        <f t="shared" si="60"/>
        <v>9</v>
      </c>
      <c r="E637" s="21" t="str">
        <f t="shared" si="61"/>
        <v>September</v>
      </c>
      <c r="F637" s="22">
        <f t="shared" si="62"/>
        <v>2021</v>
      </c>
      <c r="G637" s="23" t="str">
        <f t="shared" si="63"/>
        <v>2021-09</v>
      </c>
    </row>
    <row r="638" spans="1:7" x14ac:dyDescent="0.3">
      <c r="A638" s="18">
        <f t="shared" ref="A638:A701" si="65">YEAR(B638)*10000+MONTH(B638)*100+DAY(B638)</f>
        <v>20210926</v>
      </c>
      <c r="B638" s="19">
        <v>44465</v>
      </c>
      <c r="C638" s="24" t="str">
        <f t="shared" si="64"/>
        <v>26 September 2021</v>
      </c>
      <c r="D638" s="21">
        <f t="shared" ref="D638:D701" si="66">MONTH(B638)</f>
        <v>9</v>
      </c>
      <c r="E638" s="21" t="str">
        <f t="shared" ref="E638:E701" si="67">TEXT(B638,"MMMM")</f>
        <v>September</v>
      </c>
      <c r="F638" s="22">
        <f t="shared" ref="F638:F701" si="68">YEAR(B638)</f>
        <v>2021</v>
      </c>
      <c r="G638" s="23" t="str">
        <f t="shared" ref="G638:G701" si="69">TEXT(B638,"YYYY-MM")</f>
        <v>2021-09</v>
      </c>
    </row>
    <row r="639" spans="1:7" x14ac:dyDescent="0.3">
      <c r="A639" s="18">
        <f t="shared" si="65"/>
        <v>20210927</v>
      </c>
      <c r="B639" s="19">
        <v>44466</v>
      </c>
      <c r="C639" s="24" t="str">
        <f t="shared" ref="C639:C702" si="70">TEXT(B639,"dd MMMM YYYY")</f>
        <v>27 September 2021</v>
      </c>
      <c r="D639" s="21">
        <f t="shared" si="66"/>
        <v>9</v>
      </c>
      <c r="E639" s="21" t="str">
        <f t="shared" si="67"/>
        <v>September</v>
      </c>
      <c r="F639" s="22">
        <f t="shared" si="68"/>
        <v>2021</v>
      </c>
      <c r="G639" s="23" t="str">
        <f t="shared" si="69"/>
        <v>2021-09</v>
      </c>
    </row>
    <row r="640" spans="1:7" x14ac:dyDescent="0.3">
      <c r="A640" s="18">
        <f t="shared" si="65"/>
        <v>20210928</v>
      </c>
      <c r="B640" s="19">
        <v>44467</v>
      </c>
      <c r="C640" s="24" t="str">
        <f t="shared" si="70"/>
        <v>28 September 2021</v>
      </c>
      <c r="D640" s="21">
        <f t="shared" si="66"/>
        <v>9</v>
      </c>
      <c r="E640" s="21" t="str">
        <f t="shared" si="67"/>
        <v>September</v>
      </c>
      <c r="F640" s="22">
        <f t="shared" si="68"/>
        <v>2021</v>
      </c>
      <c r="G640" s="23" t="str">
        <f t="shared" si="69"/>
        <v>2021-09</v>
      </c>
    </row>
    <row r="641" spans="1:7" x14ac:dyDescent="0.3">
      <c r="A641" s="18">
        <f t="shared" si="65"/>
        <v>20210929</v>
      </c>
      <c r="B641" s="19">
        <v>44468</v>
      </c>
      <c r="C641" s="24" t="str">
        <f t="shared" si="70"/>
        <v>29 September 2021</v>
      </c>
      <c r="D641" s="21">
        <f t="shared" si="66"/>
        <v>9</v>
      </c>
      <c r="E641" s="21" t="str">
        <f t="shared" si="67"/>
        <v>September</v>
      </c>
      <c r="F641" s="22">
        <f t="shared" si="68"/>
        <v>2021</v>
      </c>
      <c r="G641" s="23" t="str">
        <f t="shared" si="69"/>
        <v>2021-09</v>
      </c>
    </row>
    <row r="642" spans="1:7" x14ac:dyDescent="0.3">
      <c r="A642" s="18">
        <f t="shared" si="65"/>
        <v>20210930</v>
      </c>
      <c r="B642" s="19">
        <v>44469</v>
      </c>
      <c r="C642" s="24" t="str">
        <f t="shared" si="70"/>
        <v>30 September 2021</v>
      </c>
      <c r="D642" s="21">
        <f t="shared" si="66"/>
        <v>9</v>
      </c>
      <c r="E642" s="21" t="str">
        <f t="shared" si="67"/>
        <v>September</v>
      </c>
      <c r="F642" s="22">
        <f t="shared" si="68"/>
        <v>2021</v>
      </c>
      <c r="G642" s="23" t="str">
        <f t="shared" si="69"/>
        <v>2021-09</v>
      </c>
    </row>
    <row r="643" spans="1:7" x14ac:dyDescent="0.3">
      <c r="A643" s="18">
        <f t="shared" si="65"/>
        <v>20211001</v>
      </c>
      <c r="B643" s="19">
        <v>44470</v>
      </c>
      <c r="C643" s="24" t="str">
        <f t="shared" si="70"/>
        <v>01 October 2021</v>
      </c>
      <c r="D643" s="21">
        <f t="shared" si="66"/>
        <v>10</v>
      </c>
      <c r="E643" s="21" t="str">
        <f t="shared" si="67"/>
        <v>October</v>
      </c>
      <c r="F643" s="22">
        <f t="shared" si="68"/>
        <v>2021</v>
      </c>
      <c r="G643" s="23" t="str">
        <f t="shared" si="69"/>
        <v>2021-10</v>
      </c>
    </row>
    <row r="644" spans="1:7" x14ac:dyDescent="0.3">
      <c r="A644" s="18">
        <f t="shared" si="65"/>
        <v>20211002</v>
      </c>
      <c r="B644" s="19">
        <v>44471</v>
      </c>
      <c r="C644" s="24" t="str">
        <f t="shared" si="70"/>
        <v>02 October 2021</v>
      </c>
      <c r="D644" s="21">
        <f t="shared" si="66"/>
        <v>10</v>
      </c>
      <c r="E644" s="21" t="str">
        <f t="shared" si="67"/>
        <v>October</v>
      </c>
      <c r="F644" s="22">
        <f t="shared" si="68"/>
        <v>2021</v>
      </c>
      <c r="G644" s="23" t="str">
        <f t="shared" si="69"/>
        <v>2021-10</v>
      </c>
    </row>
    <row r="645" spans="1:7" x14ac:dyDescent="0.3">
      <c r="A645" s="18">
        <f t="shared" si="65"/>
        <v>20211003</v>
      </c>
      <c r="B645" s="19">
        <v>44472</v>
      </c>
      <c r="C645" s="24" t="str">
        <f t="shared" si="70"/>
        <v>03 October 2021</v>
      </c>
      <c r="D645" s="21">
        <f t="shared" si="66"/>
        <v>10</v>
      </c>
      <c r="E645" s="21" t="str">
        <f t="shared" si="67"/>
        <v>October</v>
      </c>
      <c r="F645" s="22">
        <f t="shared" si="68"/>
        <v>2021</v>
      </c>
      <c r="G645" s="23" t="str">
        <f t="shared" si="69"/>
        <v>2021-10</v>
      </c>
    </row>
    <row r="646" spans="1:7" x14ac:dyDescent="0.3">
      <c r="A646" s="18">
        <f t="shared" si="65"/>
        <v>20211004</v>
      </c>
      <c r="B646" s="19">
        <v>44473</v>
      </c>
      <c r="C646" s="24" t="str">
        <f t="shared" si="70"/>
        <v>04 October 2021</v>
      </c>
      <c r="D646" s="21">
        <f t="shared" si="66"/>
        <v>10</v>
      </c>
      <c r="E646" s="21" t="str">
        <f t="shared" si="67"/>
        <v>October</v>
      </c>
      <c r="F646" s="22">
        <f t="shared" si="68"/>
        <v>2021</v>
      </c>
      <c r="G646" s="23" t="str">
        <f t="shared" si="69"/>
        <v>2021-10</v>
      </c>
    </row>
    <row r="647" spans="1:7" x14ac:dyDescent="0.3">
      <c r="A647" s="18">
        <f t="shared" si="65"/>
        <v>20211005</v>
      </c>
      <c r="B647" s="19">
        <v>44474</v>
      </c>
      <c r="C647" s="24" t="str">
        <f t="shared" si="70"/>
        <v>05 October 2021</v>
      </c>
      <c r="D647" s="21">
        <f t="shared" si="66"/>
        <v>10</v>
      </c>
      <c r="E647" s="21" t="str">
        <f t="shared" si="67"/>
        <v>October</v>
      </c>
      <c r="F647" s="22">
        <f t="shared" si="68"/>
        <v>2021</v>
      </c>
      <c r="G647" s="23" t="str">
        <f t="shared" si="69"/>
        <v>2021-10</v>
      </c>
    </row>
    <row r="648" spans="1:7" x14ac:dyDescent="0.3">
      <c r="A648" s="18">
        <f t="shared" si="65"/>
        <v>20211006</v>
      </c>
      <c r="B648" s="19">
        <v>44475</v>
      </c>
      <c r="C648" s="24" t="str">
        <f t="shared" si="70"/>
        <v>06 October 2021</v>
      </c>
      <c r="D648" s="21">
        <f t="shared" si="66"/>
        <v>10</v>
      </c>
      <c r="E648" s="21" t="str">
        <f t="shared" si="67"/>
        <v>October</v>
      </c>
      <c r="F648" s="22">
        <f t="shared" si="68"/>
        <v>2021</v>
      </c>
      <c r="G648" s="23" t="str">
        <f t="shared" si="69"/>
        <v>2021-10</v>
      </c>
    </row>
    <row r="649" spans="1:7" x14ac:dyDescent="0.3">
      <c r="A649" s="18">
        <f t="shared" si="65"/>
        <v>20211007</v>
      </c>
      <c r="B649" s="19">
        <v>44476</v>
      </c>
      <c r="C649" s="24" t="str">
        <f t="shared" si="70"/>
        <v>07 October 2021</v>
      </c>
      <c r="D649" s="21">
        <f t="shared" si="66"/>
        <v>10</v>
      </c>
      <c r="E649" s="21" t="str">
        <f t="shared" si="67"/>
        <v>October</v>
      </c>
      <c r="F649" s="22">
        <f t="shared" si="68"/>
        <v>2021</v>
      </c>
      <c r="G649" s="23" t="str">
        <f t="shared" si="69"/>
        <v>2021-10</v>
      </c>
    </row>
    <row r="650" spans="1:7" x14ac:dyDescent="0.3">
      <c r="A650" s="18">
        <f t="shared" si="65"/>
        <v>20211008</v>
      </c>
      <c r="B650" s="19">
        <v>44477</v>
      </c>
      <c r="C650" s="24" t="str">
        <f t="shared" si="70"/>
        <v>08 October 2021</v>
      </c>
      <c r="D650" s="21">
        <f t="shared" si="66"/>
        <v>10</v>
      </c>
      <c r="E650" s="21" t="str">
        <f t="shared" si="67"/>
        <v>October</v>
      </c>
      <c r="F650" s="22">
        <f t="shared" si="68"/>
        <v>2021</v>
      </c>
      <c r="G650" s="23" t="str">
        <f t="shared" si="69"/>
        <v>2021-10</v>
      </c>
    </row>
    <row r="651" spans="1:7" x14ac:dyDescent="0.3">
      <c r="A651" s="18">
        <f t="shared" si="65"/>
        <v>20211009</v>
      </c>
      <c r="B651" s="19">
        <v>44478</v>
      </c>
      <c r="C651" s="24" t="str">
        <f t="shared" si="70"/>
        <v>09 October 2021</v>
      </c>
      <c r="D651" s="21">
        <f t="shared" si="66"/>
        <v>10</v>
      </c>
      <c r="E651" s="21" t="str">
        <f t="shared" si="67"/>
        <v>October</v>
      </c>
      <c r="F651" s="22">
        <f t="shared" si="68"/>
        <v>2021</v>
      </c>
      <c r="G651" s="23" t="str">
        <f t="shared" si="69"/>
        <v>2021-10</v>
      </c>
    </row>
    <row r="652" spans="1:7" x14ac:dyDescent="0.3">
      <c r="A652" s="18">
        <f t="shared" si="65"/>
        <v>20211010</v>
      </c>
      <c r="B652" s="19">
        <v>44479</v>
      </c>
      <c r="C652" s="24" t="str">
        <f t="shared" si="70"/>
        <v>10 October 2021</v>
      </c>
      <c r="D652" s="21">
        <f t="shared" si="66"/>
        <v>10</v>
      </c>
      <c r="E652" s="21" t="str">
        <f t="shared" si="67"/>
        <v>October</v>
      </c>
      <c r="F652" s="22">
        <f t="shared" si="68"/>
        <v>2021</v>
      </c>
      <c r="G652" s="23" t="str">
        <f t="shared" si="69"/>
        <v>2021-10</v>
      </c>
    </row>
    <row r="653" spans="1:7" x14ac:dyDescent="0.3">
      <c r="A653" s="18">
        <f t="shared" si="65"/>
        <v>20211011</v>
      </c>
      <c r="B653" s="19">
        <v>44480</v>
      </c>
      <c r="C653" s="24" t="str">
        <f t="shared" si="70"/>
        <v>11 October 2021</v>
      </c>
      <c r="D653" s="21">
        <f t="shared" si="66"/>
        <v>10</v>
      </c>
      <c r="E653" s="21" t="str">
        <f t="shared" si="67"/>
        <v>October</v>
      </c>
      <c r="F653" s="22">
        <f t="shared" si="68"/>
        <v>2021</v>
      </c>
      <c r="G653" s="23" t="str">
        <f t="shared" si="69"/>
        <v>2021-10</v>
      </c>
    </row>
    <row r="654" spans="1:7" x14ac:dyDescent="0.3">
      <c r="A654" s="18">
        <f t="shared" si="65"/>
        <v>20211012</v>
      </c>
      <c r="B654" s="19">
        <v>44481</v>
      </c>
      <c r="C654" s="24" t="str">
        <f t="shared" si="70"/>
        <v>12 October 2021</v>
      </c>
      <c r="D654" s="21">
        <f t="shared" si="66"/>
        <v>10</v>
      </c>
      <c r="E654" s="21" t="str">
        <f t="shared" si="67"/>
        <v>October</v>
      </c>
      <c r="F654" s="22">
        <f t="shared" si="68"/>
        <v>2021</v>
      </c>
      <c r="G654" s="23" t="str">
        <f t="shared" si="69"/>
        <v>2021-10</v>
      </c>
    </row>
    <row r="655" spans="1:7" x14ac:dyDescent="0.3">
      <c r="A655" s="18">
        <f t="shared" si="65"/>
        <v>20211013</v>
      </c>
      <c r="B655" s="19">
        <v>44482</v>
      </c>
      <c r="C655" s="24" t="str">
        <f t="shared" si="70"/>
        <v>13 October 2021</v>
      </c>
      <c r="D655" s="21">
        <f t="shared" si="66"/>
        <v>10</v>
      </c>
      <c r="E655" s="21" t="str">
        <f t="shared" si="67"/>
        <v>October</v>
      </c>
      <c r="F655" s="22">
        <f t="shared" si="68"/>
        <v>2021</v>
      </c>
      <c r="G655" s="23" t="str">
        <f t="shared" si="69"/>
        <v>2021-10</v>
      </c>
    </row>
    <row r="656" spans="1:7" x14ac:dyDescent="0.3">
      <c r="A656" s="18">
        <f t="shared" si="65"/>
        <v>20211014</v>
      </c>
      <c r="B656" s="19">
        <v>44483</v>
      </c>
      <c r="C656" s="24" t="str">
        <f t="shared" si="70"/>
        <v>14 October 2021</v>
      </c>
      <c r="D656" s="21">
        <f t="shared" si="66"/>
        <v>10</v>
      </c>
      <c r="E656" s="21" t="str">
        <f t="shared" si="67"/>
        <v>October</v>
      </c>
      <c r="F656" s="22">
        <f t="shared" si="68"/>
        <v>2021</v>
      </c>
      <c r="G656" s="23" t="str">
        <f t="shared" si="69"/>
        <v>2021-10</v>
      </c>
    </row>
    <row r="657" spans="1:7" x14ac:dyDescent="0.3">
      <c r="A657" s="18">
        <f t="shared" si="65"/>
        <v>20211015</v>
      </c>
      <c r="B657" s="19">
        <v>44484</v>
      </c>
      <c r="C657" s="24" t="str">
        <f t="shared" si="70"/>
        <v>15 October 2021</v>
      </c>
      <c r="D657" s="21">
        <f t="shared" si="66"/>
        <v>10</v>
      </c>
      <c r="E657" s="21" t="str">
        <f t="shared" si="67"/>
        <v>October</v>
      </c>
      <c r="F657" s="22">
        <f t="shared" si="68"/>
        <v>2021</v>
      </c>
      <c r="G657" s="23" t="str">
        <f t="shared" si="69"/>
        <v>2021-10</v>
      </c>
    </row>
    <row r="658" spans="1:7" x14ac:dyDescent="0.3">
      <c r="A658" s="18">
        <f t="shared" si="65"/>
        <v>20211016</v>
      </c>
      <c r="B658" s="19">
        <v>44485</v>
      </c>
      <c r="C658" s="24" t="str">
        <f t="shared" si="70"/>
        <v>16 October 2021</v>
      </c>
      <c r="D658" s="21">
        <f t="shared" si="66"/>
        <v>10</v>
      </c>
      <c r="E658" s="21" t="str">
        <f t="shared" si="67"/>
        <v>October</v>
      </c>
      <c r="F658" s="22">
        <f t="shared" si="68"/>
        <v>2021</v>
      </c>
      <c r="G658" s="23" t="str">
        <f t="shared" si="69"/>
        <v>2021-10</v>
      </c>
    </row>
    <row r="659" spans="1:7" x14ac:dyDescent="0.3">
      <c r="A659" s="18">
        <f t="shared" si="65"/>
        <v>20211017</v>
      </c>
      <c r="B659" s="19">
        <v>44486</v>
      </c>
      <c r="C659" s="24" t="str">
        <f t="shared" si="70"/>
        <v>17 October 2021</v>
      </c>
      <c r="D659" s="21">
        <f t="shared" si="66"/>
        <v>10</v>
      </c>
      <c r="E659" s="21" t="str">
        <f t="shared" si="67"/>
        <v>October</v>
      </c>
      <c r="F659" s="22">
        <f t="shared" si="68"/>
        <v>2021</v>
      </c>
      <c r="G659" s="23" t="str">
        <f t="shared" si="69"/>
        <v>2021-10</v>
      </c>
    </row>
    <row r="660" spans="1:7" x14ac:dyDescent="0.3">
      <c r="A660" s="18">
        <f t="shared" si="65"/>
        <v>20211018</v>
      </c>
      <c r="B660" s="19">
        <v>44487</v>
      </c>
      <c r="C660" s="24" t="str">
        <f t="shared" si="70"/>
        <v>18 October 2021</v>
      </c>
      <c r="D660" s="21">
        <f t="shared" si="66"/>
        <v>10</v>
      </c>
      <c r="E660" s="21" t="str">
        <f t="shared" si="67"/>
        <v>October</v>
      </c>
      <c r="F660" s="22">
        <f t="shared" si="68"/>
        <v>2021</v>
      </c>
      <c r="G660" s="23" t="str">
        <f t="shared" si="69"/>
        <v>2021-10</v>
      </c>
    </row>
    <row r="661" spans="1:7" x14ac:dyDescent="0.3">
      <c r="A661" s="18">
        <f t="shared" si="65"/>
        <v>20211019</v>
      </c>
      <c r="B661" s="19">
        <v>44488</v>
      </c>
      <c r="C661" s="24" t="str">
        <f t="shared" si="70"/>
        <v>19 October 2021</v>
      </c>
      <c r="D661" s="21">
        <f t="shared" si="66"/>
        <v>10</v>
      </c>
      <c r="E661" s="21" t="str">
        <f t="shared" si="67"/>
        <v>October</v>
      </c>
      <c r="F661" s="22">
        <f t="shared" si="68"/>
        <v>2021</v>
      </c>
      <c r="G661" s="23" t="str">
        <f t="shared" si="69"/>
        <v>2021-10</v>
      </c>
    </row>
    <row r="662" spans="1:7" x14ac:dyDescent="0.3">
      <c r="A662" s="18">
        <f t="shared" si="65"/>
        <v>20211020</v>
      </c>
      <c r="B662" s="19">
        <v>44489</v>
      </c>
      <c r="C662" s="24" t="str">
        <f t="shared" si="70"/>
        <v>20 October 2021</v>
      </c>
      <c r="D662" s="21">
        <f t="shared" si="66"/>
        <v>10</v>
      </c>
      <c r="E662" s="21" t="str">
        <f t="shared" si="67"/>
        <v>October</v>
      </c>
      <c r="F662" s="22">
        <f t="shared" si="68"/>
        <v>2021</v>
      </c>
      <c r="G662" s="23" t="str">
        <f t="shared" si="69"/>
        <v>2021-10</v>
      </c>
    </row>
    <row r="663" spans="1:7" x14ac:dyDescent="0.3">
      <c r="A663" s="18">
        <f t="shared" si="65"/>
        <v>20211021</v>
      </c>
      <c r="B663" s="19">
        <v>44490</v>
      </c>
      <c r="C663" s="24" t="str">
        <f t="shared" si="70"/>
        <v>21 October 2021</v>
      </c>
      <c r="D663" s="21">
        <f t="shared" si="66"/>
        <v>10</v>
      </c>
      <c r="E663" s="21" t="str">
        <f t="shared" si="67"/>
        <v>October</v>
      </c>
      <c r="F663" s="22">
        <f t="shared" si="68"/>
        <v>2021</v>
      </c>
      <c r="G663" s="23" t="str">
        <f t="shared" si="69"/>
        <v>2021-10</v>
      </c>
    </row>
    <row r="664" spans="1:7" x14ac:dyDescent="0.3">
      <c r="A664" s="18">
        <f t="shared" si="65"/>
        <v>20211022</v>
      </c>
      <c r="B664" s="19">
        <v>44491</v>
      </c>
      <c r="C664" s="24" t="str">
        <f t="shared" si="70"/>
        <v>22 October 2021</v>
      </c>
      <c r="D664" s="21">
        <f t="shared" si="66"/>
        <v>10</v>
      </c>
      <c r="E664" s="21" t="str">
        <f t="shared" si="67"/>
        <v>October</v>
      </c>
      <c r="F664" s="22">
        <f t="shared" si="68"/>
        <v>2021</v>
      </c>
      <c r="G664" s="23" t="str">
        <f t="shared" si="69"/>
        <v>2021-10</v>
      </c>
    </row>
    <row r="665" spans="1:7" x14ac:dyDescent="0.3">
      <c r="A665" s="18">
        <f t="shared" si="65"/>
        <v>20211023</v>
      </c>
      <c r="B665" s="19">
        <v>44492</v>
      </c>
      <c r="C665" s="24" t="str">
        <f t="shared" si="70"/>
        <v>23 October 2021</v>
      </c>
      <c r="D665" s="21">
        <f t="shared" si="66"/>
        <v>10</v>
      </c>
      <c r="E665" s="21" t="str">
        <f t="shared" si="67"/>
        <v>October</v>
      </c>
      <c r="F665" s="22">
        <f t="shared" si="68"/>
        <v>2021</v>
      </c>
      <c r="G665" s="23" t="str">
        <f t="shared" si="69"/>
        <v>2021-10</v>
      </c>
    </row>
    <row r="666" spans="1:7" x14ac:dyDescent="0.3">
      <c r="A666" s="18">
        <f t="shared" si="65"/>
        <v>20211024</v>
      </c>
      <c r="B666" s="19">
        <v>44493</v>
      </c>
      <c r="C666" s="24" t="str">
        <f t="shared" si="70"/>
        <v>24 October 2021</v>
      </c>
      <c r="D666" s="21">
        <f t="shared" si="66"/>
        <v>10</v>
      </c>
      <c r="E666" s="21" t="str">
        <f t="shared" si="67"/>
        <v>October</v>
      </c>
      <c r="F666" s="22">
        <f t="shared" si="68"/>
        <v>2021</v>
      </c>
      <c r="G666" s="23" t="str">
        <f t="shared" si="69"/>
        <v>2021-10</v>
      </c>
    </row>
    <row r="667" spans="1:7" x14ac:dyDescent="0.3">
      <c r="A667" s="18">
        <f t="shared" si="65"/>
        <v>20211025</v>
      </c>
      <c r="B667" s="19">
        <v>44494</v>
      </c>
      <c r="C667" s="24" t="str">
        <f t="shared" si="70"/>
        <v>25 October 2021</v>
      </c>
      <c r="D667" s="21">
        <f t="shared" si="66"/>
        <v>10</v>
      </c>
      <c r="E667" s="21" t="str">
        <f t="shared" si="67"/>
        <v>October</v>
      </c>
      <c r="F667" s="22">
        <f t="shared" si="68"/>
        <v>2021</v>
      </c>
      <c r="G667" s="23" t="str">
        <f t="shared" si="69"/>
        <v>2021-10</v>
      </c>
    </row>
    <row r="668" spans="1:7" x14ac:dyDescent="0.3">
      <c r="A668" s="18">
        <f t="shared" si="65"/>
        <v>20211026</v>
      </c>
      <c r="B668" s="19">
        <v>44495</v>
      </c>
      <c r="C668" s="24" t="str">
        <f t="shared" si="70"/>
        <v>26 October 2021</v>
      </c>
      <c r="D668" s="21">
        <f t="shared" si="66"/>
        <v>10</v>
      </c>
      <c r="E668" s="21" t="str">
        <f t="shared" si="67"/>
        <v>October</v>
      </c>
      <c r="F668" s="22">
        <f t="shared" si="68"/>
        <v>2021</v>
      </c>
      <c r="G668" s="23" t="str">
        <f t="shared" si="69"/>
        <v>2021-10</v>
      </c>
    </row>
    <row r="669" spans="1:7" x14ac:dyDescent="0.3">
      <c r="A669" s="18">
        <f t="shared" si="65"/>
        <v>20211027</v>
      </c>
      <c r="B669" s="19">
        <v>44496</v>
      </c>
      <c r="C669" s="24" t="str">
        <f t="shared" si="70"/>
        <v>27 October 2021</v>
      </c>
      <c r="D669" s="21">
        <f t="shared" si="66"/>
        <v>10</v>
      </c>
      <c r="E669" s="21" t="str">
        <f t="shared" si="67"/>
        <v>October</v>
      </c>
      <c r="F669" s="22">
        <f t="shared" si="68"/>
        <v>2021</v>
      </c>
      <c r="G669" s="23" t="str">
        <f t="shared" si="69"/>
        <v>2021-10</v>
      </c>
    </row>
    <row r="670" spans="1:7" x14ac:dyDescent="0.3">
      <c r="A670" s="18">
        <f t="shared" si="65"/>
        <v>20211028</v>
      </c>
      <c r="B670" s="19">
        <v>44497</v>
      </c>
      <c r="C670" s="24" t="str">
        <f t="shared" si="70"/>
        <v>28 October 2021</v>
      </c>
      <c r="D670" s="21">
        <f t="shared" si="66"/>
        <v>10</v>
      </c>
      <c r="E670" s="21" t="str">
        <f t="shared" si="67"/>
        <v>October</v>
      </c>
      <c r="F670" s="22">
        <f t="shared" si="68"/>
        <v>2021</v>
      </c>
      <c r="G670" s="23" t="str">
        <f t="shared" si="69"/>
        <v>2021-10</v>
      </c>
    </row>
    <row r="671" spans="1:7" x14ac:dyDescent="0.3">
      <c r="A671" s="18">
        <f t="shared" si="65"/>
        <v>20211029</v>
      </c>
      <c r="B671" s="19">
        <v>44498</v>
      </c>
      <c r="C671" s="24" t="str">
        <f t="shared" si="70"/>
        <v>29 October 2021</v>
      </c>
      <c r="D671" s="21">
        <f t="shared" si="66"/>
        <v>10</v>
      </c>
      <c r="E671" s="21" t="str">
        <f t="shared" si="67"/>
        <v>October</v>
      </c>
      <c r="F671" s="22">
        <f t="shared" si="68"/>
        <v>2021</v>
      </c>
      <c r="G671" s="23" t="str">
        <f t="shared" si="69"/>
        <v>2021-10</v>
      </c>
    </row>
    <row r="672" spans="1:7" x14ac:dyDescent="0.3">
      <c r="A672" s="18">
        <f t="shared" si="65"/>
        <v>20211030</v>
      </c>
      <c r="B672" s="19">
        <v>44499</v>
      </c>
      <c r="C672" s="24" t="str">
        <f t="shared" si="70"/>
        <v>30 October 2021</v>
      </c>
      <c r="D672" s="21">
        <f t="shared" si="66"/>
        <v>10</v>
      </c>
      <c r="E672" s="21" t="str">
        <f t="shared" si="67"/>
        <v>October</v>
      </c>
      <c r="F672" s="22">
        <f t="shared" si="68"/>
        <v>2021</v>
      </c>
      <c r="G672" s="23" t="str">
        <f t="shared" si="69"/>
        <v>2021-10</v>
      </c>
    </row>
    <row r="673" spans="1:7" x14ac:dyDescent="0.3">
      <c r="A673" s="18">
        <f t="shared" si="65"/>
        <v>20211031</v>
      </c>
      <c r="B673" s="19">
        <v>44500</v>
      </c>
      <c r="C673" s="24" t="str">
        <f t="shared" si="70"/>
        <v>31 October 2021</v>
      </c>
      <c r="D673" s="21">
        <f t="shared" si="66"/>
        <v>10</v>
      </c>
      <c r="E673" s="21" t="str">
        <f t="shared" si="67"/>
        <v>October</v>
      </c>
      <c r="F673" s="22">
        <f t="shared" si="68"/>
        <v>2021</v>
      </c>
      <c r="G673" s="23" t="str">
        <f t="shared" si="69"/>
        <v>2021-10</v>
      </c>
    </row>
    <row r="674" spans="1:7" x14ac:dyDescent="0.3">
      <c r="A674" s="18">
        <f t="shared" si="65"/>
        <v>20211101</v>
      </c>
      <c r="B674" s="19">
        <v>44501</v>
      </c>
      <c r="C674" s="24" t="str">
        <f t="shared" si="70"/>
        <v>01 November 2021</v>
      </c>
      <c r="D674" s="21">
        <f t="shared" si="66"/>
        <v>11</v>
      </c>
      <c r="E674" s="21" t="str">
        <f t="shared" si="67"/>
        <v>November</v>
      </c>
      <c r="F674" s="22">
        <f t="shared" si="68"/>
        <v>2021</v>
      </c>
      <c r="G674" s="23" t="str">
        <f t="shared" si="69"/>
        <v>2021-11</v>
      </c>
    </row>
    <row r="675" spans="1:7" x14ac:dyDescent="0.3">
      <c r="A675" s="18">
        <f t="shared" si="65"/>
        <v>20211102</v>
      </c>
      <c r="B675" s="19">
        <v>44502</v>
      </c>
      <c r="C675" s="24" t="str">
        <f t="shared" si="70"/>
        <v>02 November 2021</v>
      </c>
      <c r="D675" s="21">
        <f t="shared" si="66"/>
        <v>11</v>
      </c>
      <c r="E675" s="21" t="str">
        <f t="shared" si="67"/>
        <v>November</v>
      </c>
      <c r="F675" s="22">
        <f t="shared" si="68"/>
        <v>2021</v>
      </c>
      <c r="G675" s="23" t="str">
        <f t="shared" si="69"/>
        <v>2021-11</v>
      </c>
    </row>
    <row r="676" spans="1:7" x14ac:dyDescent="0.3">
      <c r="A676" s="18">
        <f t="shared" si="65"/>
        <v>20211103</v>
      </c>
      <c r="B676" s="19">
        <v>44503</v>
      </c>
      <c r="C676" s="24" t="str">
        <f t="shared" si="70"/>
        <v>03 November 2021</v>
      </c>
      <c r="D676" s="21">
        <f t="shared" si="66"/>
        <v>11</v>
      </c>
      <c r="E676" s="21" t="str">
        <f t="shared" si="67"/>
        <v>November</v>
      </c>
      <c r="F676" s="22">
        <f t="shared" si="68"/>
        <v>2021</v>
      </c>
      <c r="G676" s="23" t="str">
        <f t="shared" si="69"/>
        <v>2021-11</v>
      </c>
    </row>
    <row r="677" spans="1:7" x14ac:dyDescent="0.3">
      <c r="A677" s="18">
        <f t="shared" si="65"/>
        <v>20211104</v>
      </c>
      <c r="B677" s="19">
        <v>44504</v>
      </c>
      <c r="C677" s="24" t="str">
        <f t="shared" si="70"/>
        <v>04 November 2021</v>
      </c>
      <c r="D677" s="21">
        <f t="shared" si="66"/>
        <v>11</v>
      </c>
      <c r="E677" s="21" t="str">
        <f t="shared" si="67"/>
        <v>November</v>
      </c>
      <c r="F677" s="22">
        <f t="shared" si="68"/>
        <v>2021</v>
      </c>
      <c r="G677" s="23" t="str">
        <f t="shared" si="69"/>
        <v>2021-11</v>
      </c>
    </row>
    <row r="678" spans="1:7" x14ac:dyDescent="0.3">
      <c r="A678" s="18">
        <f t="shared" si="65"/>
        <v>20211105</v>
      </c>
      <c r="B678" s="19">
        <v>44505</v>
      </c>
      <c r="C678" s="24" t="str">
        <f t="shared" si="70"/>
        <v>05 November 2021</v>
      </c>
      <c r="D678" s="21">
        <f t="shared" si="66"/>
        <v>11</v>
      </c>
      <c r="E678" s="21" t="str">
        <f t="shared" si="67"/>
        <v>November</v>
      </c>
      <c r="F678" s="22">
        <f t="shared" si="68"/>
        <v>2021</v>
      </c>
      <c r="G678" s="23" t="str">
        <f t="shared" si="69"/>
        <v>2021-11</v>
      </c>
    </row>
    <row r="679" spans="1:7" x14ac:dyDescent="0.3">
      <c r="A679" s="18">
        <f t="shared" si="65"/>
        <v>20211106</v>
      </c>
      <c r="B679" s="19">
        <v>44506</v>
      </c>
      <c r="C679" s="24" t="str">
        <f t="shared" si="70"/>
        <v>06 November 2021</v>
      </c>
      <c r="D679" s="21">
        <f t="shared" si="66"/>
        <v>11</v>
      </c>
      <c r="E679" s="21" t="str">
        <f t="shared" si="67"/>
        <v>November</v>
      </c>
      <c r="F679" s="22">
        <f t="shared" si="68"/>
        <v>2021</v>
      </c>
      <c r="G679" s="23" t="str">
        <f t="shared" si="69"/>
        <v>2021-11</v>
      </c>
    </row>
    <row r="680" spans="1:7" x14ac:dyDescent="0.3">
      <c r="A680" s="18">
        <f t="shared" si="65"/>
        <v>20211107</v>
      </c>
      <c r="B680" s="19">
        <v>44507</v>
      </c>
      <c r="C680" s="24" t="str">
        <f t="shared" si="70"/>
        <v>07 November 2021</v>
      </c>
      <c r="D680" s="21">
        <f t="shared" si="66"/>
        <v>11</v>
      </c>
      <c r="E680" s="21" t="str">
        <f t="shared" si="67"/>
        <v>November</v>
      </c>
      <c r="F680" s="22">
        <f t="shared" si="68"/>
        <v>2021</v>
      </c>
      <c r="G680" s="23" t="str">
        <f t="shared" si="69"/>
        <v>2021-11</v>
      </c>
    </row>
    <row r="681" spans="1:7" x14ac:dyDescent="0.3">
      <c r="A681" s="18">
        <f t="shared" si="65"/>
        <v>20211108</v>
      </c>
      <c r="B681" s="19">
        <v>44508</v>
      </c>
      <c r="C681" s="24" t="str">
        <f t="shared" si="70"/>
        <v>08 November 2021</v>
      </c>
      <c r="D681" s="21">
        <f t="shared" si="66"/>
        <v>11</v>
      </c>
      <c r="E681" s="21" t="str">
        <f t="shared" si="67"/>
        <v>November</v>
      </c>
      <c r="F681" s="22">
        <f t="shared" si="68"/>
        <v>2021</v>
      </c>
      <c r="G681" s="23" t="str">
        <f t="shared" si="69"/>
        <v>2021-11</v>
      </c>
    </row>
    <row r="682" spans="1:7" x14ac:dyDescent="0.3">
      <c r="A682" s="18">
        <f t="shared" si="65"/>
        <v>20211109</v>
      </c>
      <c r="B682" s="19">
        <v>44509</v>
      </c>
      <c r="C682" s="24" t="str">
        <f t="shared" si="70"/>
        <v>09 November 2021</v>
      </c>
      <c r="D682" s="21">
        <f t="shared" si="66"/>
        <v>11</v>
      </c>
      <c r="E682" s="21" t="str">
        <f t="shared" si="67"/>
        <v>November</v>
      </c>
      <c r="F682" s="22">
        <f t="shared" si="68"/>
        <v>2021</v>
      </c>
      <c r="G682" s="23" t="str">
        <f t="shared" si="69"/>
        <v>2021-11</v>
      </c>
    </row>
    <row r="683" spans="1:7" x14ac:dyDescent="0.3">
      <c r="A683" s="18">
        <f t="shared" si="65"/>
        <v>20211110</v>
      </c>
      <c r="B683" s="19">
        <v>44510</v>
      </c>
      <c r="C683" s="24" t="str">
        <f t="shared" si="70"/>
        <v>10 November 2021</v>
      </c>
      <c r="D683" s="21">
        <f t="shared" si="66"/>
        <v>11</v>
      </c>
      <c r="E683" s="21" t="str">
        <f t="shared" si="67"/>
        <v>November</v>
      </c>
      <c r="F683" s="22">
        <f t="shared" si="68"/>
        <v>2021</v>
      </c>
      <c r="G683" s="23" t="str">
        <f t="shared" si="69"/>
        <v>2021-11</v>
      </c>
    </row>
    <row r="684" spans="1:7" x14ac:dyDescent="0.3">
      <c r="A684" s="18">
        <f t="shared" si="65"/>
        <v>20211111</v>
      </c>
      <c r="B684" s="19">
        <v>44511</v>
      </c>
      <c r="C684" s="24" t="str">
        <f t="shared" si="70"/>
        <v>11 November 2021</v>
      </c>
      <c r="D684" s="21">
        <f t="shared" si="66"/>
        <v>11</v>
      </c>
      <c r="E684" s="21" t="str">
        <f t="shared" si="67"/>
        <v>November</v>
      </c>
      <c r="F684" s="22">
        <f t="shared" si="68"/>
        <v>2021</v>
      </c>
      <c r="G684" s="23" t="str">
        <f t="shared" si="69"/>
        <v>2021-11</v>
      </c>
    </row>
    <row r="685" spans="1:7" x14ac:dyDescent="0.3">
      <c r="A685" s="18">
        <f t="shared" si="65"/>
        <v>20211112</v>
      </c>
      <c r="B685" s="19">
        <v>44512</v>
      </c>
      <c r="C685" s="24" t="str">
        <f t="shared" si="70"/>
        <v>12 November 2021</v>
      </c>
      <c r="D685" s="21">
        <f t="shared" si="66"/>
        <v>11</v>
      </c>
      <c r="E685" s="21" t="str">
        <f t="shared" si="67"/>
        <v>November</v>
      </c>
      <c r="F685" s="22">
        <f t="shared" si="68"/>
        <v>2021</v>
      </c>
      <c r="G685" s="23" t="str">
        <f t="shared" si="69"/>
        <v>2021-11</v>
      </c>
    </row>
    <row r="686" spans="1:7" x14ac:dyDescent="0.3">
      <c r="A686" s="18">
        <f t="shared" si="65"/>
        <v>20211113</v>
      </c>
      <c r="B686" s="19">
        <v>44513</v>
      </c>
      <c r="C686" s="24" t="str">
        <f t="shared" si="70"/>
        <v>13 November 2021</v>
      </c>
      <c r="D686" s="21">
        <f t="shared" si="66"/>
        <v>11</v>
      </c>
      <c r="E686" s="21" t="str">
        <f t="shared" si="67"/>
        <v>November</v>
      </c>
      <c r="F686" s="22">
        <f t="shared" si="68"/>
        <v>2021</v>
      </c>
      <c r="G686" s="23" t="str">
        <f t="shared" si="69"/>
        <v>2021-11</v>
      </c>
    </row>
    <row r="687" spans="1:7" x14ac:dyDescent="0.3">
      <c r="A687" s="18">
        <f t="shared" si="65"/>
        <v>20211114</v>
      </c>
      <c r="B687" s="19">
        <v>44514</v>
      </c>
      <c r="C687" s="24" t="str">
        <f t="shared" si="70"/>
        <v>14 November 2021</v>
      </c>
      <c r="D687" s="21">
        <f t="shared" si="66"/>
        <v>11</v>
      </c>
      <c r="E687" s="21" t="str">
        <f t="shared" si="67"/>
        <v>November</v>
      </c>
      <c r="F687" s="22">
        <f t="shared" si="68"/>
        <v>2021</v>
      </c>
      <c r="G687" s="23" t="str">
        <f t="shared" si="69"/>
        <v>2021-11</v>
      </c>
    </row>
    <row r="688" spans="1:7" x14ac:dyDescent="0.3">
      <c r="A688" s="18">
        <f t="shared" si="65"/>
        <v>20211115</v>
      </c>
      <c r="B688" s="19">
        <v>44515</v>
      </c>
      <c r="C688" s="24" t="str">
        <f t="shared" si="70"/>
        <v>15 November 2021</v>
      </c>
      <c r="D688" s="21">
        <f t="shared" si="66"/>
        <v>11</v>
      </c>
      <c r="E688" s="21" t="str">
        <f t="shared" si="67"/>
        <v>November</v>
      </c>
      <c r="F688" s="22">
        <f t="shared" si="68"/>
        <v>2021</v>
      </c>
      <c r="G688" s="23" t="str">
        <f t="shared" si="69"/>
        <v>2021-11</v>
      </c>
    </row>
    <row r="689" spans="1:7" x14ac:dyDescent="0.3">
      <c r="A689" s="18">
        <f t="shared" si="65"/>
        <v>20211116</v>
      </c>
      <c r="B689" s="19">
        <v>44516</v>
      </c>
      <c r="C689" s="24" t="str">
        <f t="shared" si="70"/>
        <v>16 November 2021</v>
      </c>
      <c r="D689" s="21">
        <f t="shared" si="66"/>
        <v>11</v>
      </c>
      <c r="E689" s="21" t="str">
        <f t="shared" si="67"/>
        <v>November</v>
      </c>
      <c r="F689" s="22">
        <f t="shared" si="68"/>
        <v>2021</v>
      </c>
      <c r="G689" s="23" t="str">
        <f t="shared" si="69"/>
        <v>2021-11</v>
      </c>
    </row>
    <row r="690" spans="1:7" x14ac:dyDescent="0.3">
      <c r="A690" s="18">
        <f t="shared" si="65"/>
        <v>20211117</v>
      </c>
      <c r="B690" s="19">
        <v>44517</v>
      </c>
      <c r="C690" s="24" t="str">
        <f t="shared" si="70"/>
        <v>17 November 2021</v>
      </c>
      <c r="D690" s="21">
        <f t="shared" si="66"/>
        <v>11</v>
      </c>
      <c r="E690" s="21" t="str">
        <f t="shared" si="67"/>
        <v>November</v>
      </c>
      <c r="F690" s="22">
        <f t="shared" si="68"/>
        <v>2021</v>
      </c>
      <c r="G690" s="23" t="str">
        <f t="shared" si="69"/>
        <v>2021-11</v>
      </c>
    </row>
    <row r="691" spans="1:7" x14ac:dyDescent="0.3">
      <c r="A691" s="18">
        <f t="shared" si="65"/>
        <v>20211118</v>
      </c>
      <c r="B691" s="19">
        <v>44518</v>
      </c>
      <c r="C691" s="24" t="str">
        <f t="shared" si="70"/>
        <v>18 November 2021</v>
      </c>
      <c r="D691" s="21">
        <f t="shared" si="66"/>
        <v>11</v>
      </c>
      <c r="E691" s="21" t="str">
        <f t="shared" si="67"/>
        <v>November</v>
      </c>
      <c r="F691" s="22">
        <f t="shared" si="68"/>
        <v>2021</v>
      </c>
      <c r="G691" s="23" t="str">
        <f t="shared" si="69"/>
        <v>2021-11</v>
      </c>
    </row>
    <row r="692" spans="1:7" x14ac:dyDescent="0.3">
      <c r="A692" s="18">
        <f t="shared" si="65"/>
        <v>20211119</v>
      </c>
      <c r="B692" s="19">
        <v>44519</v>
      </c>
      <c r="C692" s="24" t="str">
        <f t="shared" si="70"/>
        <v>19 November 2021</v>
      </c>
      <c r="D692" s="21">
        <f t="shared" si="66"/>
        <v>11</v>
      </c>
      <c r="E692" s="21" t="str">
        <f t="shared" si="67"/>
        <v>November</v>
      </c>
      <c r="F692" s="22">
        <f t="shared" si="68"/>
        <v>2021</v>
      </c>
      <c r="G692" s="23" t="str">
        <f t="shared" si="69"/>
        <v>2021-11</v>
      </c>
    </row>
    <row r="693" spans="1:7" x14ac:dyDescent="0.3">
      <c r="A693" s="18">
        <f t="shared" si="65"/>
        <v>20211120</v>
      </c>
      <c r="B693" s="19">
        <v>44520</v>
      </c>
      <c r="C693" s="24" t="str">
        <f t="shared" si="70"/>
        <v>20 November 2021</v>
      </c>
      <c r="D693" s="21">
        <f t="shared" si="66"/>
        <v>11</v>
      </c>
      <c r="E693" s="21" t="str">
        <f t="shared" si="67"/>
        <v>November</v>
      </c>
      <c r="F693" s="22">
        <f t="shared" si="68"/>
        <v>2021</v>
      </c>
      <c r="G693" s="23" t="str">
        <f t="shared" si="69"/>
        <v>2021-11</v>
      </c>
    </row>
    <row r="694" spans="1:7" x14ac:dyDescent="0.3">
      <c r="A694" s="18">
        <f t="shared" si="65"/>
        <v>20211121</v>
      </c>
      <c r="B694" s="19">
        <v>44521</v>
      </c>
      <c r="C694" s="24" t="str">
        <f t="shared" si="70"/>
        <v>21 November 2021</v>
      </c>
      <c r="D694" s="21">
        <f t="shared" si="66"/>
        <v>11</v>
      </c>
      <c r="E694" s="21" t="str">
        <f t="shared" si="67"/>
        <v>November</v>
      </c>
      <c r="F694" s="22">
        <f t="shared" si="68"/>
        <v>2021</v>
      </c>
      <c r="G694" s="23" t="str">
        <f t="shared" si="69"/>
        <v>2021-11</v>
      </c>
    </row>
    <row r="695" spans="1:7" x14ac:dyDescent="0.3">
      <c r="A695" s="18">
        <f t="shared" si="65"/>
        <v>20211122</v>
      </c>
      <c r="B695" s="19">
        <v>44522</v>
      </c>
      <c r="C695" s="24" t="str">
        <f t="shared" si="70"/>
        <v>22 November 2021</v>
      </c>
      <c r="D695" s="21">
        <f t="shared" si="66"/>
        <v>11</v>
      </c>
      <c r="E695" s="21" t="str">
        <f t="shared" si="67"/>
        <v>November</v>
      </c>
      <c r="F695" s="22">
        <f t="shared" si="68"/>
        <v>2021</v>
      </c>
      <c r="G695" s="23" t="str">
        <f t="shared" si="69"/>
        <v>2021-11</v>
      </c>
    </row>
    <row r="696" spans="1:7" x14ac:dyDescent="0.3">
      <c r="A696" s="18">
        <f t="shared" si="65"/>
        <v>20211123</v>
      </c>
      <c r="B696" s="19">
        <v>44523</v>
      </c>
      <c r="C696" s="24" t="str">
        <f t="shared" si="70"/>
        <v>23 November 2021</v>
      </c>
      <c r="D696" s="21">
        <f t="shared" si="66"/>
        <v>11</v>
      </c>
      <c r="E696" s="21" t="str">
        <f t="shared" si="67"/>
        <v>November</v>
      </c>
      <c r="F696" s="22">
        <f t="shared" si="68"/>
        <v>2021</v>
      </c>
      <c r="G696" s="23" t="str">
        <f t="shared" si="69"/>
        <v>2021-11</v>
      </c>
    </row>
    <row r="697" spans="1:7" x14ac:dyDescent="0.3">
      <c r="A697" s="18">
        <f t="shared" si="65"/>
        <v>20211124</v>
      </c>
      <c r="B697" s="19">
        <v>44524</v>
      </c>
      <c r="C697" s="24" t="str">
        <f t="shared" si="70"/>
        <v>24 November 2021</v>
      </c>
      <c r="D697" s="21">
        <f t="shared" si="66"/>
        <v>11</v>
      </c>
      <c r="E697" s="21" t="str">
        <f t="shared" si="67"/>
        <v>November</v>
      </c>
      <c r="F697" s="22">
        <f t="shared" si="68"/>
        <v>2021</v>
      </c>
      <c r="G697" s="23" t="str">
        <f t="shared" si="69"/>
        <v>2021-11</v>
      </c>
    </row>
    <row r="698" spans="1:7" x14ac:dyDescent="0.3">
      <c r="A698" s="18">
        <f t="shared" si="65"/>
        <v>20211125</v>
      </c>
      <c r="B698" s="19">
        <v>44525</v>
      </c>
      <c r="C698" s="24" t="str">
        <f t="shared" si="70"/>
        <v>25 November 2021</v>
      </c>
      <c r="D698" s="21">
        <f t="shared" si="66"/>
        <v>11</v>
      </c>
      <c r="E698" s="21" t="str">
        <f t="shared" si="67"/>
        <v>November</v>
      </c>
      <c r="F698" s="22">
        <f t="shared" si="68"/>
        <v>2021</v>
      </c>
      <c r="G698" s="23" t="str">
        <f t="shared" si="69"/>
        <v>2021-11</v>
      </c>
    </row>
    <row r="699" spans="1:7" x14ac:dyDescent="0.3">
      <c r="A699" s="18">
        <f t="shared" si="65"/>
        <v>20211126</v>
      </c>
      <c r="B699" s="19">
        <v>44526</v>
      </c>
      <c r="C699" s="24" t="str">
        <f t="shared" si="70"/>
        <v>26 November 2021</v>
      </c>
      <c r="D699" s="21">
        <f t="shared" si="66"/>
        <v>11</v>
      </c>
      <c r="E699" s="21" t="str">
        <f t="shared" si="67"/>
        <v>November</v>
      </c>
      <c r="F699" s="22">
        <f t="shared" si="68"/>
        <v>2021</v>
      </c>
      <c r="G699" s="23" t="str">
        <f t="shared" si="69"/>
        <v>2021-11</v>
      </c>
    </row>
    <row r="700" spans="1:7" x14ac:dyDescent="0.3">
      <c r="A700" s="18">
        <f t="shared" si="65"/>
        <v>20211127</v>
      </c>
      <c r="B700" s="19">
        <v>44527</v>
      </c>
      <c r="C700" s="24" t="str">
        <f t="shared" si="70"/>
        <v>27 November 2021</v>
      </c>
      <c r="D700" s="21">
        <f t="shared" si="66"/>
        <v>11</v>
      </c>
      <c r="E700" s="21" t="str">
        <f t="shared" si="67"/>
        <v>November</v>
      </c>
      <c r="F700" s="22">
        <f t="shared" si="68"/>
        <v>2021</v>
      </c>
      <c r="G700" s="23" t="str">
        <f t="shared" si="69"/>
        <v>2021-11</v>
      </c>
    </row>
    <row r="701" spans="1:7" x14ac:dyDescent="0.3">
      <c r="A701" s="18">
        <f t="shared" si="65"/>
        <v>20211128</v>
      </c>
      <c r="B701" s="19">
        <v>44528</v>
      </c>
      <c r="C701" s="24" t="str">
        <f t="shared" si="70"/>
        <v>28 November 2021</v>
      </c>
      <c r="D701" s="21">
        <f t="shared" si="66"/>
        <v>11</v>
      </c>
      <c r="E701" s="21" t="str">
        <f t="shared" si="67"/>
        <v>November</v>
      </c>
      <c r="F701" s="22">
        <f t="shared" si="68"/>
        <v>2021</v>
      </c>
      <c r="G701" s="23" t="str">
        <f t="shared" si="69"/>
        <v>2021-11</v>
      </c>
    </row>
    <row r="702" spans="1:7" x14ac:dyDescent="0.3">
      <c r="A702" s="18">
        <f t="shared" ref="A702:A765" si="71">YEAR(B702)*10000+MONTH(B702)*100+DAY(B702)</f>
        <v>20211129</v>
      </c>
      <c r="B702" s="19">
        <v>44529</v>
      </c>
      <c r="C702" s="24" t="str">
        <f t="shared" si="70"/>
        <v>29 November 2021</v>
      </c>
      <c r="D702" s="21">
        <f t="shared" ref="D702:D734" si="72">MONTH(B702)</f>
        <v>11</v>
      </c>
      <c r="E702" s="21" t="str">
        <f t="shared" ref="E702:E734" si="73">TEXT(B702,"MMMM")</f>
        <v>November</v>
      </c>
      <c r="F702" s="22">
        <f t="shared" ref="F702:F734" si="74">YEAR(B702)</f>
        <v>2021</v>
      </c>
      <c r="G702" s="23" t="str">
        <f t="shared" ref="G702:G734" si="75">TEXT(B702,"YYYY-MM")</f>
        <v>2021-11</v>
      </c>
    </row>
    <row r="703" spans="1:7" x14ac:dyDescent="0.3">
      <c r="A703" s="18">
        <f t="shared" si="71"/>
        <v>20211130</v>
      </c>
      <c r="B703" s="19">
        <v>44530</v>
      </c>
      <c r="C703" s="24" t="str">
        <f t="shared" ref="C703:C734" si="76">TEXT(B703,"dd MMMM YYYY")</f>
        <v>30 November 2021</v>
      </c>
      <c r="D703" s="21">
        <f t="shared" si="72"/>
        <v>11</v>
      </c>
      <c r="E703" s="21" t="str">
        <f t="shared" si="73"/>
        <v>November</v>
      </c>
      <c r="F703" s="22">
        <f t="shared" si="74"/>
        <v>2021</v>
      </c>
      <c r="G703" s="23" t="str">
        <f t="shared" si="75"/>
        <v>2021-11</v>
      </c>
    </row>
    <row r="704" spans="1:7" x14ac:dyDescent="0.3">
      <c r="A704" s="18">
        <f t="shared" si="71"/>
        <v>20211201</v>
      </c>
      <c r="B704" s="19">
        <v>44531</v>
      </c>
      <c r="C704" s="24" t="str">
        <f t="shared" si="76"/>
        <v>01 December 2021</v>
      </c>
      <c r="D704" s="21">
        <f t="shared" si="72"/>
        <v>12</v>
      </c>
      <c r="E704" s="21" t="str">
        <f t="shared" si="73"/>
        <v>December</v>
      </c>
      <c r="F704" s="22">
        <f t="shared" si="74"/>
        <v>2021</v>
      </c>
      <c r="G704" s="23" t="str">
        <f t="shared" si="75"/>
        <v>2021-12</v>
      </c>
    </row>
    <row r="705" spans="1:7" x14ac:dyDescent="0.3">
      <c r="A705" s="18">
        <f t="shared" si="71"/>
        <v>20211202</v>
      </c>
      <c r="B705" s="19">
        <v>44532</v>
      </c>
      <c r="C705" s="24" t="str">
        <f t="shared" si="76"/>
        <v>02 December 2021</v>
      </c>
      <c r="D705" s="21">
        <f t="shared" si="72"/>
        <v>12</v>
      </c>
      <c r="E705" s="21" t="str">
        <f t="shared" si="73"/>
        <v>December</v>
      </c>
      <c r="F705" s="22">
        <f t="shared" si="74"/>
        <v>2021</v>
      </c>
      <c r="G705" s="23" t="str">
        <f t="shared" si="75"/>
        <v>2021-12</v>
      </c>
    </row>
    <row r="706" spans="1:7" x14ac:dyDescent="0.3">
      <c r="A706" s="18">
        <f t="shared" si="71"/>
        <v>20211203</v>
      </c>
      <c r="B706" s="19">
        <v>44533</v>
      </c>
      <c r="C706" s="24" t="str">
        <f t="shared" si="76"/>
        <v>03 December 2021</v>
      </c>
      <c r="D706" s="21">
        <f t="shared" si="72"/>
        <v>12</v>
      </c>
      <c r="E706" s="21" t="str">
        <f t="shared" si="73"/>
        <v>December</v>
      </c>
      <c r="F706" s="22">
        <f t="shared" si="74"/>
        <v>2021</v>
      </c>
      <c r="G706" s="23" t="str">
        <f t="shared" si="75"/>
        <v>2021-12</v>
      </c>
    </row>
    <row r="707" spans="1:7" x14ac:dyDescent="0.3">
      <c r="A707" s="18">
        <f t="shared" si="71"/>
        <v>20211204</v>
      </c>
      <c r="B707" s="19">
        <v>44534</v>
      </c>
      <c r="C707" s="24" t="str">
        <f t="shared" si="76"/>
        <v>04 December 2021</v>
      </c>
      <c r="D707" s="21">
        <f t="shared" si="72"/>
        <v>12</v>
      </c>
      <c r="E707" s="21" t="str">
        <f t="shared" si="73"/>
        <v>December</v>
      </c>
      <c r="F707" s="22">
        <f t="shared" si="74"/>
        <v>2021</v>
      </c>
      <c r="G707" s="23" t="str">
        <f t="shared" si="75"/>
        <v>2021-12</v>
      </c>
    </row>
    <row r="708" spans="1:7" x14ac:dyDescent="0.3">
      <c r="A708" s="18">
        <f t="shared" si="71"/>
        <v>20211205</v>
      </c>
      <c r="B708" s="19">
        <v>44535</v>
      </c>
      <c r="C708" s="24" t="str">
        <f t="shared" si="76"/>
        <v>05 December 2021</v>
      </c>
      <c r="D708" s="21">
        <f t="shared" si="72"/>
        <v>12</v>
      </c>
      <c r="E708" s="21" t="str">
        <f t="shared" si="73"/>
        <v>December</v>
      </c>
      <c r="F708" s="22">
        <f t="shared" si="74"/>
        <v>2021</v>
      </c>
      <c r="G708" s="23" t="str">
        <f t="shared" si="75"/>
        <v>2021-12</v>
      </c>
    </row>
    <row r="709" spans="1:7" x14ac:dyDescent="0.3">
      <c r="A709" s="18">
        <f t="shared" si="71"/>
        <v>20211206</v>
      </c>
      <c r="B709" s="19">
        <v>44536</v>
      </c>
      <c r="C709" s="24" t="str">
        <f t="shared" si="76"/>
        <v>06 December 2021</v>
      </c>
      <c r="D709" s="21">
        <f t="shared" si="72"/>
        <v>12</v>
      </c>
      <c r="E709" s="21" t="str">
        <f t="shared" si="73"/>
        <v>December</v>
      </c>
      <c r="F709" s="22">
        <f t="shared" si="74"/>
        <v>2021</v>
      </c>
      <c r="G709" s="23" t="str">
        <f t="shared" si="75"/>
        <v>2021-12</v>
      </c>
    </row>
    <row r="710" spans="1:7" x14ac:dyDescent="0.3">
      <c r="A710" s="18">
        <f t="shared" si="71"/>
        <v>20211207</v>
      </c>
      <c r="B710" s="19">
        <v>44537</v>
      </c>
      <c r="C710" s="24" t="str">
        <f t="shared" si="76"/>
        <v>07 December 2021</v>
      </c>
      <c r="D710" s="21">
        <f t="shared" si="72"/>
        <v>12</v>
      </c>
      <c r="E710" s="21" t="str">
        <f t="shared" si="73"/>
        <v>December</v>
      </c>
      <c r="F710" s="22">
        <f t="shared" si="74"/>
        <v>2021</v>
      </c>
      <c r="G710" s="23" t="str">
        <f t="shared" si="75"/>
        <v>2021-12</v>
      </c>
    </row>
    <row r="711" spans="1:7" x14ac:dyDescent="0.3">
      <c r="A711" s="18">
        <f t="shared" si="71"/>
        <v>20211208</v>
      </c>
      <c r="B711" s="19">
        <v>44538</v>
      </c>
      <c r="C711" s="24" t="str">
        <f t="shared" si="76"/>
        <v>08 December 2021</v>
      </c>
      <c r="D711" s="21">
        <f t="shared" si="72"/>
        <v>12</v>
      </c>
      <c r="E711" s="21" t="str">
        <f t="shared" si="73"/>
        <v>December</v>
      </c>
      <c r="F711" s="22">
        <f t="shared" si="74"/>
        <v>2021</v>
      </c>
      <c r="G711" s="23" t="str">
        <f t="shared" si="75"/>
        <v>2021-12</v>
      </c>
    </row>
    <row r="712" spans="1:7" x14ac:dyDescent="0.3">
      <c r="A712" s="18">
        <f t="shared" si="71"/>
        <v>20211209</v>
      </c>
      <c r="B712" s="19">
        <v>44539</v>
      </c>
      <c r="C712" s="24" t="str">
        <f t="shared" si="76"/>
        <v>09 December 2021</v>
      </c>
      <c r="D712" s="21">
        <f t="shared" si="72"/>
        <v>12</v>
      </c>
      <c r="E712" s="21" t="str">
        <f t="shared" si="73"/>
        <v>December</v>
      </c>
      <c r="F712" s="22">
        <f t="shared" si="74"/>
        <v>2021</v>
      </c>
      <c r="G712" s="23" t="str">
        <f t="shared" si="75"/>
        <v>2021-12</v>
      </c>
    </row>
    <row r="713" spans="1:7" x14ac:dyDescent="0.3">
      <c r="A713" s="18">
        <f t="shared" si="71"/>
        <v>20211210</v>
      </c>
      <c r="B713" s="19">
        <v>44540</v>
      </c>
      <c r="C713" s="24" t="str">
        <f t="shared" si="76"/>
        <v>10 December 2021</v>
      </c>
      <c r="D713" s="21">
        <f t="shared" si="72"/>
        <v>12</v>
      </c>
      <c r="E713" s="21" t="str">
        <f t="shared" si="73"/>
        <v>December</v>
      </c>
      <c r="F713" s="22">
        <f t="shared" si="74"/>
        <v>2021</v>
      </c>
      <c r="G713" s="23" t="str">
        <f t="shared" si="75"/>
        <v>2021-12</v>
      </c>
    </row>
    <row r="714" spans="1:7" x14ac:dyDescent="0.3">
      <c r="A714" s="18">
        <f t="shared" si="71"/>
        <v>20211211</v>
      </c>
      <c r="B714" s="19">
        <v>44541</v>
      </c>
      <c r="C714" s="24" t="str">
        <f t="shared" si="76"/>
        <v>11 December 2021</v>
      </c>
      <c r="D714" s="21">
        <f t="shared" si="72"/>
        <v>12</v>
      </c>
      <c r="E714" s="21" t="str">
        <f t="shared" si="73"/>
        <v>December</v>
      </c>
      <c r="F714" s="22">
        <f t="shared" si="74"/>
        <v>2021</v>
      </c>
      <c r="G714" s="23" t="str">
        <f t="shared" si="75"/>
        <v>2021-12</v>
      </c>
    </row>
    <row r="715" spans="1:7" x14ac:dyDescent="0.3">
      <c r="A715" s="18">
        <f t="shared" si="71"/>
        <v>20211212</v>
      </c>
      <c r="B715" s="19">
        <v>44542</v>
      </c>
      <c r="C715" s="24" t="str">
        <f t="shared" si="76"/>
        <v>12 December 2021</v>
      </c>
      <c r="D715" s="21">
        <f t="shared" si="72"/>
        <v>12</v>
      </c>
      <c r="E715" s="21" t="str">
        <f t="shared" si="73"/>
        <v>December</v>
      </c>
      <c r="F715" s="22">
        <f t="shared" si="74"/>
        <v>2021</v>
      </c>
      <c r="G715" s="23" t="str">
        <f t="shared" si="75"/>
        <v>2021-12</v>
      </c>
    </row>
    <row r="716" spans="1:7" x14ac:dyDescent="0.3">
      <c r="A716" s="18">
        <f t="shared" si="71"/>
        <v>20211213</v>
      </c>
      <c r="B716" s="19">
        <v>44543</v>
      </c>
      <c r="C716" s="24" t="str">
        <f t="shared" si="76"/>
        <v>13 December 2021</v>
      </c>
      <c r="D716" s="21">
        <f t="shared" si="72"/>
        <v>12</v>
      </c>
      <c r="E716" s="21" t="str">
        <f t="shared" si="73"/>
        <v>December</v>
      </c>
      <c r="F716" s="22">
        <f t="shared" si="74"/>
        <v>2021</v>
      </c>
      <c r="G716" s="23" t="str">
        <f t="shared" si="75"/>
        <v>2021-12</v>
      </c>
    </row>
    <row r="717" spans="1:7" x14ac:dyDescent="0.3">
      <c r="A717" s="18">
        <f t="shared" si="71"/>
        <v>20211214</v>
      </c>
      <c r="B717" s="19">
        <v>44544</v>
      </c>
      <c r="C717" s="24" t="str">
        <f t="shared" si="76"/>
        <v>14 December 2021</v>
      </c>
      <c r="D717" s="21">
        <f t="shared" si="72"/>
        <v>12</v>
      </c>
      <c r="E717" s="21" t="str">
        <f t="shared" si="73"/>
        <v>December</v>
      </c>
      <c r="F717" s="22">
        <f t="shared" si="74"/>
        <v>2021</v>
      </c>
      <c r="G717" s="23" t="str">
        <f t="shared" si="75"/>
        <v>2021-12</v>
      </c>
    </row>
    <row r="718" spans="1:7" x14ac:dyDescent="0.3">
      <c r="A718" s="18">
        <f t="shared" si="71"/>
        <v>20211215</v>
      </c>
      <c r="B718" s="19">
        <v>44545</v>
      </c>
      <c r="C718" s="24" t="str">
        <f t="shared" si="76"/>
        <v>15 December 2021</v>
      </c>
      <c r="D718" s="21">
        <f t="shared" si="72"/>
        <v>12</v>
      </c>
      <c r="E718" s="21" t="str">
        <f t="shared" si="73"/>
        <v>December</v>
      </c>
      <c r="F718" s="22">
        <f t="shared" si="74"/>
        <v>2021</v>
      </c>
      <c r="G718" s="23" t="str">
        <f t="shared" si="75"/>
        <v>2021-12</v>
      </c>
    </row>
    <row r="719" spans="1:7" x14ac:dyDescent="0.3">
      <c r="A719" s="18">
        <f t="shared" si="71"/>
        <v>20211216</v>
      </c>
      <c r="B719" s="19">
        <v>44546</v>
      </c>
      <c r="C719" s="24" t="str">
        <f t="shared" si="76"/>
        <v>16 December 2021</v>
      </c>
      <c r="D719" s="21">
        <f t="shared" si="72"/>
        <v>12</v>
      </c>
      <c r="E719" s="21" t="str">
        <f t="shared" si="73"/>
        <v>December</v>
      </c>
      <c r="F719" s="22">
        <f t="shared" si="74"/>
        <v>2021</v>
      </c>
      <c r="G719" s="23" t="str">
        <f t="shared" si="75"/>
        <v>2021-12</v>
      </c>
    </row>
    <row r="720" spans="1:7" x14ac:dyDescent="0.3">
      <c r="A720" s="18">
        <f t="shared" si="71"/>
        <v>20211217</v>
      </c>
      <c r="B720" s="19">
        <v>44547</v>
      </c>
      <c r="C720" s="24" t="str">
        <f t="shared" si="76"/>
        <v>17 December 2021</v>
      </c>
      <c r="D720" s="21">
        <f t="shared" si="72"/>
        <v>12</v>
      </c>
      <c r="E720" s="21" t="str">
        <f t="shared" si="73"/>
        <v>December</v>
      </c>
      <c r="F720" s="22">
        <f t="shared" si="74"/>
        <v>2021</v>
      </c>
      <c r="G720" s="23" t="str">
        <f t="shared" si="75"/>
        <v>2021-12</v>
      </c>
    </row>
    <row r="721" spans="1:7" x14ac:dyDescent="0.3">
      <c r="A721" s="18">
        <f t="shared" si="71"/>
        <v>20211218</v>
      </c>
      <c r="B721" s="19">
        <v>44548</v>
      </c>
      <c r="C721" s="24" t="str">
        <f t="shared" si="76"/>
        <v>18 December 2021</v>
      </c>
      <c r="D721" s="21">
        <f t="shared" si="72"/>
        <v>12</v>
      </c>
      <c r="E721" s="21" t="str">
        <f t="shared" si="73"/>
        <v>December</v>
      </c>
      <c r="F721" s="22">
        <f t="shared" si="74"/>
        <v>2021</v>
      </c>
      <c r="G721" s="23" t="str">
        <f t="shared" si="75"/>
        <v>2021-12</v>
      </c>
    </row>
    <row r="722" spans="1:7" x14ac:dyDescent="0.3">
      <c r="A722" s="18">
        <f t="shared" si="71"/>
        <v>20211219</v>
      </c>
      <c r="B722" s="19">
        <v>44549</v>
      </c>
      <c r="C722" s="24" t="str">
        <f t="shared" si="76"/>
        <v>19 December 2021</v>
      </c>
      <c r="D722" s="21">
        <f t="shared" si="72"/>
        <v>12</v>
      </c>
      <c r="E722" s="21" t="str">
        <f t="shared" si="73"/>
        <v>December</v>
      </c>
      <c r="F722" s="22">
        <f t="shared" si="74"/>
        <v>2021</v>
      </c>
      <c r="G722" s="23" t="str">
        <f t="shared" si="75"/>
        <v>2021-12</v>
      </c>
    </row>
    <row r="723" spans="1:7" x14ac:dyDescent="0.3">
      <c r="A723" s="18">
        <f t="shared" si="71"/>
        <v>20211220</v>
      </c>
      <c r="B723" s="19">
        <v>44550</v>
      </c>
      <c r="C723" s="24" t="str">
        <f t="shared" si="76"/>
        <v>20 December 2021</v>
      </c>
      <c r="D723" s="21">
        <f t="shared" si="72"/>
        <v>12</v>
      </c>
      <c r="E723" s="21" t="str">
        <f t="shared" si="73"/>
        <v>December</v>
      </c>
      <c r="F723" s="22">
        <f t="shared" si="74"/>
        <v>2021</v>
      </c>
      <c r="G723" s="23" t="str">
        <f t="shared" si="75"/>
        <v>2021-12</v>
      </c>
    </row>
    <row r="724" spans="1:7" x14ac:dyDescent="0.3">
      <c r="A724" s="18">
        <f t="shared" si="71"/>
        <v>20211221</v>
      </c>
      <c r="B724" s="19">
        <v>44551</v>
      </c>
      <c r="C724" s="24" t="str">
        <f t="shared" si="76"/>
        <v>21 December 2021</v>
      </c>
      <c r="D724" s="21">
        <f t="shared" si="72"/>
        <v>12</v>
      </c>
      <c r="E724" s="21" t="str">
        <f t="shared" si="73"/>
        <v>December</v>
      </c>
      <c r="F724" s="22">
        <f t="shared" si="74"/>
        <v>2021</v>
      </c>
      <c r="G724" s="23" t="str">
        <f t="shared" si="75"/>
        <v>2021-12</v>
      </c>
    </row>
    <row r="725" spans="1:7" x14ac:dyDescent="0.3">
      <c r="A725" s="18">
        <f t="shared" si="71"/>
        <v>20211222</v>
      </c>
      <c r="B725" s="19">
        <v>44552</v>
      </c>
      <c r="C725" s="24" t="str">
        <f t="shared" si="76"/>
        <v>22 December 2021</v>
      </c>
      <c r="D725" s="21">
        <f t="shared" si="72"/>
        <v>12</v>
      </c>
      <c r="E725" s="21" t="str">
        <f t="shared" si="73"/>
        <v>December</v>
      </c>
      <c r="F725" s="22">
        <f t="shared" si="74"/>
        <v>2021</v>
      </c>
      <c r="G725" s="23" t="str">
        <f t="shared" si="75"/>
        <v>2021-12</v>
      </c>
    </row>
    <row r="726" spans="1:7" x14ac:dyDescent="0.3">
      <c r="A726" s="18">
        <f t="shared" si="71"/>
        <v>20211223</v>
      </c>
      <c r="B726" s="19">
        <v>44553</v>
      </c>
      <c r="C726" s="24" t="str">
        <f t="shared" si="76"/>
        <v>23 December 2021</v>
      </c>
      <c r="D726" s="21">
        <f t="shared" si="72"/>
        <v>12</v>
      </c>
      <c r="E726" s="21" t="str">
        <f t="shared" si="73"/>
        <v>December</v>
      </c>
      <c r="F726" s="22">
        <f t="shared" si="74"/>
        <v>2021</v>
      </c>
      <c r="G726" s="23" t="str">
        <f t="shared" si="75"/>
        <v>2021-12</v>
      </c>
    </row>
    <row r="727" spans="1:7" x14ac:dyDescent="0.3">
      <c r="A727" s="18">
        <f t="shared" si="71"/>
        <v>20211224</v>
      </c>
      <c r="B727" s="19">
        <v>44554</v>
      </c>
      <c r="C727" s="24" t="str">
        <f t="shared" si="76"/>
        <v>24 December 2021</v>
      </c>
      <c r="D727" s="21">
        <f t="shared" si="72"/>
        <v>12</v>
      </c>
      <c r="E727" s="21" t="str">
        <f t="shared" si="73"/>
        <v>December</v>
      </c>
      <c r="F727" s="22">
        <f t="shared" si="74"/>
        <v>2021</v>
      </c>
      <c r="G727" s="23" t="str">
        <f t="shared" si="75"/>
        <v>2021-12</v>
      </c>
    </row>
    <row r="728" spans="1:7" x14ac:dyDescent="0.3">
      <c r="A728" s="18">
        <f t="shared" si="71"/>
        <v>20211225</v>
      </c>
      <c r="B728" s="19">
        <v>44555</v>
      </c>
      <c r="C728" s="24" t="str">
        <f t="shared" si="76"/>
        <v>25 December 2021</v>
      </c>
      <c r="D728" s="21">
        <f t="shared" si="72"/>
        <v>12</v>
      </c>
      <c r="E728" s="21" t="str">
        <f t="shared" si="73"/>
        <v>December</v>
      </c>
      <c r="F728" s="22">
        <f t="shared" si="74"/>
        <v>2021</v>
      </c>
      <c r="G728" s="23" t="str">
        <f t="shared" si="75"/>
        <v>2021-12</v>
      </c>
    </row>
    <row r="729" spans="1:7" x14ac:dyDescent="0.3">
      <c r="A729" s="18">
        <f t="shared" si="71"/>
        <v>20211226</v>
      </c>
      <c r="B729" s="19">
        <v>44556</v>
      </c>
      <c r="C729" s="24" t="str">
        <f t="shared" si="76"/>
        <v>26 December 2021</v>
      </c>
      <c r="D729" s="21">
        <f t="shared" si="72"/>
        <v>12</v>
      </c>
      <c r="E729" s="21" t="str">
        <f t="shared" si="73"/>
        <v>December</v>
      </c>
      <c r="F729" s="22">
        <f t="shared" si="74"/>
        <v>2021</v>
      </c>
      <c r="G729" s="23" t="str">
        <f t="shared" si="75"/>
        <v>2021-12</v>
      </c>
    </row>
    <row r="730" spans="1:7" x14ac:dyDescent="0.3">
      <c r="A730" s="18">
        <f t="shared" si="71"/>
        <v>20211227</v>
      </c>
      <c r="B730" s="19">
        <v>44557</v>
      </c>
      <c r="C730" s="24" t="str">
        <f t="shared" si="76"/>
        <v>27 December 2021</v>
      </c>
      <c r="D730" s="21">
        <f t="shared" si="72"/>
        <v>12</v>
      </c>
      <c r="E730" s="21" t="str">
        <f t="shared" si="73"/>
        <v>December</v>
      </c>
      <c r="F730" s="22">
        <f t="shared" si="74"/>
        <v>2021</v>
      </c>
      <c r="G730" s="23" t="str">
        <f t="shared" si="75"/>
        <v>2021-12</v>
      </c>
    </row>
    <row r="731" spans="1:7" x14ac:dyDescent="0.3">
      <c r="A731" s="18">
        <f t="shared" si="71"/>
        <v>20211228</v>
      </c>
      <c r="B731" s="19">
        <v>44558</v>
      </c>
      <c r="C731" s="24" t="str">
        <f t="shared" si="76"/>
        <v>28 December 2021</v>
      </c>
      <c r="D731" s="21">
        <f t="shared" si="72"/>
        <v>12</v>
      </c>
      <c r="E731" s="21" t="str">
        <f t="shared" si="73"/>
        <v>December</v>
      </c>
      <c r="F731" s="22">
        <f t="shared" si="74"/>
        <v>2021</v>
      </c>
      <c r="G731" s="23" t="str">
        <f t="shared" si="75"/>
        <v>2021-12</v>
      </c>
    </row>
    <row r="732" spans="1:7" x14ac:dyDescent="0.3">
      <c r="A732" s="18">
        <f t="shared" si="71"/>
        <v>20211229</v>
      </c>
      <c r="B732" s="19">
        <v>44559</v>
      </c>
      <c r="C732" s="24" t="str">
        <f t="shared" si="76"/>
        <v>29 December 2021</v>
      </c>
      <c r="D732" s="21">
        <f t="shared" si="72"/>
        <v>12</v>
      </c>
      <c r="E732" s="21" t="str">
        <f t="shared" si="73"/>
        <v>December</v>
      </c>
      <c r="F732" s="22">
        <f t="shared" si="74"/>
        <v>2021</v>
      </c>
      <c r="G732" s="23" t="str">
        <f t="shared" si="75"/>
        <v>2021-12</v>
      </c>
    </row>
    <row r="733" spans="1:7" x14ac:dyDescent="0.3">
      <c r="A733" s="18">
        <f t="shared" si="71"/>
        <v>20211230</v>
      </c>
      <c r="B733" s="19">
        <v>44560</v>
      </c>
      <c r="C733" s="24" t="str">
        <f t="shared" si="76"/>
        <v>30 December 2021</v>
      </c>
      <c r="D733" s="21">
        <f t="shared" si="72"/>
        <v>12</v>
      </c>
      <c r="E733" s="21" t="str">
        <f t="shared" si="73"/>
        <v>December</v>
      </c>
      <c r="F733" s="22">
        <f t="shared" si="74"/>
        <v>2021</v>
      </c>
      <c r="G733" s="23" t="str">
        <f t="shared" si="75"/>
        <v>2021-12</v>
      </c>
    </row>
    <row r="734" spans="1:7" x14ac:dyDescent="0.3">
      <c r="A734" s="18">
        <f t="shared" si="71"/>
        <v>20211231</v>
      </c>
      <c r="B734" s="19">
        <v>44561</v>
      </c>
      <c r="C734" s="24" t="str">
        <f t="shared" si="76"/>
        <v>31 December 2021</v>
      </c>
      <c r="D734" s="21">
        <f t="shared" si="72"/>
        <v>12</v>
      </c>
      <c r="E734" s="21" t="str">
        <f t="shared" si="73"/>
        <v>December</v>
      </c>
      <c r="F734" s="22">
        <f t="shared" si="74"/>
        <v>2021</v>
      </c>
      <c r="G734" s="23" t="str">
        <f t="shared" si="75"/>
        <v>2021-12</v>
      </c>
    </row>
    <row r="735" spans="1:7" x14ac:dyDescent="0.3">
      <c r="A735" s="18">
        <f t="shared" si="71"/>
        <v>20220101</v>
      </c>
      <c r="B735" s="19">
        <v>44562</v>
      </c>
      <c r="C735" s="24" t="str">
        <f t="shared" ref="C735:C736" si="77">TEXT(B735,"dd MMMM YYYY")</f>
        <v>01 January 2022</v>
      </c>
      <c r="D735" s="21">
        <f t="shared" ref="D735:D736" si="78">MONTH(B735)</f>
        <v>1</v>
      </c>
      <c r="E735" s="21" t="str">
        <f t="shared" ref="E735:E736" si="79">TEXT(B735,"MMMM")</f>
        <v>January</v>
      </c>
      <c r="F735" s="22">
        <f t="shared" ref="F735:F736" si="80">YEAR(B735)</f>
        <v>2022</v>
      </c>
      <c r="G735" s="23" t="str">
        <f t="shared" ref="G735:G736" si="81">TEXT(B735,"YYYY-MM")</f>
        <v>2022-01</v>
      </c>
    </row>
    <row r="736" spans="1:7" x14ac:dyDescent="0.3">
      <c r="A736" s="18">
        <f t="shared" si="71"/>
        <v>20220102</v>
      </c>
      <c r="B736" s="19">
        <v>44563</v>
      </c>
      <c r="C736" s="24" t="str">
        <f t="shared" si="77"/>
        <v>02 January 2022</v>
      </c>
      <c r="D736" s="21">
        <f t="shared" si="78"/>
        <v>1</v>
      </c>
      <c r="E736" s="21" t="str">
        <f t="shared" si="79"/>
        <v>January</v>
      </c>
      <c r="F736" s="22">
        <f t="shared" si="80"/>
        <v>2022</v>
      </c>
      <c r="G736" s="23" t="str">
        <f t="shared" si="81"/>
        <v>2022-01</v>
      </c>
    </row>
    <row r="737" spans="1:7" x14ac:dyDescent="0.3">
      <c r="A737" s="18">
        <f t="shared" si="71"/>
        <v>20220103</v>
      </c>
      <c r="B737" s="19">
        <v>44564</v>
      </c>
      <c r="C737" s="24" t="str">
        <f t="shared" ref="C737:C800" si="82">TEXT(B737,"dd MMMM YYYY")</f>
        <v>03 January 2022</v>
      </c>
      <c r="D737" s="21">
        <f t="shared" ref="D737:D800" si="83">MONTH(B737)</f>
        <v>1</v>
      </c>
      <c r="E737" s="21" t="str">
        <f t="shared" ref="E737:E800" si="84">TEXT(B737,"MMMM")</f>
        <v>January</v>
      </c>
      <c r="F737" s="22">
        <f t="shared" ref="F737:F800" si="85">YEAR(B737)</f>
        <v>2022</v>
      </c>
      <c r="G737" s="23" t="str">
        <f t="shared" ref="G737:G800" si="86">TEXT(B737,"YYYY-MM")</f>
        <v>2022-01</v>
      </c>
    </row>
    <row r="738" spans="1:7" x14ac:dyDescent="0.3">
      <c r="A738" s="18">
        <f t="shared" si="71"/>
        <v>20220104</v>
      </c>
      <c r="B738" s="19">
        <v>44565</v>
      </c>
      <c r="C738" s="24" t="str">
        <f t="shared" si="82"/>
        <v>04 January 2022</v>
      </c>
      <c r="D738" s="21">
        <f t="shared" si="83"/>
        <v>1</v>
      </c>
      <c r="E738" s="21" t="str">
        <f t="shared" si="84"/>
        <v>January</v>
      </c>
      <c r="F738" s="22">
        <f t="shared" si="85"/>
        <v>2022</v>
      </c>
      <c r="G738" s="23" t="str">
        <f t="shared" si="86"/>
        <v>2022-01</v>
      </c>
    </row>
    <row r="739" spans="1:7" x14ac:dyDescent="0.3">
      <c r="A739" s="18">
        <f t="shared" si="71"/>
        <v>20220105</v>
      </c>
      <c r="B739" s="19">
        <v>44566</v>
      </c>
      <c r="C739" s="24" t="str">
        <f t="shared" si="82"/>
        <v>05 January 2022</v>
      </c>
      <c r="D739" s="21">
        <f t="shared" si="83"/>
        <v>1</v>
      </c>
      <c r="E739" s="21" t="str">
        <f t="shared" si="84"/>
        <v>January</v>
      </c>
      <c r="F739" s="22">
        <f t="shared" si="85"/>
        <v>2022</v>
      </c>
      <c r="G739" s="23" t="str">
        <f t="shared" si="86"/>
        <v>2022-01</v>
      </c>
    </row>
    <row r="740" spans="1:7" x14ac:dyDescent="0.3">
      <c r="A740" s="18">
        <f t="shared" si="71"/>
        <v>20220106</v>
      </c>
      <c r="B740" s="19">
        <v>44567</v>
      </c>
      <c r="C740" s="24" t="str">
        <f t="shared" si="82"/>
        <v>06 January 2022</v>
      </c>
      <c r="D740" s="21">
        <f t="shared" si="83"/>
        <v>1</v>
      </c>
      <c r="E740" s="21" t="str">
        <f t="shared" si="84"/>
        <v>January</v>
      </c>
      <c r="F740" s="22">
        <f t="shared" si="85"/>
        <v>2022</v>
      </c>
      <c r="G740" s="23" t="str">
        <f t="shared" si="86"/>
        <v>2022-01</v>
      </c>
    </row>
    <row r="741" spans="1:7" x14ac:dyDescent="0.3">
      <c r="A741" s="18">
        <f t="shared" si="71"/>
        <v>20220107</v>
      </c>
      <c r="B741" s="19">
        <v>44568</v>
      </c>
      <c r="C741" s="24" t="str">
        <f t="shared" si="82"/>
        <v>07 January 2022</v>
      </c>
      <c r="D741" s="21">
        <f t="shared" si="83"/>
        <v>1</v>
      </c>
      <c r="E741" s="21" t="str">
        <f t="shared" si="84"/>
        <v>January</v>
      </c>
      <c r="F741" s="22">
        <f t="shared" si="85"/>
        <v>2022</v>
      </c>
      <c r="G741" s="23" t="str">
        <f t="shared" si="86"/>
        <v>2022-01</v>
      </c>
    </row>
    <row r="742" spans="1:7" x14ac:dyDescent="0.3">
      <c r="A742" s="18">
        <f t="shared" si="71"/>
        <v>20220108</v>
      </c>
      <c r="B742" s="19">
        <v>44569</v>
      </c>
      <c r="C742" s="24" t="str">
        <f t="shared" si="82"/>
        <v>08 January 2022</v>
      </c>
      <c r="D742" s="21">
        <f t="shared" si="83"/>
        <v>1</v>
      </c>
      <c r="E742" s="21" t="str">
        <f t="shared" si="84"/>
        <v>January</v>
      </c>
      <c r="F742" s="22">
        <f t="shared" si="85"/>
        <v>2022</v>
      </c>
      <c r="G742" s="23" t="str">
        <f t="shared" si="86"/>
        <v>2022-01</v>
      </c>
    </row>
    <row r="743" spans="1:7" x14ac:dyDescent="0.3">
      <c r="A743" s="18">
        <f t="shared" si="71"/>
        <v>20220109</v>
      </c>
      <c r="B743" s="19">
        <v>44570</v>
      </c>
      <c r="C743" s="24" t="str">
        <f t="shared" si="82"/>
        <v>09 January 2022</v>
      </c>
      <c r="D743" s="21">
        <f t="shared" si="83"/>
        <v>1</v>
      </c>
      <c r="E743" s="21" t="str">
        <f t="shared" si="84"/>
        <v>January</v>
      </c>
      <c r="F743" s="22">
        <f t="shared" si="85"/>
        <v>2022</v>
      </c>
      <c r="G743" s="23" t="str">
        <f t="shared" si="86"/>
        <v>2022-01</v>
      </c>
    </row>
    <row r="744" spans="1:7" x14ac:dyDescent="0.3">
      <c r="A744" s="18">
        <f t="shared" si="71"/>
        <v>20220110</v>
      </c>
      <c r="B744" s="19">
        <v>44571</v>
      </c>
      <c r="C744" s="24" t="str">
        <f t="shared" si="82"/>
        <v>10 January 2022</v>
      </c>
      <c r="D744" s="21">
        <f t="shared" si="83"/>
        <v>1</v>
      </c>
      <c r="E744" s="21" t="str">
        <f t="shared" si="84"/>
        <v>January</v>
      </c>
      <c r="F744" s="22">
        <f t="shared" si="85"/>
        <v>2022</v>
      </c>
      <c r="G744" s="23" t="str">
        <f t="shared" si="86"/>
        <v>2022-01</v>
      </c>
    </row>
    <row r="745" spans="1:7" x14ac:dyDescent="0.3">
      <c r="A745" s="18">
        <f t="shared" si="71"/>
        <v>20220111</v>
      </c>
      <c r="B745" s="19">
        <v>44572</v>
      </c>
      <c r="C745" s="24" t="str">
        <f t="shared" si="82"/>
        <v>11 January 2022</v>
      </c>
      <c r="D745" s="21">
        <f t="shared" si="83"/>
        <v>1</v>
      </c>
      <c r="E745" s="21" t="str">
        <f t="shared" si="84"/>
        <v>January</v>
      </c>
      <c r="F745" s="22">
        <f t="shared" si="85"/>
        <v>2022</v>
      </c>
      <c r="G745" s="23" t="str">
        <f t="shared" si="86"/>
        <v>2022-01</v>
      </c>
    </row>
    <row r="746" spans="1:7" x14ac:dyDescent="0.3">
      <c r="A746" s="18">
        <f t="shared" si="71"/>
        <v>20220112</v>
      </c>
      <c r="B746" s="19">
        <v>44573</v>
      </c>
      <c r="C746" s="24" t="str">
        <f t="shared" si="82"/>
        <v>12 January 2022</v>
      </c>
      <c r="D746" s="21">
        <f t="shared" si="83"/>
        <v>1</v>
      </c>
      <c r="E746" s="21" t="str">
        <f t="shared" si="84"/>
        <v>January</v>
      </c>
      <c r="F746" s="22">
        <f t="shared" si="85"/>
        <v>2022</v>
      </c>
      <c r="G746" s="23" t="str">
        <f t="shared" si="86"/>
        <v>2022-01</v>
      </c>
    </row>
    <row r="747" spans="1:7" x14ac:dyDescent="0.3">
      <c r="A747" s="18">
        <f t="shared" si="71"/>
        <v>20220113</v>
      </c>
      <c r="B747" s="19">
        <v>44574</v>
      </c>
      <c r="C747" s="24" t="str">
        <f t="shared" si="82"/>
        <v>13 January 2022</v>
      </c>
      <c r="D747" s="21">
        <f t="shared" si="83"/>
        <v>1</v>
      </c>
      <c r="E747" s="21" t="str">
        <f t="shared" si="84"/>
        <v>January</v>
      </c>
      <c r="F747" s="22">
        <f t="shared" si="85"/>
        <v>2022</v>
      </c>
      <c r="G747" s="23" t="str">
        <f t="shared" si="86"/>
        <v>2022-01</v>
      </c>
    </row>
    <row r="748" spans="1:7" x14ac:dyDescent="0.3">
      <c r="A748" s="18">
        <f t="shared" si="71"/>
        <v>20220114</v>
      </c>
      <c r="B748" s="19">
        <v>44575</v>
      </c>
      <c r="C748" s="24" t="str">
        <f t="shared" si="82"/>
        <v>14 January 2022</v>
      </c>
      <c r="D748" s="21">
        <f t="shared" si="83"/>
        <v>1</v>
      </c>
      <c r="E748" s="21" t="str">
        <f t="shared" si="84"/>
        <v>January</v>
      </c>
      <c r="F748" s="22">
        <f t="shared" si="85"/>
        <v>2022</v>
      </c>
      <c r="G748" s="23" t="str">
        <f t="shared" si="86"/>
        <v>2022-01</v>
      </c>
    </row>
    <row r="749" spans="1:7" x14ac:dyDescent="0.3">
      <c r="A749" s="18">
        <f t="shared" si="71"/>
        <v>20220115</v>
      </c>
      <c r="B749" s="19">
        <v>44576</v>
      </c>
      <c r="C749" s="24" t="str">
        <f t="shared" si="82"/>
        <v>15 January 2022</v>
      </c>
      <c r="D749" s="21">
        <f t="shared" si="83"/>
        <v>1</v>
      </c>
      <c r="E749" s="21" t="str">
        <f t="shared" si="84"/>
        <v>January</v>
      </c>
      <c r="F749" s="22">
        <f t="shared" si="85"/>
        <v>2022</v>
      </c>
      <c r="G749" s="23" t="str">
        <f t="shared" si="86"/>
        <v>2022-01</v>
      </c>
    </row>
    <row r="750" spans="1:7" x14ac:dyDescent="0.3">
      <c r="A750" s="18">
        <f t="shared" si="71"/>
        <v>20220116</v>
      </c>
      <c r="B750" s="19">
        <v>44577</v>
      </c>
      <c r="C750" s="24" t="str">
        <f t="shared" si="82"/>
        <v>16 January 2022</v>
      </c>
      <c r="D750" s="21">
        <f t="shared" si="83"/>
        <v>1</v>
      </c>
      <c r="E750" s="21" t="str">
        <f t="shared" si="84"/>
        <v>January</v>
      </c>
      <c r="F750" s="22">
        <f t="shared" si="85"/>
        <v>2022</v>
      </c>
      <c r="G750" s="23" t="str">
        <f t="shared" si="86"/>
        <v>2022-01</v>
      </c>
    </row>
    <row r="751" spans="1:7" x14ac:dyDescent="0.3">
      <c r="A751" s="18">
        <f t="shared" si="71"/>
        <v>20220117</v>
      </c>
      <c r="B751" s="19">
        <v>44578</v>
      </c>
      <c r="C751" s="24" t="str">
        <f t="shared" si="82"/>
        <v>17 January 2022</v>
      </c>
      <c r="D751" s="21">
        <f t="shared" si="83"/>
        <v>1</v>
      </c>
      <c r="E751" s="21" t="str">
        <f t="shared" si="84"/>
        <v>January</v>
      </c>
      <c r="F751" s="22">
        <f t="shared" si="85"/>
        <v>2022</v>
      </c>
      <c r="G751" s="23" t="str">
        <f t="shared" si="86"/>
        <v>2022-01</v>
      </c>
    </row>
    <row r="752" spans="1:7" x14ac:dyDescent="0.3">
      <c r="A752" s="18">
        <f t="shared" si="71"/>
        <v>20220118</v>
      </c>
      <c r="B752" s="19">
        <v>44579</v>
      </c>
      <c r="C752" s="24" t="str">
        <f t="shared" si="82"/>
        <v>18 January 2022</v>
      </c>
      <c r="D752" s="21">
        <f t="shared" si="83"/>
        <v>1</v>
      </c>
      <c r="E752" s="21" t="str">
        <f t="shared" si="84"/>
        <v>January</v>
      </c>
      <c r="F752" s="22">
        <f t="shared" si="85"/>
        <v>2022</v>
      </c>
      <c r="G752" s="23" t="str">
        <f t="shared" si="86"/>
        <v>2022-01</v>
      </c>
    </row>
    <row r="753" spans="1:7" x14ac:dyDescent="0.3">
      <c r="A753" s="18">
        <f t="shared" si="71"/>
        <v>20220119</v>
      </c>
      <c r="B753" s="19">
        <v>44580</v>
      </c>
      <c r="C753" s="24" t="str">
        <f t="shared" si="82"/>
        <v>19 January 2022</v>
      </c>
      <c r="D753" s="21">
        <f t="shared" si="83"/>
        <v>1</v>
      </c>
      <c r="E753" s="21" t="str">
        <f t="shared" si="84"/>
        <v>January</v>
      </c>
      <c r="F753" s="22">
        <f t="shared" si="85"/>
        <v>2022</v>
      </c>
      <c r="G753" s="23" t="str">
        <f t="shared" si="86"/>
        <v>2022-01</v>
      </c>
    </row>
    <row r="754" spans="1:7" x14ac:dyDescent="0.3">
      <c r="A754" s="18">
        <f t="shared" si="71"/>
        <v>20220120</v>
      </c>
      <c r="B754" s="19">
        <v>44581</v>
      </c>
      <c r="C754" s="24" t="str">
        <f t="shared" si="82"/>
        <v>20 January 2022</v>
      </c>
      <c r="D754" s="21">
        <f t="shared" si="83"/>
        <v>1</v>
      </c>
      <c r="E754" s="21" t="str">
        <f t="shared" si="84"/>
        <v>January</v>
      </c>
      <c r="F754" s="22">
        <f t="shared" si="85"/>
        <v>2022</v>
      </c>
      <c r="G754" s="23" t="str">
        <f t="shared" si="86"/>
        <v>2022-01</v>
      </c>
    </row>
    <row r="755" spans="1:7" x14ac:dyDescent="0.3">
      <c r="A755" s="18">
        <f t="shared" si="71"/>
        <v>20220121</v>
      </c>
      <c r="B755" s="19">
        <v>44582</v>
      </c>
      <c r="C755" s="24" t="str">
        <f t="shared" si="82"/>
        <v>21 January 2022</v>
      </c>
      <c r="D755" s="21">
        <f t="shared" si="83"/>
        <v>1</v>
      </c>
      <c r="E755" s="21" t="str">
        <f t="shared" si="84"/>
        <v>January</v>
      </c>
      <c r="F755" s="22">
        <f t="shared" si="85"/>
        <v>2022</v>
      </c>
      <c r="G755" s="23" t="str">
        <f t="shared" si="86"/>
        <v>2022-01</v>
      </c>
    </row>
    <row r="756" spans="1:7" x14ac:dyDescent="0.3">
      <c r="A756" s="18">
        <f t="shared" si="71"/>
        <v>20220122</v>
      </c>
      <c r="B756" s="19">
        <v>44583</v>
      </c>
      <c r="C756" s="24" t="str">
        <f t="shared" si="82"/>
        <v>22 January 2022</v>
      </c>
      <c r="D756" s="21">
        <f t="shared" si="83"/>
        <v>1</v>
      </c>
      <c r="E756" s="21" t="str">
        <f t="shared" si="84"/>
        <v>January</v>
      </c>
      <c r="F756" s="22">
        <f t="shared" si="85"/>
        <v>2022</v>
      </c>
      <c r="G756" s="23" t="str">
        <f t="shared" si="86"/>
        <v>2022-01</v>
      </c>
    </row>
    <row r="757" spans="1:7" x14ac:dyDescent="0.3">
      <c r="A757" s="18">
        <f t="shared" si="71"/>
        <v>20220123</v>
      </c>
      <c r="B757" s="19">
        <v>44584</v>
      </c>
      <c r="C757" s="24" t="str">
        <f t="shared" si="82"/>
        <v>23 January 2022</v>
      </c>
      <c r="D757" s="21">
        <f t="shared" si="83"/>
        <v>1</v>
      </c>
      <c r="E757" s="21" t="str">
        <f t="shared" si="84"/>
        <v>January</v>
      </c>
      <c r="F757" s="22">
        <f t="shared" si="85"/>
        <v>2022</v>
      </c>
      <c r="G757" s="23" t="str">
        <f t="shared" si="86"/>
        <v>2022-01</v>
      </c>
    </row>
    <row r="758" spans="1:7" x14ac:dyDescent="0.3">
      <c r="A758" s="18">
        <f t="shared" si="71"/>
        <v>20220124</v>
      </c>
      <c r="B758" s="19">
        <v>44585</v>
      </c>
      <c r="C758" s="24" t="str">
        <f t="shared" si="82"/>
        <v>24 January 2022</v>
      </c>
      <c r="D758" s="21">
        <f t="shared" si="83"/>
        <v>1</v>
      </c>
      <c r="E758" s="21" t="str">
        <f t="shared" si="84"/>
        <v>January</v>
      </c>
      <c r="F758" s="22">
        <f t="shared" si="85"/>
        <v>2022</v>
      </c>
      <c r="G758" s="23" t="str">
        <f t="shared" si="86"/>
        <v>2022-01</v>
      </c>
    </row>
    <row r="759" spans="1:7" x14ac:dyDescent="0.3">
      <c r="A759" s="18">
        <f t="shared" si="71"/>
        <v>20220125</v>
      </c>
      <c r="B759" s="19">
        <v>44586</v>
      </c>
      <c r="C759" s="24" t="str">
        <f t="shared" si="82"/>
        <v>25 January 2022</v>
      </c>
      <c r="D759" s="21">
        <f t="shared" si="83"/>
        <v>1</v>
      </c>
      <c r="E759" s="21" t="str">
        <f t="shared" si="84"/>
        <v>January</v>
      </c>
      <c r="F759" s="22">
        <f t="shared" si="85"/>
        <v>2022</v>
      </c>
      <c r="G759" s="23" t="str">
        <f t="shared" si="86"/>
        <v>2022-01</v>
      </c>
    </row>
    <row r="760" spans="1:7" x14ac:dyDescent="0.3">
      <c r="A760" s="18">
        <f t="shared" si="71"/>
        <v>20220126</v>
      </c>
      <c r="B760" s="19">
        <v>44587</v>
      </c>
      <c r="C760" s="24" t="str">
        <f t="shared" si="82"/>
        <v>26 January 2022</v>
      </c>
      <c r="D760" s="21">
        <f t="shared" si="83"/>
        <v>1</v>
      </c>
      <c r="E760" s="21" t="str">
        <f t="shared" si="84"/>
        <v>January</v>
      </c>
      <c r="F760" s="22">
        <f t="shared" si="85"/>
        <v>2022</v>
      </c>
      <c r="G760" s="23" t="str">
        <f t="shared" si="86"/>
        <v>2022-01</v>
      </c>
    </row>
    <row r="761" spans="1:7" x14ac:dyDescent="0.3">
      <c r="A761" s="18">
        <f t="shared" si="71"/>
        <v>20220127</v>
      </c>
      <c r="B761" s="19">
        <v>44588</v>
      </c>
      <c r="C761" s="24" t="str">
        <f t="shared" si="82"/>
        <v>27 January 2022</v>
      </c>
      <c r="D761" s="21">
        <f t="shared" si="83"/>
        <v>1</v>
      </c>
      <c r="E761" s="21" t="str">
        <f t="shared" si="84"/>
        <v>January</v>
      </c>
      <c r="F761" s="22">
        <f t="shared" si="85"/>
        <v>2022</v>
      </c>
      <c r="G761" s="23" t="str">
        <f t="shared" si="86"/>
        <v>2022-01</v>
      </c>
    </row>
    <row r="762" spans="1:7" x14ac:dyDescent="0.3">
      <c r="A762" s="18">
        <f t="shared" si="71"/>
        <v>20220128</v>
      </c>
      <c r="B762" s="19">
        <v>44589</v>
      </c>
      <c r="C762" s="24" t="str">
        <f t="shared" si="82"/>
        <v>28 January 2022</v>
      </c>
      <c r="D762" s="21">
        <f t="shared" si="83"/>
        <v>1</v>
      </c>
      <c r="E762" s="21" t="str">
        <f t="shared" si="84"/>
        <v>January</v>
      </c>
      <c r="F762" s="22">
        <f t="shared" si="85"/>
        <v>2022</v>
      </c>
      <c r="G762" s="23" t="str">
        <f t="shared" si="86"/>
        <v>2022-01</v>
      </c>
    </row>
    <row r="763" spans="1:7" x14ac:dyDescent="0.3">
      <c r="A763" s="18">
        <f t="shared" si="71"/>
        <v>20220129</v>
      </c>
      <c r="B763" s="19">
        <v>44590</v>
      </c>
      <c r="C763" s="24" t="str">
        <f t="shared" si="82"/>
        <v>29 January 2022</v>
      </c>
      <c r="D763" s="21">
        <f t="shared" si="83"/>
        <v>1</v>
      </c>
      <c r="E763" s="21" t="str">
        <f t="shared" si="84"/>
        <v>January</v>
      </c>
      <c r="F763" s="22">
        <f t="shared" si="85"/>
        <v>2022</v>
      </c>
      <c r="G763" s="23" t="str">
        <f t="shared" si="86"/>
        <v>2022-01</v>
      </c>
    </row>
    <row r="764" spans="1:7" x14ac:dyDescent="0.3">
      <c r="A764" s="18">
        <f t="shared" si="71"/>
        <v>20220130</v>
      </c>
      <c r="B764" s="19">
        <v>44591</v>
      </c>
      <c r="C764" s="24" t="str">
        <f t="shared" si="82"/>
        <v>30 January 2022</v>
      </c>
      <c r="D764" s="21">
        <f t="shared" si="83"/>
        <v>1</v>
      </c>
      <c r="E764" s="21" t="str">
        <f t="shared" si="84"/>
        <v>January</v>
      </c>
      <c r="F764" s="22">
        <f t="shared" si="85"/>
        <v>2022</v>
      </c>
      <c r="G764" s="23" t="str">
        <f t="shared" si="86"/>
        <v>2022-01</v>
      </c>
    </row>
    <row r="765" spans="1:7" x14ac:dyDescent="0.3">
      <c r="A765" s="18">
        <f t="shared" si="71"/>
        <v>20220131</v>
      </c>
      <c r="B765" s="19">
        <v>44592</v>
      </c>
      <c r="C765" s="24" t="str">
        <f t="shared" si="82"/>
        <v>31 January 2022</v>
      </c>
      <c r="D765" s="21">
        <f t="shared" si="83"/>
        <v>1</v>
      </c>
      <c r="E765" s="21" t="str">
        <f t="shared" si="84"/>
        <v>January</v>
      </c>
      <c r="F765" s="22">
        <f t="shared" si="85"/>
        <v>2022</v>
      </c>
      <c r="G765" s="23" t="str">
        <f t="shared" si="86"/>
        <v>2022-01</v>
      </c>
    </row>
    <row r="766" spans="1:7" x14ac:dyDescent="0.3">
      <c r="A766" s="18">
        <f t="shared" ref="A766:A829" si="87">YEAR(B766)*10000+MONTH(B766)*100+DAY(B766)</f>
        <v>20220201</v>
      </c>
      <c r="B766" s="19">
        <v>44593</v>
      </c>
      <c r="C766" s="24" t="str">
        <f t="shared" si="82"/>
        <v>01 February 2022</v>
      </c>
      <c r="D766" s="21">
        <f t="shared" si="83"/>
        <v>2</v>
      </c>
      <c r="E766" s="21" t="str">
        <f t="shared" si="84"/>
        <v>February</v>
      </c>
      <c r="F766" s="22">
        <f t="shared" si="85"/>
        <v>2022</v>
      </c>
      <c r="G766" s="23" t="str">
        <f t="shared" si="86"/>
        <v>2022-02</v>
      </c>
    </row>
    <row r="767" spans="1:7" x14ac:dyDescent="0.3">
      <c r="A767" s="18">
        <f t="shared" si="87"/>
        <v>20220202</v>
      </c>
      <c r="B767" s="19">
        <v>44594</v>
      </c>
      <c r="C767" s="24" t="str">
        <f t="shared" si="82"/>
        <v>02 February 2022</v>
      </c>
      <c r="D767" s="21">
        <f t="shared" si="83"/>
        <v>2</v>
      </c>
      <c r="E767" s="21" t="str">
        <f t="shared" si="84"/>
        <v>February</v>
      </c>
      <c r="F767" s="22">
        <f t="shared" si="85"/>
        <v>2022</v>
      </c>
      <c r="G767" s="23" t="str">
        <f t="shared" si="86"/>
        <v>2022-02</v>
      </c>
    </row>
    <row r="768" spans="1:7" x14ac:dyDescent="0.3">
      <c r="A768" s="18">
        <f t="shared" si="87"/>
        <v>20220203</v>
      </c>
      <c r="B768" s="19">
        <v>44595</v>
      </c>
      <c r="C768" s="24" t="str">
        <f t="shared" si="82"/>
        <v>03 February 2022</v>
      </c>
      <c r="D768" s="21">
        <f t="shared" si="83"/>
        <v>2</v>
      </c>
      <c r="E768" s="21" t="str">
        <f t="shared" si="84"/>
        <v>February</v>
      </c>
      <c r="F768" s="22">
        <f t="shared" si="85"/>
        <v>2022</v>
      </c>
      <c r="G768" s="23" t="str">
        <f t="shared" si="86"/>
        <v>2022-02</v>
      </c>
    </row>
    <row r="769" spans="1:7" x14ac:dyDescent="0.3">
      <c r="A769" s="18">
        <f t="shared" si="87"/>
        <v>20220204</v>
      </c>
      <c r="B769" s="19">
        <v>44596</v>
      </c>
      <c r="C769" s="24" t="str">
        <f t="shared" si="82"/>
        <v>04 February 2022</v>
      </c>
      <c r="D769" s="21">
        <f t="shared" si="83"/>
        <v>2</v>
      </c>
      <c r="E769" s="21" t="str">
        <f t="shared" si="84"/>
        <v>February</v>
      </c>
      <c r="F769" s="22">
        <f t="shared" si="85"/>
        <v>2022</v>
      </c>
      <c r="G769" s="23" t="str">
        <f t="shared" si="86"/>
        <v>2022-02</v>
      </c>
    </row>
    <row r="770" spans="1:7" x14ac:dyDescent="0.3">
      <c r="A770" s="18">
        <f t="shared" si="87"/>
        <v>20220205</v>
      </c>
      <c r="B770" s="19">
        <v>44597</v>
      </c>
      <c r="C770" s="24" t="str">
        <f t="shared" si="82"/>
        <v>05 February 2022</v>
      </c>
      <c r="D770" s="21">
        <f t="shared" si="83"/>
        <v>2</v>
      </c>
      <c r="E770" s="21" t="str">
        <f t="shared" si="84"/>
        <v>February</v>
      </c>
      <c r="F770" s="22">
        <f t="shared" si="85"/>
        <v>2022</v>
      </c>
      <c r="G770" s="23" t="str">
        <f t="shared" si="86"/>
        <v>2022-02</v>
      </c>
    </row>
    <row r="771" spans="1:7" x14ac:dyDescent="0.3">
      <c r="A771" s="18">
        <f t="shared" si="87"/>
        <v>20220206</v>
      </c>
      <c r="B771" s="19">
        <v>44598</v>
      </c>
      <c r="C771" s="24" t="str">
        <f t="shared" si="82"/>
        <v>06 February 2022</v>
      </c>
      <c r="D771" s="21">
        <f t="shared" si="83"/>
        <v>2</v>
      </c>
      <c r="E771" s="21" t="str">
        <f t="shared" si="84"/>
        <v>February</v>
      </c>
      <c r="F771" s="22">
        <f t="shared" si="85"/>
        <v>2022</v>
      </c>
      <c r="G771" s="23" t="str">
        <f t="shared" si="86"/>
        <v>2022-02</v>
      </c>
    </row>
    <row r="772" spans="1:7" x14ac:dyDescent="0.3">
      <c r="A772" s="18">
        <f t="shared" si="87"/>
        <v>20220207</v>
      </c>
      <c r="B772" s="19">
        <v>44599</v>
      </c>
      <c r="C772" s="24" t="str">
        <f t="shared" si="82"/>
        <v>07 February 2022</v>
      </c>
      <c r="D772" s="21">
        <f t="shared" si="83"/>
        <v>2</v>
      </c>
      <c r="E772" s="21" t="str">
        <f t="shared" si="84"/>
        <v>February</v>
      </c>
      <c r="F772" s="22">
        <f t="shared" si="85"/>
        <v>2022</v>
      </c>
      <c r="G772" s="23" t="str">
        <f t="shared" si="86"/>
        <v>2022-02</v>
      </c>
    </row>
    <row r="773" spans="1:7" x14ac:dyDescent="0.3">
      <c r="A773" s="18">
        <f t="shared" si="87"/>
        <v>20220208</v>
      </c>
      <c r="B773" s="19">
        <v>44600</v>
      </c>
      <c r="C773" s="24" t="str">
        <f t="shared" si="82"/>
        <v>08 February 2022</v>
      </c>
      <c r="D773" s="21">
        <f t="shared" si="83"/>
        <v>2</v>
      </c>
      <c r="E773" s="21" t="str">
        <f t="shared" si="84"/>
        <v>February</v>
      </c>
      <c r="F773" s="22">
        <f t="shared" si="85"/>
        <v>2022</v>
      </c>
      <c r="G773" s="23" t="str">
        <f t="shared" si="86"/>
        <v>2022-02</v>
      </c>
    </row>
    <row r="774" spans="1:7" x14ac:dyDescent="0.3">
      <c r="A774" s="18">
        <f t="shared" si="87"/>
        <v>20220209</v>
      </c>
      <c r="B774" s="19">
        <v>44601</v>
      </c>
      <c r="C774" s="24" t="str">
        <f t="shared" si="82"/>
        <v>09 February 2022</v>
      </c>
      <c r="D774" s="21">
        <f t="shared" si="83"/>
        <v>2</v>
      </c>
      <c r="E774" s="21" t="str">
        <f t="shared" si="84"/>
        <v>February</v>
      </c>
      <c r="F774" s="22">
        <f t="shared" si="85"/>
        <v>2022</v>
      </c>
      <c r="G774" s="23" t="str">
        <f t="shared" si="86"/>
        <v>2022-02</v>
      </c>
    </row>
    <row r="775" spans="1:7" x14ac:dyDescent="0.3">
      <c r="A775" s="18">
        <f t="shared" si="87"/>
        <v>20220210</v>
      </c>
      <c r="B775" s="19">
        <v>44602</v>
      </c>
      <c r="C775" s="24" t="str">
        <f t="shared" si="82"/>
        <v>10 February 2022</v>
      </c>
      <c r="D775" s="21">
        <f t="shared" si="83"/>
        <v>2</v>
      </c>
      <c r="E775" s="21" t="str">
        <f t="shared" si="84"/>
        <v>February</v>
      </c>
      <c r="F775" s="22">
        <f t="shared" si="85"/>
        <v>2022</v>
      </c>
      <c r="G775" s="23" t="str">
        <f t="shared" si="86"/>
        <v>2022-02</v>
      </c>
    </row>
    <row r="776" spans="1:7" x14ac:dyDescent="0.3">
      <c r="A776" s="18">
        <f t="shared" si="87"/>
        <v>20220211</v>
      </c>
      <c r="B776" s="19">
        <v>44603</v>
      </c>
      <c r="C776" s="24" t="str">
        <f t="shared" si="82"/>
        <v>11 February 2022</v>
      </c>
      <c r="D776" s="21">
        <f t="shared" si="83"/>
        <v>2</v>
      </c>
      <c r="E776" s="21" t="str">
        <f t="shared" si="84"/>
        <v>February</v>
      </c>
      <c r="F776" s="22">
        <f t="shared" si="85"/>
        <v>2022</v>
      </c>
      <c r="G776" s="23" t="str">
        <f t="shared" si="86"/>
        <v>2022-02</v>
      </c>
    </row>
    <row r="777" spans="1:7" x14ac:dyDescent="0.3">
      <c r="A777" s="18">
        <f t="shared" si="87"/>
        <v>20220212</v>
      </c>
      <c r="B777" s="19">
        <v>44604</v>
      </c>
      <c r="C777" s="24" t="str">
        <f t="shared" si="82"/>
        <v>12 February 2022</v>
      </c>
      <c r="D777" s="21">
        <f t="shared" si="83"/>
        <v>2</v>
      </c>
      <c r="E777" s="21" t="str">
        <f t="shared" si="84"/>
        <v>February</v>
      </c>
      <c r="F777" s="22">
        <f t="shared" si="85"/>
        <v>2022</v>
      </c>
      <c r="G777" s="23" t="str">
        <f t="shared" si="86"/>
        <v>2022-02</v>
      </c>
    </row>
    <row r="778" spans="1:7" x14ac:dyDescent="0.3">
      <c r="A778" s="18">
        <f t="shared" si="87"/>
        <v>20220213</v>
      </c>
      <c r="B778" s="19">
        <v>44605</v>
      </c>
      <c r="C778" s="24" t="str">
        <f t="shared" si="82"/>
        <v>13 February 2022</v>
      </c>
      <c r="D778" s="21">
        <f t="shared" si="83"/>
        <v>2</v>
      </c>
      <c r="E778" s="21" t="str">
        <f t="shared" si="84"/>
        <v>February</v>
      </c>
      <c r="F778" s="22">
        <f t="shared" si="85"/>
        <v>2022</v>
      </c>
      <c r="G778" s="23" t="str">
        <f t="shared" si="86"/>
        <v>2022-02</v>
      </c>
    </row>
    <row r="779" spans="1:7" x14ac:dyDescent="0.3">
      <c r="A779" s="18">
        <f t="shared" si="87"/>
        <v>20220214</v>
      </c>
      <c r="B779" s="19">
        <v>44606</v>
      </c>
      <c r="C779" s="24" t="str">
        <f t="shared" si="82"/>
        <v>14 February 2022</v>
      </c>
      <c r="D779" s="21">
        <f t="shared" si="83"/>
        <v>2</v>
      </c>
      <c r="E779" s="21" t="str">
        <f t="shared" si="84"/>
        <v>February</v>
      </c>
      <c r="F779" s="22">
        <f t="shared" si="85"/>
        <v>2022</v>
      </c>
      <c r="G779" s="23" t="str">
        <f t="shared" si="86"/>
        <v>2022-02</v>
      </c>
    </row>
    <row r="780" spans="1:7" x14ac:dyDescent="0.3">
      <c r="A780" s="18">
        <f t="shared" si="87"/>
        <v>20220215</v>
      </c>
      <c r="B780" s="19">
        <v>44607</v>
      </c>
      <c r="C780" s="24" t="str">
        <f t="shared" si="82"/>
        <v>15 February 2022</v>
      </c>
      <c r="D780" s="21">
        <f t="shared" si="83"/>
        <v>2</v>
      </c>
      <c r="E780" s="21" t="str">
        <f t="shared" si="84"/>
        <v>February</v>
      </c>
      <c r="F780" s="22">
        <f t="shared" si="85"/>
        <v>2022</v>
      </c>
      <c r="G780" s="23" t="str">
        <f t="shared" si="86"/>
        <v>2022-02</v>
      </c>
    </row>
    <row r="781" spans="1:7" x14ac:dyDescent="0.3">
      <c r="A781" s="18">
        <f t="shared" si="87"/>
        <v>20220216</v>
      </c>
      <c r="B781" s="19">
        <v>44608</v>
      </c>
      <c r="C781" s="24" t="str">
        <f t="shared" si="82"/>
        <v>16 February 2022</v>
      </c>
      <c r="D781" s="21">
        <f t="shared" si="83"/>
        <v>2</v>
      </c>
      <c r="E781" s="21" t="str">
        <f t="shared" si="84"/>
        <v>February</v>
      </c>
      <c r="F781" s="22">
        <f t="shared" si="85"/>
        <v>2022</v>
      </c>
      <c r="G781" s="23" t="str">
        <f t="shared" si="86"/>
        <v>2022-02</v>
      </c>
    </row>
    <row r="782" spans="1:7" x14ac:dyDescent="0.3">
      <c r="A782" s="18">
        <f t="shared" si="87"/>
        <v>20220217</v>
      </c>
      <c r="B782" s="19">
        <v>44609</v>
      </c>
      <c r="C782" s="24" t="str">
        <f t="shared" si="82"/>
        <v>17 February 2022</v>
      </c>
      <c r="D782" s="21">
        <f t="shared" si="83"/>
        <v>2</v>
      </c>
      <c r="E782" s="21" t="str">
        <f t="shared" si="84"/>
        <v>February</v>
      </c>
      <c r="F782" s="22">
        <f t="shared" si="85"/>
        <v>2022</v>
      </c>
      <c r="G782" s="23" t="str">
        <f t="shared" si="86"/>
        <v>2022-02</v>
      </c>
    </row>
    <row r="783" spans="1:7" x14ac:dyDescent="0.3">
      <c r="A783" s="18">
        <f t="shared" si="87"/>
        <v>20220218</v>
      </c>
      <c r="B783" s="19">
        <v>44610</v>
      </c>
      <c r="C783" s="24" t="str">
        <f t="shared" si="82"/>
        <v>18 February 2022</v>
      </c>
      <c r="D783" s="21">
        <f t="shared" si="83"/>
        <v>2</v>
      </c>
      <c r="E783" s="21" t="str">
        <f t="shared" si="84"/>
        <v>February</v>
      </c>
      <c r="F783" s="22">
        <f t="shared" si="85"/>
        <v>2022</v>
      </c>
      <c r="G783" s="23" t="str">
        <f t="shared" si="86"/>
        <v>2022-02</v>
      </c>
    </row>
    <row r="784" spans="1:7" x14ac:dyDescent="0.3">
      <c r="A784" s="18">
        <f t="shared" si="87"/>
        <v>20220219</v>
      </c>
      <c r="B784" s="19">
        <v>44611</v>
      </c>
      <c r="C784" s="24" t="str">
        <f t="shared" si="82"/>
        <v>19 February 2022</v>
      </c>
      <c r="D784" s="21">
        <f t="shared" si="83"/>
        <v>2</v>
      </c>
      <c r="E784" s="21" t="str">
        <f t="shared" si="84"/>
        <v>February</v>
      </c>
      <c r="F784" s="22">
        <f t="shared" si="85"/>
        <v>2022</v>
      </c>
      <c r="G784" s="23" t="str">
        <f t="shared" si="86"/>
        <v>2022-02</v>
      </c>
    </row>
    <row r="785" spans="1:7" x14ac:dyDescent="0.3">
      <c r="A785" s="18">
        <f t="shared" si="87"/>
        <v>20220220</v>
      </c>
      <c r="B785" s="19">
        <v>44612</v>
      </c>
      <c r="C785" s="24" t="str">
        <f t="shared" si="82"/>
        <v>20 February 2022</v>
      </c>
      <c r="D785" s="21">
        <f t="shared" si="83"/>
        <v>2</v>
      </c>
      <c r="E785" s="21" t="str">
        <f t="shared" si="84"/>
        <v>February</v>
      </c>
      <c r="F785" s="22">
        <f t="shared" si="85"/>
        <v>2022</v>
      </c>
      <c r="G785" s="23" t="str">
        <f t="shared" si="86"/>
        <v>2022-02</v>
      </c>
    </row>
    <row r="786" spans="1:7" x14ac:dyDescent="0.3">
      <c r="A786" s="18">
        <f t="shared" si="87"/>
        <v>20220221</v>
      </c>
      <c r="B786" s="19">
        <v>44613</v>
      </c>
      <c r="C786" s="24" t="str">
        <f t="shared" si="82"/>
        <v>21 February 2022</v>
      </c>
      <c r="D786" s="21">
        <f t="shared" si="83"/>
        <v>2</v>
      </c>
      <c r="E786" s="21" t="str">
        <f t="shared" si="84"/>
        <v>February</v>
      </c>
      <c r="F786" s="22">
        <f t="shared" si="85"/>
        <v>2022</v>
      </c>
      <c r="G786" s="23" t="str">
        <f t="shared" si="86"/>
        <v>2022-02</v>
      </c>
    </row>
    <row r="787" spans="1:7" x14ac:dyDescent="0.3">
      <c r="A787" s="18">
        <f t="shared" si="87"/>
        <v>20220222</v>
      </c>
      <c r="B787" s="19">
        <v>44614</v>
      </c>
      <c r="C787" s="24" t="str">
        <f t="shared" si="82"/>
        <v>22 February 2022</v>
      </c>
      <c r="D787" s="21">
        <f t="shared" si="83"/>
        <v>2</v>
      </c>
      <c r="E787" s="21" t="str">
        <f t="shared" si="84"/>
        <v>February</v>
      </c>
      <c r="F787" s="22">
        <f t="shared" si="85"/>
        <v>2022</v>
      </c>
      <c r="G787" s="23" t="str">
        <f t="shared" si="86"/>
        <v>2022-02</v>
      </c>
    </row>
    <row r="788" spans="1:7" x14ac:dyDescent="0.3">
      <c r="A788" s="18">
        <f t="shared" si="87"/>
        <v>20220223</v>
      </c>
      <c r="B788" s="19">
        <v>44615</v>
      </c>
      <c r="C788" s="24" t="str">
        <f t="shared" si="82"/>
        <v>23 February 2022</v>
      </c>
      <c r="D788" s="21">
        <f t="shared" si="83"/>
        <v>2</v>
      </c>
      <c r="E788" s="21" t="str">
        <f t="shared" si="84"/>
        <v>February</v>
      </c>
      <c r="F788" s="22">
        <f t="shared" si="85"/>
        <v>2022</v>
      </c>
      <c r="G788" s="23" t="str">
        <f t="shared" si="86"/>
        <v>2022-02</v>
      </c>
    </row>
    <row r="789" spans="1:7" x14ac:dyDescent="0.3">
      <c r="A789" s="18">
        <f t="shared" si="87"/>
        <v>20220224</v>
      </c>
      <c r="B789" s="19">
        <v>44616</v>
      </c>
      <c r="C789" s="24" t="str">
        <f t="shared" si="82"/>
        <v>24 February 2022</v>
      </c>
      <c r="D789" s="21">
        <f t="shared" si="83"/>
        <v>2</v>
      </c>
      <c r="E789" s="21" t="str">
        <f t="shared" si="84"/>
        <v>February</v>
      </c>
      <c r="F789" s="22">
        <f t="shared" si="85"/>
        <v>2022</v>
      </c>
      <c r="G789" s="23" t="str">
        <f t="shared" si="86"/>
        <v>2022-02</v>
      </c>
    </row>
    <row r="790" spans="1:7" x14ac:dyDescent="0.3">
      <c r="A790" s="18">
        <f t="shared" si="87"/>
        <v>20220225</v>
      </c>
      <c r="B790" s="19">
        <v>44617</v>
      </c>
      <c r="C790" s="24" t="str">
        <f t="shared" si="82"/>
        <v>25 February 2022</v>
      </c>
      <c r="D790" s="21">
        <f t="shared" si="83"/>
        <v>2</v>
      </c>
      <c r="E790" s="21" t="str">
        <f t="shared" si="84"/>
        <v>February</v>
      </c>
      <c r="F790" s="22">
        <f t="shared" si="85"/>
        <v>2022</v>
      </c>
      <c r="G790" s="23" t="str">
        <f t="shared" si="86"/>
        <v>2022-02</v>
      </c>
    </row>
    <row r="791" spans="1:7" x14ac:dyDescent="0.3">
      <c r="A791" s="18">
        <f t="shared" si="87"/>
        <v>20220226</v>
      </c>
      <c r="B791" s="19">
        <v>44618</v>
      </c>
      <c r="C791" s="24" t="str">
        <f t="shared" si="82"/>
        <v>26 February 2022</v>
      </c>
      <c r="D791" s="21">
        <f t="shared" si="83"/>
        <v>2</v>
      </c>
      <c r="E791" s="21" t="str">
        <f t="shared" si="84"/>
        <v>February</v>
      </c>
      <c r="F791" s="22">
        <f t="shared" si="85"/>
        <v>2022</v>
      </c>
      <c r="G791" s="23" t="str">
        <f t="shared" si="86"/>
        <v>2022-02</v>
      </c>
    </row>
    <row r="792" spans="1:7" x14ac:dyDescent="0.3">
      <c r="A792" s="18">
        <f t="shared" si="87"/>
        <v>20220227</v>
      </c>
      <c r="B792" s="19">
        <v>44619</v>
      </c>
      <c r="C792" s="24" t="str">
        <f t="shared" si="82"/>
        <v>27 February 2022</v>
      </c>
      <c r="D792" s="21">
        <f t="shared" si="83"/>
        <v>2</v>
      </c>
      <c r="E792" s="21" t="str">
        <f t="shared" si="84"/>
        <v>February</v>
      </c>
      <c r="F792" s="22">
        <f t="shared" si="85"/>
        <v>2022</v>
      </c>
      <c r="G792" s="23" t="str">
        <f t="shared" si="86"/>
        <v>2022-02</v>
      </c>
    </row>
    <row r="793" spans="1:7" x14ac:dyDescent="0.3">
      <c r="A793" s="18">
        <f t="shared" si="87"/>
        <v>20220228</v>
      </c>
      <c r="B793" s="19">
        <v>44620</v>
      </c>
      <c r="C793" s="24" t="str">
        <f t="shared" si="82"/>
        <v>28 February 2022</v>
      </c>
      <c r="D793" s="21">
        <f t="shared" si="83"/>
        <v>2</v>
      </c>
      <c r="E793" s="21" t="str">
        <f t="shared" si="84"/>
        <v>February</v>
      </c>
      <c r="F793" s="22">
        <f t="shared" si="85"/>
        <v>2022</v>
      </c>
      <c r="G793" s="23" t="str">
        <f t="shared" si="86"/>
        <v>2022-02</v>
      </c>
    </row>
    <row r="794" spans="1:7" x14ac:dyDescent="0.3">
      <c r="A794" s="18">
        <f t="shared" si="87"/>
        <v>20220301</v>
      </c>
      <c r="B794" s="19">
        <v>44621</v>
      </c>
      <c r="C794" s="24" t="str">
        <f t="shared" si="82"/>
        <v>01 March 2022</v>
      </c>
      <c r="D794" s="21">
        <f t="shared" si="83"/>
        <v>3</v>
      </c>
      <c r="E794" s="21" t="str">
        <f t="shared" si="84"/>
        <v>March</v>
      </c>
      <c r="F794" s="22">
        <f t="shared" si="85"/>
        <v>2022</v>
      </c>
      <c r="G794" s="23" t="str">
        <f t="shared" si="86"/>
        <v>2022-03</v>
      </c>
    </row>
    <row r="795" spans="1:7" x14ac:dyDescent="0.3">
      <c r="A795" s="18">
        <f t="shared" si="87"/>
        <v>20220302</v>
      </c>
      <c r="B795" s="19">
        <v>44622</v>
      </c>
      <c r="C795" s="24" t="str">
        <f t="shared" si="82"/>
        <v>02 March 2022</v>
      </c>
      <c r="D795" s="21">
        <f t="shared" si="83"/>
        <v>3</v>
      </c>
      <c r="E795" s="21" t="str">
        <f t="shared" si="84"/>
        <v>March</v>
      </c>
      <c r="F795" s="22">
        <f t="shared" si="85"/>
        <v>2022</v>
      </c>
      <c r="G795" s="23" t="str">
        <f t="shared" si="86"/>
        <v>2022-03</v>
      </c>
    </row>
    <row r="796" spans="1:7" x14ac:dyDescent="0.3">
      <c r="A796" s="18">
        <f t="shared" si="87"/>
        <v>20220303</v>
      </c>
      <c r="B796" s="19">
        <v>44623</v>
      </c>
      <c r="C796" s="24" t="str">
        <f t="shared" si="82"/>
        <v>03 March 2022</v>
      </c>
      <c r="D796" s="21">
        <f t="shared" si="83"/>
        <v>3</v>
      </c>
      <c r="E796" s="21" t="str">
        <f t="shared" si="84"/>
        <v>March</v>
      </c>
      <c r="F796" s="22">
        <f t="shared" si="85"/>
        <v>2022</v>
      </c>
      <c r="G796" s="23" t="str">
        <f t="shared" si="86"/>
        <v>2022-03</v>
      </c>
    </row>
    <row r="797" spans="1:7" x14ac:dyDescent="0.3">
      <c r="A797" s="18">
        <f t="shared" si="87"/>
        <v>20220304</v>
      </c>
      <c r="B797" s="19">
        <v>44624</v>
      </c>
      <c r="C797" s="24" t="str">
        <f t="shared" si="82"/>
        <v>04 March 2022</v>
      </c>
      <c r="D797" s="21">
        <f t="shared" si="83"/>
        <v>3</v>
      </c>
      <c r="E797" s="21" t="str">
        <f t="shared" si="84"/>
        <v>March</v>
      </c>
      <c r="F797" s="22">
        <f t="shared" si="85"/>
        <v>2022</v>
      </c>
      <c r="G797" s="23" t="str">
        <f t="shared" si="86"/>
        <v>2022-03</v>
      </c>
    </row>
    <row r="798" spans="1:7" x14ac:dyDescent="0.3">
      <c r="A798" s="18">
        <f t="shared" si="87"/>
        <v>20220305</v>
      </c>
      <c r="B798" s="19">
        <v>44625</v>
      </c>
      <c r="C798" s="24" t="str">
        <f t="shared" si="82"/>
        <v>05 March 2022</v>
      </c>
      <c r="D798" s="21">
        <f t="shared" si="83"/>
        <v>3</v>
      </c>
      <c r="E798" s="21" t="str">
        <f t="shared" si="84"/>
        <v>March</v>
      </c>
      <c r="F798" s="22">
        <f t="shared" si="85"/>
        <v>2022</v>
      </c>
      <c r="G798" s="23" t="str">
        <f t="shared" si="86"/>
        <v>2022-03</v>
      </c>
    </row>
    <row r="799" spans="1:7" x14ac:dyDescent="0.3">
      <c r="A799" s="18">
        <f t="shared" si="87"/>
        <v>20220306</v>
      </c>
      <c r="B799" s="19">
        <v>44626</v>
      </c>
      <c r="C799" s="24" t="str">
        <f t="shared" si="82"/>
        <v>06 March 2022</v>
      </c>
      <c r="D799" s="21">
        <f t="shared" si="83"/>
        <v>3</v>
      </c>
      <c r="E799" s="21" t="str">
        <f t="shared" si="84"/>
        <v>March</v>
      </c>
      <c r="F799" s="22">
        <f t="shared" si="85"/>
        <v>2022</v>
      </c>
      <c r="G799" s="23" t="str">
        <f t="shared" si="86"/>
        <v>2022-03</v>
      </c>
    </row>
    <row r="800" spans="1:7" x14ac:dyDescent="0.3">
      <c r="A800" s="18">
        <f t="shared" si="87"/>
        <v>20220307</v>
      </c>
      <c r="B800" s="19">
        <v>44627</v>
      </c>
      <c r="C800" s="24" t="str">
        <f t="shared" si="82"/>
        <v>07 March 2022</v>
      </c>
      <c r="D800" s="21">
        <f t="shared" si="83"/>
        <v>3</v>
      </c>
      <c r="E800" s="21" t="str">
        <f t="shared" si="84"/>
        <v>March</v>
      </c>
      <c r="F800" s="22">
        <f t="shared" si="85"/>
        <v>2022</v>
      </c>
      <c r="G800" s="23" t="str">
        <f t="shared" si="86"/>
        <v>2022-03</v>
      </c>
    </row>
    <row r="801" spans="1:7" x14ac:dyDescent="0.3">
      <c r="A801" s="18">
        <f t="shared" si="87"/>
        <v>20220308</v>
      </c>
      <c r="B801" s="19">
        <v>44628</v>
      </c>
      <c r="C801" s="24" t="str">
        <f t="shared" ref="C801:C864" si="88">TEXT(B801,"dd MMMM YYYY")</f>
        <v>08 March 2022</v>
      </c>
      <c r="D801" s="21">
        <f t="shared" ref="D801:D864" si="89">MONTH(B801)</f>
        <v>3</v>
      </c>
      <c r="E801" s="21" t="str">
        <f t="shared" ref="E801:E864" si="90">TEXT(B801,"MMMM")</f>
        <v>March</v>
      </c>
      <c r="F801" s="22">
        <f t="shared" ref="F801:F864" si="91">YEAR(B801)</f>
        <v>2022</v>
      </c>
      <c r="G801" s="23" t="str">
        <f t="shared" ref="G801:G864" si="92">TEXT(B801,"YYYY-MM")</f>
        <v>2022-03</v>
      </c>
    </row>
    <row r="802" spans="1:7" x14ac:dyDescent="0.3">
      <c r="A802" s="18">
        <f t="shared" si="87"/>
        <v>20220309</v>
      </c>
      <c r="B802" s="19">
        <v>44629</v>
      </c>
      <c r="C802" s="24" t="str">
        <f t="shared" si="88"/>
        <v>09 March 2022</v>
      </c>
      <c r="D802" s="21">
        <f t="shared" si="89"/>
        <v>3</v>
      </c>
      <c r="E802" s="21" t="str">
        <f t="shared" si="90"/>
        <v>March</v>
      </c>
      <c r="F802" s="22">
        <f t="shared" si="91"/>
        <v>2022</v>
      </c>
      <c r="G802" s="23" t="str">
        <f t="shared" si="92"/>
        <v>2022-03</v>
      </c>
    </row>
    <row r="803" spans="1:7" x14ac:dyDescent="0.3">
      <c r="A803" s="18">
        <f t="shared" si="87"/>
        <v>20220310</v>
      </c>
      <c r="B803" s="19">
        <v>44630</v>
      </c>
      <c r="C803" s="24" t="str">
        <f t="shared" si="88"/>
        <v>10 March 2022</v>
      </c>
      <c r="D803" s="21">
        <f t="shared" si="89"/>
        <v>3</v>
      </c>
      <c r="E803" s="21" t="str">
        <f t="shared" si="90"/>
        <v>March</v>
      </c>
      <c r="F803" s="22">
        <f t="shared" si="91"/>
        <v>2022</v>
      </c>
      <c r="G803" s="23" t="str">
        <f t="shared" si="92"/>
        <v>2022-03</v>
      </c>
    </row>
    <row r="804" spans="1:7" x14ac:dyDescent="0.3">
      <c r="A804" s="18">
        <f t="shared" si="87"/>
        <v>20220311</v>
      </c>
      <c r="B804" s="19">
        <v>44631</v>
      </c>
      <c r="C804" s="24" t="str">
        <f t="shared" si="88"/>
        <v>11 March 2022</v>
      </c>
      <c r="D804" s="21">
        <f t="shared" si="89"/>
        <v>3</v>
      </c>
      <c r="E804" s="21" t="str">
        <f t="shared" si="90"/>
        <v>March</v>
      </c>
      <c r="F804" s="22">
        <f t="shared" si="91"/>
        <v>2022</v>
      </c>
      <c r="G804" s="23" t="str">
        <f t="shared" si="92"/>
        <v>2022-03</v>
      </c>
    </row>
    <row r="805" spans="1:7" x14ac:dyDescent="0.3">
      <c r="A805" s="18">
        <f t="shared" si="87"/>
        <v>20220312</v>
      </c>
      <c r="B805" s="19">
        <v>44632</v>
      </c>
      <c r="C805" s="24" t="str">
        <f t="shared" si="88"/>
        <v>12 March 2022</v>
      </c>
      <c r="D805" s="21">
        <f t="shared" si="89"/>
        <v>3</v>
      </c>
      <c r="E805" s="21" t="str">
        <f t="shared" si="90"/>
        <v>March</v>
      </c>
      <c r="F805" s="22">
        <f t="shared" si="91"/>
        <v>2022</v>
      </c>
      <c r="G805" s="23" t="str">
        <f t="shared" si="92"/>
        <v>2022-03</v>
      </c>
    </row>
    <row r="806" spans="1:7" x14ac:dyDescent="0.3">
      <c r="A806" s="18">
        <f t="shared" si="87"/>
        <v>20220313</v>
      </c>
      <c r="B806" s="19">
        <v>44633</v>
      </c>
      <c r="C806" s="24" t="str">
        <f t="shared" si="88"/>
        <v>13 March 2022</v>
      </c>
      <c r="D806" s="21">
        <f t="shared" si="89"/>
        <v>3</v>
      </c>
      <c r="E806" s="21" t="str">
        <f t="shared" si="90"/>
        <v>March</v>
      </c>
      <c r="F806" s="22">
        <f t="shared" si="91"/>
        <v>2022</v>
      </c>
      <c r="G806" s="23" t="str">
        <f t="shared" si="92"/>
        <v>2022-03</v>
      </c>
    </row>
    <row r="807" spans="1:7" x14ac:dyDescent="0.3">
      <c r="A807" s="18">
        <f t="shared" si="87"/>
        <v>20220314</v>
      </c>
      <c r="B807" s="19">
        <v>44634</v>
      </c>
      <c r="C807" s="24" t="str">
        <f t="shared" si="88"/>
        <v>14 March 2022</v>
      </c>
      <c r="D807" s="21">
        <f t="shared" si="89"/>
        <v>3</v>
      </c>
      <c r="E807" s="21" t="str">
        <f t="shared" si="90"/>
        <v>March</v>
      </c>
      <c r="F807" s="22">
        <f t="shared" si="91"/>
        <v>2022</v>
      </c>
      <c r="G807" s="23" t="str">
        <f t="shared" si="92"/>
        <v>2022-03</v>
      </c>
    </row>
    <row r="808" spans="1:7" x14ac:dyDescent="0.3">
      <c r="A808" s="18">
        <f t="shared" si="87"/>
        <v>20220315</v>
      </c>
      <c r="B808" s="19">
        <v>44635</v>
      </c>
      <c r="C808" s="24" t="str">
        <f t="shared" si="88"/>
        <v>15 March 2022</v>
      </c>
      <c r="D808" s="21">
        <f t="shared" si="89"/>
        <v>3</v>
      </c>
      <c r="E808" s="21" t="str">
        <f t="shared" si="90"/>
        <v>March</v>
      </c>
      <c r="F808" s="22">
        <f t="shared" si="91"/>
        <v>2022</v>
      </c>
      <c r="G808" s="23" t="str">
        <f t="shared" si="92"/>
        <v>2022-03</v>
      </c>
    </row>
    <row r="809" spans="1:7" x14ac:dyDescent="0.3">
      <c r="A809" s="18">
        <f t="shared" si="87"/>
        <v>20220316</v>
      </c>
      <c r="B809" s="19">
        <v>44636</v>
      </c>
      <c r="C809" s="24" t="str">
        <f t="shared" si="88"/>
        <v>16 March 2022</v>
      </c>
      <c r="D809" s="21">
        <f t="shared" si="89"/>
        <v>3</v>
      </c>
      <c r="E809" s="21" t="str">
        <f t="shared" si="90"/>
        <v>March</v>
      </c>
      <c r="F809" s="22">
        <f t="shared" si="91"/>
        <v>2022</v>
      </c>
      <c r="G809" s="23" t="str">
        <f t="shared" si="92"/>
        <v>2022-03</v>
      </c>
    </row>
    <row r="810" spans="1:7" x14ac:dyDescent="0.3">
      <c r="A810" s="18">
        <f t="shared" si="87"/>
        <v>20220317</v>
      </c>
      <c r="B810" s="19">
        <v>44637</v>
      </c>
      <c r="C810" s="24" t="str">
        <f t="shared" si="88"/>
        <v>17 March 2022</v>
      </c>
      <c r="D810" s="21">
        <f t="shared" si="89"/>
        <v>3</v>
      </c>
      <c r="E810" s="21" t="str">
        <f t="shared" si="90"/>
        <v>March</v>
      </c>
      <c r="F810" s="22">
        <f t="shared" si="91"/>
        <v>2022</v>
      </c>
      <c r="G810" s="23" t="str">
        <f t="shared" si="92"/>
        <v>2022-03</v>
      </c>
    </row>
    <row r="811" spans="1:7" x14ac:dyDescent="0.3">
      <c r="A811" s="18">
        <f t="shared" si="87"/>
        <v>20220318</v>
      </c>
      <c r="B811" s="19">
        <v>44638</v>
      </c>
      <c r="C811" s="24" t="str">
        <f t="shared" si="88"/>
        <v>18 March 2022</v>
      </c>
      <c r="D811" s="21">
        <f t="shared" si="89"/>
        <v>3</v>
      </c>
      <c r="E811" s="21" t="str">
        <f t="shared" si="90"/>
        <v>March</v>
      </c>
      <c r="F811" s="22">
        <f t="shared" si="91"/>
        <v>2022</v>
      </c>
      <c r="G811" s="23" t="str">
        <f t="shared" si="92"/>
        <v>2022-03</v>
      </c>
    </row>
    <row r="812" spans="1:7" x14ac:dyDescent="0.3">
      <c r="A812" s="18">
        <f t="shared" si="87"/>
        <v>20220319</v>
      </c>
      <c r="B812" s="19">
        <v>44639</v>
      </c>
      <c r="C812" s="24" t="str">
        <f t="shared" si="88"/>
        <v>19 March 2022</v>
      </c>
      <c r="D812" s="21">
        <f t="shared" si="89"/>
        <v>3</v>
      </c>
      <c r="E812" s="21" t="str">
        <f t="shared" si="90"/>
        <v>March</v>
      </c>
      <c r="F812" s="22">
        <f t="shared" si="91"/>
        <v>2022</v>
      </c>
      <c r="G812" s="23" t="str">
        <f t="shared" si="92"/>
        <v>2022-03</v>
      </c>
    </row>
    <row r="813" spans="1:7" x14ac:dyDescent="0.3">
      <c r="A813" s="18">
        <f t="shared" si="87"/>
        <v>20220320</v>
      </c>
      <c r="B813" s="19">
        <v>44640</v>
      </c>
      <c r="C813" s="24" t="str">
        <f t="shared" si="88"/>
        <v>20 March 2022</v>
      </c>
      <c r="D813" s="21">
        <f t="shared" si="89"/>
        <v>3</v>
      </c>
      <c r="E813" s="21" t="str">
        <f t="shared" si="90"/>
        <v>March</v>
      </c>
      <c r="F813" s="22">
        <f t="shared" si="91"/>
        <v>2022</v>
      </c>
      <c r="G813" s="23" t="str">
        <f t="shared" si="92"/>
        <v>2022-03</v>
      </c>
    </row>
    <row r="814" spans="1:7" x14ac:dyDescent="0.3">
      <c r="A814" s="18">
        <f t="shared" si="87"/>
        <v>20220321</v>
      </c>
      <c r="B814" s="19">
        <v>44641</v>
      </c>
      <c r="C814" s="24" t="str">
        <f t="shared" si="88"/>
        <v>21 March 2022</v>
      </c>
      <c r="D814" s="21">
        <f t="shared" si="89"/>
        <v>3</v>
      </c>
      <c r="E814" s="21" t="str">
        <f t="shared" si="90"/>
        <v>March</v>
      </c>
      <c r="F814" s="22">
        <f t="shared" si="91"/>
        <v>2022</v>
      </c>
      <c r="G814" s="23" t="str">
        <f t="shared" si="92"/>
        <v>2022-03</v>
      </c>
    </row>
    <row r="815" spans="1:7" x14ac:dyDescent="0.3">
      <c r="A815" s="18">
        <f t="shared" si="87"/>
        <v>20220322</v>
      </c>
      <c r="B815" s="19">
        <v>44642</v>
      </c>
      <c r="C815" s="24" t="str">
        <f t="shared" si="88"/>
        <v>22 March 2022</v>
      </c>
      <c r="D815" s="21">
        <f t="shared" si="89"/>
        <v>3</v>
      </c>
      <c r="E815" s="21" t="str">
        <f t="shared" si="90"/>
        <v>March</v>
      </c>
      <c r="F815" s="22">
        <f t="shared" si="91"/>
        <v>2022</v>
      </c>
      <c r="G815" s="23" t="str">
        <f t="shared" si="92"/>
        <v>2022-03</v>
      </c>
    </row>
    <row r="816" spans="1:7" x14ac:dyDescent="0.3">
      <c r="A816" s="18">
        <f t="shared" si="87"/>
        <v>20220323</v>
      </c>
      <c r="B816" s="19">
        <v>44643</v>
      </c>
      <c r="C816" s="24" t="str">
        <f t="shared" si="88"/>
        <v>23 March 2022</v>
      </c>
      <c r="D816" s="21">
        <f t="shared" si="89"/>
        <v>3</v>
      </c>
      <c r="E816" s="21" t="str">
        <f t="shared" si="90"/>
        <v>March</v>
      </c>
      <c r="F816" s="22">
        <f t="shared" si="91"/>
        <v>2022</v>
      </c>
      <c r="G816" s="23" t="str">
        <f t="shared" si="92"/>
        <v>2022-03</v>
      </c>
    </row>
    <row r="817" spans="1:7" x14ac:dyDescent="0.3">
      <c r="A817" s="18">
        <f t="shared" si="87"/>
        <v>20220324</v>
      </c>
      <c r="B817" s="19">
        <v>44644</v>
      </c>
      <c r="C817" s="24" t="str">
        <f t="shared" si="88"/>
        <v>24 March 2022</v>
      </c>
      <c r="D817" s="21">
        <f t="shared" si="89"/>
        <v>3</v>
      </c>
      <c r="E817" s="21" t="str">
        <f t="shared" si="90"/>
        <v>March</v>
      </c>
      <c r="F817" s="22">
        <f t="shared" si="91"/>
        <v>2022</v>
      </c>
      <c r="G817" s="23" t="str">
        <f t="shared" si="92"/>
        <v>2022-03</v>
      </c>
    </row>
    <row r="818" spans="1:7" x14ac:dyDescent="0.3">
      <c r="A818" s="18">
        <f t="shared" si="87"/>
        <v>20220325</v>
      </c>
      <c r="B818" s="19">
        <v>44645</v>
      </c>
      <c r="C818" s="24" t="str">
        <f t="shared" si="88"/>
        <v>25 March 2022</v>
      </c>
      <c r="D818" s="21">
        <f t="shared" si="89"/>
        <v>3</v>
      </c>
      <c r="E818" s="21" t="str">
        <f t="shared" si="90"/>
        <v>March</v>
      </c>
      <c r="F818" s="22">
        <f t="shared" si="91"/>
        <v>2022</v>
      </c>
      <c r="G818" s="23" t="str">
        <f t="shared" si="92"/>
        <v>2022-03</v>
      </c>
    </row>
    <row r="819" spans="1:7" x14ac:dyDescent="0.3">
      <c r="A819" s="18">
        <f t="shared" si="87"/>
        <v>20220326</v>
      </c>
      <c r="B819" s="19">
        <v>44646</v>
      </c>
      <c r="C819" s="24" t="str">
        <f t="shared" si="88"/>
        <v>26 March 2022</v>
      </c>
      <c r="D819" s="21">
        <f t="shared" si="89"/>
        <v>3</v>
      </c>
      <c r="E819" s="21" t="str">
        <f t="shared" si="90"/>
        <v>March</v>
      </c>
      <c r="F819" s="22">
        <f t="shared" si="91"/>
        <v>2022</v>
      </c>
      <c r="G819" s="23" t="str">
        <f t="shared" si="92"/>
        <v>2022-03</v>
      </c>
    </row>
    <row r="820" spans="1:7" x14ac:dyDescent="0.3">
      <c r="A820" s="18">
        <f t="shared" si="87"/>
        <v>20220327</v>
      </c>
      <c r="B820" s="19">
        <v>44647</v>
      </c>
      <c r="C820" s="24" t="str">
        <f t="shared" si="88"/>
        <v>27 March 2022</v>
      </c>
      <c r="D820" s="21">
        <f t="shared" si="89"/>
        <v>3</v>
      </c>
      <c r="E820" s="21" t="str">
        <f t="shared" si="90"/>
        <v>March</v>
      </c>
      <c r="F820" s="22">
        <f t="shared" si="91"/>
        <v>2022</v>
      </c>
      <c r="G820" s="23" t="str">
        <f t="shared" si="92"/>
        <v>2022-03</v>
      </c>
    </row>
    <row r="821" spans="1:7" x14ac:dyDescent="0.3">
      <c r="A821" s="18">
        <f t="shared" si="87"/>
        <v>20220328</v>
      </c>
      <c r="B821" s="19">
        <v>44648</v>
      </c>
      <c r="C821" s="24" t="str">
        <f t="shared" si="88"/>
        <v>28 March 2022</v>
      </c>
      <c r="D821" s="21">
        <f t="shared" si="89"/>
        <v>3</v>
      </c>
      <c r="E821" s="21" t="str">
        <f t="shared" si="90"/>
        <v>March</v>
      </c>
      <c r="F821" s="22">
        <f t="shared" si="91"/>
        <v>2022</v>
      </c>
      <c r="G821" s="23" t="str">
        <f t="shared" si="92"/>
        <v>2022-03</v>
      </c>
    </row>
    <row r="822" spans="1:7" x14ac:dyDescent="0.3">
      <c r="A822" s="18">
        <f t="shared" si="87"/>
        <v>20220329</v>
      </c>
      <c r="B822" s="19">
        <v>44649</v>
      </c>
      <c r="C822" s="24" t="str">
        <f t="shared" si="88"/>
        <v>29 March 2022</v>
      </c>
      <c r="D822" s="21">
        <f t="shared" si="89"/>
        <v>3</v>
      </c>
      <c r="E822" s="21" t="str">
        <f t="shared" si="90"/>
        <v>March</v>
      </c>
      <c r="F822" s="22">
        <f t="shared" si="91"/>
        <v>2022</v>
      </c>
      <c r="G822" s="23" t="str">
        <f t="shared" si="92"/>
        <v>2022-03</v>
      </c>
    </row>
    <row r="823" spans="1:7" x14ac:dyDescent="0.3">
      <c r="A823" s="18">
        <f t="shared" si="87"/>
        <v>20220330</v>
      </c>
      <c r="B823" s="19">
        <v>44650</v>
      </c>
      <c r="C823" s="24" t="str">
        <f t="shared" si="88"/>
        <v>30 March 2022</v>
      </c>
      <c r="D823" s="21">
        <f t="shared" si="89"/>
        <v>3</v>
      </c>
      <c r="E823" s="21" t="str">
        <f t="shared" si="90"/>
        <v>March</v>
      </c>
      <c r="F823" s="22">
        <f t="shared" si="91"/>
        <v>2022</v>
      </c>
      <c r="G823" s="23" t="str">
        <f t="shared" si="92"/>
        <v>2022-03</v>
      </c>
    </row>
    <row r="824" spans="1:7" x14ac:dyDescent="0.3">
      <c r="A824" s="18">
        <f t="shared" si="87"/>
        <v>20220331</v>
      </c>
      <c r="B824" s="19">
        <v>44651</v>
      </c>
      <c r="C824" s="24" t="str">
        <f t="shared" si="88"/>
        <v>31 March 2022</v>
      </c>
      <c r="D824" s="21">
        <f t="shared" si="89"/>
        <v>3</v>
      </c>
      <c r="E824" s="21" t="str">
        <f t="shared" si="90"/>
        <v>March</v>
      </c>
      <c r="F824" s="22">
        <f t="shared" si="91"/>
        <v>2022</v>
      </c>
      <c r="G824" s="23" t="str">
        <f t="shared" si="92"/>
        <v>2022-03</v>
      </c>
    </row>
    <row r="825" spans="1:7" x14ac:dyDescent="0.3">
      <c r="A825" s="18">
        <f t="shared" si="87"/>
        <v>20220401</v>
      </c>
      <c r="B825" s="19">
        <v>44652</v>
      </c>
      <c r="C825" s="24" t="str">
        <f t="shared" si="88"/>
        <v>01 April 2022</v>
      </c>
      <c r="D825" s="21">
        <f t="shared" si="89"/>
        <v>4</v>
      </c>
      <c r="E825" s="21" t="str">
        <f t="shared" si="90"/>
        <v>April</v>
      </c>
      <c r="F825" s="22">
        <f t="shared" si="91"/>
        <v>2022</v>
      </c>
      <c r="G825" s="23" t="str">
        <f t="shared" si="92"/>
        <v>2022-04</v>
      </c>
    </row>
    <row r="826" spans="1:7" x14ac:dyDescent="0.3">
      <c r="A826" s="18">
        <f t="shared" si="87"/>
        <v>20220402</v>
      </c>
      <c r="B826" s="19">
        <v>44653</v>
      </c>
      <c r="C826" s="24" t="str">
        <f t="shared" si="88"/>
        <v>02 April 2022</v>
      </c>
      <c r="D826" s="21">
        <f t="shared" si="89"/>
        <v>4</v>
      </c>
      <c r="E826" s="21" t="str">
        <f t="shared" si="90"/>
        <v>April</v>
      </c>
      <c r="F826" s="22">
        <f t="shared" si="91"/>
        <v>2022</v>
      </c>
      <c r="G826" s="23" t="str">
        <f t="shared" si="92"/>
        <v>2022-04</v>
      </c>
    </row>
    <row r="827" spans="1:7" x14ac:dyDescent="0.3">
      <c r="A827" s="18">
        <f t="shared" si="87"/>
        <v>20220403</v>
      </c>
      <c r="B827" s="19">
        <v>44654</v>
      </c>
      <c r="C827" s="24" t="str">
        <f t="shared" si="88"/>
        <v>03 April 2022</v>
      </c>
      <c r="D827" s="21">
        <f t="shared" si="89"/>
        <v>4</v>
      </c>
      <c r="E827" s="21" t="str">
        <f t="shared" si="90"/>
        <v>April</v>
      </c>
      <c r="F827" s="22">
        <f t="shared" si="91"/>
        <v>2022</v>
      </c>
      <c r="G827" s="23" t="str">
        <f t="shared" si="92"/>
        <v>2022-04</v>
      </c>
    </row>
    <row r="828" spans="1:7" x14ac:dyDescent="0.3">
      <c r="A828" s="18">
        <f t="shared" si="87"/>
        <v>20220404</v>
      </c>
      <c r="B828" s="19">
        <v>44655</v>
      </c>
      <c r="C828" s="24" t="str">
        <f t="shared" si="88"/>
        <v>04 April 2022</v>
      </c>
      <c r="D828" s="21">
        <f t="shared" si="89"/>
        <v>4</v>
      </c>
      <c r="E828" s="21" t="str">
        <f t="shared" si="90"/>
        <v>April</v>
      </c>
      <c r="F828" s="22">
        <f t="shared" si="91"/>
        <v>2022</v>
      </c>
      <c r="G828" s="23" t="str">
        <f t="shared" si="92"/>
        <v>2022-04</v>
      </c>
    </row>
    <row r="829" spans="1:7" x14ac:dyDescent="0.3">
      <c r="A829" s="18">
        <f t="shared" si="87"/>
        <v>20220405</v>
      </c>
      <c r="B829" s="19">
        <v>44656</v>
      </c>
      <c r="C829" s="24" t="str">
        <f t="shared" si="88"/>
        <v>05 April 2022</v>
      </c>
      <c r="D829" s="21">
        <f t="shared" si="89"/>
        <v>4</v>
      </c>
      <c r="E829" s="21" t="str">
        <f t="shared" si="90"/>
        <v>April</v>
      </c>
      <c r="F829" s="22">
        <f t="shared" si="91"/>
        <v>2022</v>
      </c>
      <c r="G829" s="23" t="str">
        <f t="shared" si="92"/>
        <v>2022-04</v>
      </c>
    </row>
    <row r="830" spans="1:7" x14ac:dyDescent="0.3">
      <c r="A830" s="18">
        <f t="shared" ref="A830:A893" si="93">YEAR(B830)*10000+MONTH(B830)*100+DAY(B830)</f>
        <v>20220406</v>
      </c>
      <c r="B830" s="19">
        <v>44657</v>
      </c>
      <c r="C830" s="24" t="str">
        <f t="shared" si="88"/>
        <v>06 April 2022</v>
      </c>
      <c r="D830" s="21">
        <f t="shared" si="89"/>
        <v>4</v>
      </c>
      <c r="E830" s="21" t="str">
        <f t="shared" si="90"/>
        <v>April</v>
      </c>
      <c r="F830" s="22">
        <f t="shared" si="91"/>
        <v>2022</v>
      </c>
      <c r="G830" s="23" t="str">
        <f t="shared" si="92"/>
        <v>2022-04</v>
      </c>
    </row>
    <row r="831" spans="1:7" x14ac:dyDescent="0.3">
      <c r="A831" s="18">
        <f t="shared" si="93"/>
        <v>20220407</v>
      </c>
      <c r="B831" s="19">
        <v>44658</v>
      </c>
      <c r="C831" s="24" t="str">
        <f t="shared" si="88"/>
        <v>07 April 2022</v>
      </c>
      <c r="D831" s="21">
        <f t="shared" si="89"/>
        <v>4</v>
      </c>
      <c r="E831" s="21" t="str">
        <f t="shared" si="90"/>
        <v>April</v>
      </c>
      <c r="F831" s="22">
        <f t="shared" si="91"/>
        <v>2022</v>
      </c>
      <c r="G831" s="23" t="str">
        <f t="shared" si="92"/>
        <v>2022-04</v>
      </c>
    </row>
    <row r="832" spans="1:7" x14ac:dyDescent="0.3">
      <c r="A832" s="18">
        <f t="shared" si="93"/>
        <v>20220408</v>
      </c>
      <c r="B832" s="19">
        <v>44659</v>
      </c>
      <c r="C832" s="24" t="str">
        <f t="shared" si="88"/>
        <v>08 April 2022</v>
      </c>
      <c r="D832" s="21">
        <f t="shared" si="89"/>
        <v>4</v>
      </c>
      <c r="E832" s="21" t="str">
        <f t="shared" si="90"/>
        <v>April</v>
      </c>
      <c r="F832" s="22">
        <f t="shared" si="91"/>
        <v>2022</v>
      </c>
      <c r="G832" s="23" t="str">
        <f t="shared" si="92"/>
        <v>2022-04</v>
      </c>
    </row>
    <row r="833" spans="1:7" x14ac:dyDescent="0.3">
      <c r="A833" s="18">
        <f t="shared" si="93"/>
        <v>20220409</v>
      </c>
      <c r="B833" s="19">
        <v>44660</v>
      </c>
      <c r="C833" s="24" t="str">
        <f t="shared" si="88"/>
        <v>09 April 2022</v>
      </c>
      <c r="D833" s="21">
        <f t="shared" si="89"/>
        <v>4</v>
      </c>
      <c r="E833" s="21" t="str">
        <f t="shared" si="90"/>
        <v>April</v>
      </c>
      <c r="F833" s="22">
        <f t="shared" si="91"/>
        <v>2022</v>
      </c>
      <c r="G833" s="23" t="str">
        <f t="shared" si="92"/>
        <v>2022-04</v>
      </c>
    </row>
    <row r="834" spans="1:7" x14ac:dyDescent="0.3">
      <c r="A834" s="18">
        <f t="shared" si="93"/>
        <v>20220410</v>
      </c>
      <c r="B834" s="19">
        <v>44661</v>
      </c>
      <c r="C834" s="24" t="str">
        <f t="shared" si="88"/>
        <v>10 April 2022</v>
      </c>
      <c r="D834" s="21">
        <f t="shared" si="89"/>
        <v>4</v>
      </c>
      <c r="E834" s="21" t="str">
        <f t="shared" si="90"/>
        <v>April</v>
      </c>
      <c r="F834" s="22">
        <f t="shared" si="91"/>
        <v>2022</v>
      </c>
      <c r="G834" s="23" t="str">
        <f t="shared" si="92"/>
        <v>2022-04</v>
      </c>
    </row>
    <row r="835" spans="1:7" x14ac:dyDescent="0.3">
      <c r="A835" s="18">
        <f t="shared" si="93"/>
        <v>20220411</v>
      </c>
      <c r="B835" s="19">
        <v>44662</v>
      </c>
      <c r="C835" s="24" t="str">
        <f t="shared" si="88"/>
        <v>11 April 2022</v>
      </c>
      <c r="D835" s="21">
        <f t="shared" si="89"/>
        <v>4</v>
      </c>
      <c r="E835" s="21" t="str">
        <f t="shared" si="90"/>
        <v>April</v>
      </c>
      <c r="F835" s="22">
        <f t="shared" si="91"/>
        <v>2022</v>
      </c>
      <c r="G835" s="23" t="str">
        <f t="shared" si="92"/>
        <v>2022-04</v>
      </c>
    </row>
    <row r="836" spans="1:7" x14ac:dyDescent="0.3">
      <c r="A836" s="18">
        <f t="shared" si="93"/>
        <v>20220412</v>
      </c>
      <c r="B836" s="19">
        <v>44663</v>
      </c>
      <c r="C836" s="24" t="str">
        <f t="shared" si="88"/>
        <v>12 April 2022</v>
      </c>
      <c r="D836" s="21">
        <f t="shared" si="89"/>
        <v>4</v>
      </c>
      <c r="E836" s="21" t="str">
        <f t="shared" si="90"/>
        <v>April</v>
      </c>
      <c r="F836" s="22">
        <f t="shared" si="91"/>
        <v>2022</v>
      </c>
      <c r="G836" s="23" t="str">
        <f t="shared" si="92"/>
        <v>2022-04</v>
      </c>
    </row>
    <row r="837" spans="1:7" x14ac:dyDescent="0.3">
      <c r="A837" s="18">
        <f t="shared" si="93"/>
        <v>20220413</v>
      </c>
      <c r="B837" s="19">
        <v>44664</v>
      </c>
      <c r="C837" s="24" t="str">
        <f t="shared" si="88"/>
        <v>13 April 2022</v>
      </c>
      <c r="D837" s="21">
        <f t="shared" si="89"/>
        <v>4</v>
      </c>
      <c r="E837" s="21" t="str">
        <f t="shared" si="90"/>
        <v>April</v>
      </c>
      <c r="F837" s="22">
        <f t="shared" si="91"/>
        <v>2022</v>
      </c>
      <c r="G837" s="23" t="str">
        <f t="shared" si="92"/>
        <v>2022-04</v>
      </c>
    </row>
    <row r="838" spans="1:7" x14ac:dyDescent="0.3">
      <c r="A838" s="18">
        <f t="shared" si="93"/>
        <v>20220414</v>
      </c>
      <c r="B838" s="19">
        <v>44665</v>
      </c>
      <c r="C838" s="24" t="str">
        <f t="shared" si="88"/>
        <v>14 April 2022</v>
      </c>
      <c r="D838" s="21">
        <f t="shared" si="89"/>
        <v>4</v>
      </c>
      <c r="E838" s="21" t="str">
        <f t="shared" si="90"/>
        <v>April</v>
      </c>
      <c r="F838" s="22">
        <f t="shared" si="91"/>
        <v>2022</v>
      </c>
      <c r="G838" s="23" t="str">
        <f t="shared" si="92"/>
        <v>2022-04</v>
      </c>
    </row>
    <row r="839" spans="1:7" x14ac:dyDescent="0.3">
      <c r="A839" s="18">
        <f t="shared" si="93"/>
        <v>20220415</v>
      </c>
      <c r="B839" s="19">
        <v>44666</v>
      </c>
      <c r="C839" s="24" t="str">
        <f t="shared" si="88"/>
        <v>15 April 2022</v>
      </c>
      <c r="D839" s="21">
        <f t="shared" si="89"/>
        <v>4</v>
      </c>
      <c r="E839" s="21" t="str">
        <f t="shared" si="90"/>
        <v>April</v>
      </c>
      <c r="F839" s="22">
        <f t="shared" si="91"/>
        <v>2022</v>
      </c>
      <c r="G839" s="23" t="str">
        <f t="shared" si="92"/>
        <v>2022-04</v>
      </c>
    </row>
    <row r="840" spans="1:7" x14ac:dyDescent="0.3">
      <c r="A840" s="18">
        <f t="shared" si="93"/>
        <v>20220416</v>
      </c>
      <c r="B840" s="19">
        <v>44667</v>
      </c>
      <c r="C840" s="24" t="str">
        <f t="shared" si="88"/>
        <v>16 April 2022</v>
      </c>
      <c r="D840" s="21">
        <f t="shared" si="89"/>
        <v>4</v>
      </c>
      <c r="E840" s="21" t="str">
        <f t="shared" si="90"/>
        <v>April</v>
      </c>
      <c r="F840" s="22">
        <f t="shared" si="91"/>
        <v>2022</v>
      </c>
      <c r="G840" s="23" t="str">
        <f t="shared" si="92"/>
        <v>2022-04</v>
      </c>
    </row>
    <row r="841" spans="1:7" x14ac:dyDescent="0.3">
      <c r="A841" s="18">
        <f t="shared" si="93"/>
        <v>20220417</v>
      </c>
      <c r="B841" s="19">
        <v>44668</v>
      </c>
      <c r="C841" s="24" t="str">
        <f t="shared" si="88"/>
        <v>17 April 2022</v>
      </c>
      <c r="D841" s="21">
        <f t="shared" si="89"/>
        <v>4</v>
      </c>
      <c r="E841" s="21" t="str">
        <f t="shared" si="90"/>
        <v>April</v>
      </c>
      <c r="F841" s="22">
        <f t="shared" si="91"/>
        <v>2022</v>
      </c>
      <c r="G841" s="23" t="str">
        <f t="shared" si="92"/>
        <v>2022-04</v>
      </c>
    </row>
    <row r="842" spans="1:7" x14ac:dyDescent="0.3">
      <c r="A842" s="18">
        <f t="shared" si="93"/>
        <v>20220418</v>
      </c>
      <c r="B842" s="19">
        <v>44669</v>
      </c>
      <c r="C842" s="24" t="str">
        <f t="shared" si="88"/>
        <v>18 April 2022</v>
      </c>
      <c r="D842" s="21">
        <f t="shared" si="89"/>
        <v>4</v>
      </c>
      <c r="E842" s="21" t="str">
        <f t="shared" si="90"/>
        <v>April</v>
      </c>
      <c r="F842" s="22">
        <f t="shared" si="91"/>
        <v>2022</v>
      </c>
      <c r="G842" s="23" t="str">
        <f t="shared" si="92"/>
        <v>2022-04</v>
      </c>
    </row>
    <row r="843" spans="1:7" x14ac:dyDescent="0.3">
      <c r="A843" s="18">
        <f t="shared" si="93"/>
        <v>20220419</v>
      </c>
      <c r="B843" s="19">
        <v>44670</v>
      </c>
      <c r="C843" s="24" t="str">
        <f t="shared" si="88"/>
        <v>19 April 2022</v>
      </c>
      <c r="D843" s="21">
        <f t="shared" si="89"/>
        <v>4</v>
      </c>
      <c r="E843" s="21" t="str">
        <f t="shared" si="90"/>
        <v>April</v>
      </c>
      <c r="F843" s="22">
        <f t="shared" si="91"/>
        <v>2022</v>
      </c>
      <c r="G843" s="23" t="str">
        <f t="shared" si="92"/>
        <v>2022-04</v>
      </c>
    </row>
    <row r="844" spans="1:7" x14ac:dyDescent="0.3">
      <c r="A844" s="18">
        <f t="shared" si="93"/>
        <v>20220420</v>
      </c>
      <c r="B844" s="19">
        <v>44671</v>
      </c>
      <c r="C844" s="24" t="str">
        <f t="shared" si="88"/>
        <v>20 April 2022</v>
      </c>
      <c r="D844" s="21">
        <f t="shared" si="89"/>
        <v>4</v>
      </c>
      <c r="E844" s="21" t="str">
        <f t="shared" si="90"/>
        <v>April</v>
      </c>
      <c r="F844" s="22">
        <f t="shared" si="91"/>
        <v>2022</v>
      </c>
      <c r="G844" s="23" t="str">
        <f t="shared" si="92"/>
        <v>2022-04</v>
      </c>
    </row>
    <row r="845" spans="1:7" x14ac:dyDescent="0.3">
      <c r="A845" s="18">
        <f t="shared" si="93"/>
        <v>20220421</v>
      </c>
      <c r="B845" s="19">
        <v>44672</v>
      </c>
      <c r="C845" s="24" t="str">
        <f t="shared" si="88"/>
        <v>21 April 2022</v>
      </c>
      <c r="D845" s="21">
        <f t="shared" si="89"/>
        <v>4</v>
      </c>
      <c r="E845" s="21" t="str">
        <f t="shared" si="90"/>
        <v>April</v>
      </c>
      <c r="F845" s="22">
        <f t="shared" si="91"/>
        <v>2022</v>
      </c>
      <c r="G845" s="23" t="str">
        <f t="shared" si="92"/>
        <v>2022-04</v>
      </c>
    </row>
    <row r="846" spans="1:7" x14ac:dyDescent="0.3">
      <c r="A846" s="18">
        <f t="shared" si="93"/>
        <v>20220422</v>
      </c>
      <c r="B846" s="19">
        <v>44673</v>
      </c>
      <c r="C846" s="24" t="str">
        <f t="shared" si="88"/>
        <v>22 April 2022</v>
      </c>
      <c r="D846" s="21">
        <f t="shared" si="89"/>
        <v>4</v>
      </c>
      <c r="E846" s="21" t="str">
        <f t="shared" si="90"/>
        <v>April</v>
      </c>
      <c r="F846" s="22">
        <f t="shared" si="91"/>
        <v>2022</v>
      </c>
      <c r="G846" s="23" t="str">
        <f t="shared" si="92"/>
        <v>2022-04</v>
      </c>
    </row>
    <row r="847" spans="1:7" x14ac:dyDescent="0.3">
      <c r="A847" s="18">
        <f t="shared" si="93"/>
        <v>20220423</v>
      </c>
      <c r="B847" s="19">
        <v>44674</v>
      </c>
      <c r="C847" s="24" t="str">
        <f t="shared" si="88"/>
        <v>23 April 2022</v>
      </c>
      <c r="D847" s="21">
        <f t="shared" si="89"/>
        <v>4</v>
      </c>
      <c r="E847" s="21" t="str">
        <f t="shared" si="90"/>
        <v>April</v>
      </c>
      <c r="F847" s="22">
        <f t="shared" si="91"/>
        <v>2022</v>
      </c>
      <c r="G847" s="23" t="str">
        <f t="shared" si="92"/>
        <v>2022-04</v>
      </c>
    </row>
    <row r="848" spans="1:7" x14ac:dyDescent="0.3">
      <c r="A848" s="18">
        <f t="shared" si="93"/>
        <v>20220424</v>
      </c>
      <c r="B848" s="19">
        <v>44675</v>
      </c>
      <c r="C848" s="24" t="str">
        <f t="shared" si="88"/>
        <v>24 April 2022</v>
      </c>
      <c r="D848" s="21">
        <f t="shared" si="89"/>
        <v>4</v>
      </c>
      <c r="E848" s="21" t="str">
        <f t="shared" si="90"/>
        <v>April</v>
      </c>
      <c r="F848" s="22">
        <f t="shared" si="91"/>
        <v>2022</v>
      </c>
      <c r="G848" s="23" t="str">
        <f t="shared" si="92"/>
        <v>2022-04</v>
      </c>
    </row>
    <row r="849" spans="1:7" x14ac:dyDescent="0.3">
      <c r="A849" s="18">
        <f t="shared" si="93"/>
        <v>20220425</v>
      </c>
      <c r="B849" s="19">
        <v>44676</v>
      </c>
      <c r="C849" s="24" t="str">
        <f t="shared" si="88"/>
        <v>25 April 2022</v>
      </c>
      <c r="D849" s="21">
        <f t="shared" si="89"/>
        <v>4</v>
      </c>
      <c r="E849" s="21" t="str">
        <f t="shared" si="90"/>
        <v>April</v>
      </c>
      <c r="F849" s="22">
        <f t="shared" si="91"/>
        <v>2022</v>
      </c>
      <c r="G849" s="23" t="str">
        <f t="shared" si="92"/>
        <v>2022-04</v>
      </c>
    </row>
    <row r="850" spans="1:7" x14ac:dyDescent="0.3">
      <c r="A850" s="18">
        <f t="shared" si="93"/>
        <v>20220426</v>
      </c>
      <c r="B850" s="19">
        <v>44677</v>
      </c>
      <c r="C850" s="24" t="str">
        <f t="shared" si="88"/>
        <v>26 April 2022</v>
      </c>
      <c r="D850" s="21">
        <f t="shared" si="89"/>
        <v>4</v>
      </c>
      <c r="E850" s="21" t="str">
        <f t="shared" si="90"/>
        <v>April</v>
      </c>
      <c r="F850" s="22">
        <f t="shared" si="91"/>
        <v>2022</v>
      </c>
      <c r="G850" s="23" t="str">
        <f t="shared" si="92"/>
        <v>2022-04</v>
      </c>
    </row>
    <row r="851" spans="1:7" x14ac:dyDescent="0.3">
      <c r="A851" s="18">
        <f t="shared" si="93"/>
        <v>20220427</v>
      </c>
      <c r="B851" s="19">
        <v>44678</v>
      </c>
      <c r="C851" s="24" t="str">
        <f t="shared" si="88"/>
        <v>27 April 2022</v>
      </c>
      <c r="D851" s="21">
        <f t="shared" si="89"/>
        <v>4</v>
      </c>
      <c r="E851" s="21" t="str">
        <f t="shared" si="90"/>
        <v>April</v>
      </c>
      <c r="F851" s="22">
        <f t="shared" si="91"/>
        <v>2022</v>
      </c>
      <c r="G851" s="23" t="str">
        <f t="shared" si="92"/>
        <v>2022-04</v>
      </c>
    </row>
    <row r="852" spans="1:7" x14ac:dyDescent="0.3">
      <c r="A852" s="18">
        <f t="shared" si="93"/>
        <v>20220428</v>
      </c>
      <c r="B852" s="19">
        <v>44679</v>
      </c>
      <c r="C852" s="24" t="str">
        <f t="shared" si="88"/>
        <v>28 April 2022</v>
      </c>
      <c r="D852" s="21">
        <f t="shared" si="89"/>
        <v>4</v>
      </c>
      <c r="E852" s="21" t="str">
        <f t="shared" si="90"/>
        <v>April</v>
      </c>
      <c r="F852" s="22">
        <f t="shared" si="91"/>
        <v>2022</v>
      </c>
      <c r="G852" s="23" t="str">
        <f t="shared" si="92"/>
        <v>2022-04</v>
      </c>
    </row>
    <row r="853" spans="1:7" x14ac:dyDescent="0.3">
      <c r="A853" s="18">
        <f t="shared" si="93"/>
        <v>20220429</v>
      </c>
      <c r="B853" s="19">
        <v>44680</v>
      </c>
      <c r="C853" s="24" t="str">
        <f t="shared" si="88"/>
        <v>29 April 2022</v>
      </c>
      <c r="D853" s="21">
        <f t="shared" si="89"/>
        <v>4</v>
      </c>
      <c r="E853" s="21" t="str">
        <f t="shared" si="90"/>
        <v>April</v>
      </c>
      <c r="F853" s="22">
        <f t="shared" si="91"/>
        <v>2022</v>
      </c>
      <c r="G853" s="23" t="str">
        <f t="shared" si="92"/>
        <v>2022-04</v>
      </c>
    </row>
    <row r="854" spans="1:7" x14ac:dyDescent="0.3">
      <c r="A854" s="18">
        <f t="shared" si="93"/>
        <v>20220430</v>
      </c>
      <c r="B854" s="19">
        <v>44681</v>
      </c>
      <c r="C854" s="24" t="str">
        <f t="shared" si="88"/>
        <v>30 April 2022</v>
      </c>
      <c r="D854" s="21">
        <f t="shared" si="89"/>
        <v>4</v>
      </c>
      <c r="E854" s="21" t="str">
        <f t="shared" si="90"/>
        <v>April</v>
      </c>
      <c r="F854" s="22">
        <f t="shared" si="91"/>
        <v>2022</v>
      </c>
      <c r="G854" s="23" t="str">
        <f t="shared" si="92"/>
        <v>2022-04</v>
      </c>
    </row>
    <row r="855" spans="1:7" x14ac:dyDescent="0.3">
      <c r="A855" s="18">
        <f t="shared" si="93"/>
        <v>20220501</v>
      </c>
      <c r="B855" s="19">
        <v>44682</v>
      </c>
      <c r="C855" s="24" t="str">
        <f t="shared" si="88"/>
        <v>01 May 2022</v>
      </c>
      <c r="D855" s="21">
        <f t="shared" si="89"/>
        <v>5</v>
      </c>
      <c r="E855" s="21" t="str">
        <f t="shared" si="90"/>
        <v>May</v>
      </c>
      <c r="F855" s="22">
        <f t="shared" si="91"/>
        <v>2022</v>
      </c>
      <c r="G855" s="23" t="str">
        <f t="shared" si="92"/>
        <v>2022-05</v>
      </c>
    </row>
    <row r="856" spans="1:7" x14ac:dyDescent="0.3">
      <c r="A856" s="18">
        <f t="shared" si="93"/>
        <v>20220502</v>
      </c>
      <c r="B856" s="19">
        <v>44683</v>
      </c>
      <c r="C856" s="24" t="str">
        <f t="shared" si="88"/>
        <v>02 May 2022</v>
      </c>
      <c r="D856" s="21">
        <f t="shared" si="89"/>
        <v>5</v>
      </c>
      <c r="E856" s="21" t="str">
        <f t="shared" si="90"/>
        <v>May</v>
      </c>
      <c r="F856" s="22">
        <f t="shared" si="91"/>
        <v>2022</v>
      </c>
      <c r="G856" s="23" t="str">
        <f t="shared" si="92"/>
        <v>2022-05</v>
      </c>
    </row>
    <row r="857" spans="1:7" x14ac:dyDescent="0.3">
      <c r="A857" s="18">
        <f t="shared" si="93"/>
        <v>20220503</v>
      </c>
      <c r="B857" s="19">
        <v>44684</v>
      </c>
      <c r="C857" s="24" t="str">
        <f t="shared" si="88"/>
        <v>03 May 2022</v>
      </c>
      <c r="D857" s="21">
        <f t="shared" si="89"/>
        <v>5</v>
      </c>
      <c r="E857" s="21" t="str">
        <f t="shared" si="90"/>
        <v>May</v>
      </c>
      <c r="F857" s="22">
        <f t="shared" si="91"/>
        <v>2022</v>
      </c>
      <c r="G857" s="23" t="str">
        <f t="shared" si="92"/>
        <v>2022-05</v>
      </c>
    </row>
    <row r="858" spans="1:7" x14ac:dyDescent="0.3">
      <c r="A858" s="18">
        <f t="shared" si="93"/>
        <v>20220504</v>
      </c>
      <c r="B858" s="19">
        <v>44685</v>
      </c>
      <c r="C858" s="24" t="str">
        <f t="shared" si="88"/>
        <v>04 May 2022</v>
      </c>
      <c r="D858" s="21">
        <f t="shared" si="89"/>
        <v>5</v>
      </c>
      <c r="E858" s="21" t="str">
        <f t="shared" si="90"/>
        <v>May</v>
      </c>
      <c r="F858" s="22">
        <f t="shared" si="91"/>
        <v>2022</v>
      </c>
      <c r="G858" s="23" t="str">
        <f t="shared" si="92"/>
        <v>2022-05</v>
      </c>
    </row>
    <row r="859" spans="1:7" x14ac:dyDescent="0.3">
      <c r="A859" s="18">
        <f t="shared" si="93"/>
        <v>20220505</v>
      </c>
      <c r="B859" s="19">
        <v>44686</v>
      </c>
      <c r="C859" s="24" t="str">
        <f t="shared" si="88"/>
        <v>05 May 2022</v>
      </c>
      <c r="D859" s="21">
        <f t="shared" si="89"/>
        <v>5</v>
      </c>
      <c r="E859" s="21" t="str">
        <f t="shared" si="90"/>
        <v>May</v>
      </c>
      <c r="F859" s="22">
        <f t="shared" si="91"/>
        <v>2022</v>
      </c>
      <c r="G859" s="23" t="str">
        <f t="shared" si="92"/>
        <v>2022-05</v>
      </c>
    </row>
    <row r="860" spans="1:7" x14ac:dyDescent="0.3">
      <c r="A860" s="18">
        <f t="shared" si="93"/>
        <v>20220506</v>
      </c>
      <c r="B860" s="19">
        <v>44687</v>
      </c>
      <c r="C860" s="24" t="str">
        <f t="shared" si="88"/>
        <v>06 May 2022</v>
      </c>
      <c r="D860" s="21">
        <f t="shared" si="89"/>
        <v>5</v>
      </c>
      <c r="E860" s="21" t="str">
        <f t="shared" si="90"/>
        <v>May</v>
      </c>
      <c r="F860" s="22">
        <f t="shared" si="91"/>
        <v>2022</v>
      </c>
      <c r="G860" s="23" t="str">
        <f t="shared" si="92"/>
        <v>2022-05</v>
      </c>
    </row>
    <row r="861" spans="1:7" x14ac:dyDescent="0.3">
      <c r="A861" s="18">
        <f t="shared" si="93"/>
        <v>20220507</v>
      </c>
      <c r="B861" s="19">
        <v>44688</v>
      </c>
      <c r="C861" s="24" t="str">
        <f t="shared" si="88"/>
        <v>07 May 2022</v>
      </c>
      <c r="D861" s="21">
        <f t="shared" si="89"/>
        <v>5</v>
      </c>
      <c r="E861" s="21" t="str">
        <f t="shared" si="90"/>
        <v>May</v>
      </c>
      <c r="F861" s="22">
        <f t="shared" si="91"/>
        <v>2022</v>
      </c>
      <c r="G861" s="23" t="str">
        <f t="shared" si="92"/>
        <v>2022-05</v>
      </c>
    </row>
    <row r="862" spans="1:7" x14ac:dyDescent="0.3">
      <c r="A862" s="18">
        <f t="shared" si="93"/>
        <v>20220508</v>
      </c>
      <c r="B862" s="19">
        <v>44689</v>
      </c>
      <c r="C862" s="24" t="str">
        <f t="shared" si="88"/>
        <v>08 May 2022</v>
      </c>
      <c r="D862" s="21">
        <f t="shared" si="89"/>
        <v>5</v>
      </c>
      <c r="E862" s="21" t="str">
        <f t="shared" si="90"/>
        <v>May</v>
      </c>
      <c r="F862" s="22">
        <f t="shared" si="91"/>
        <v>2022</v>
      </c>
      <c r="G862" s="23" t="str">
        <f t="shared" si="92"/>
        <v>2022-05</v>
      </c>
    </row>
    <row r="863" spans="1:7" x14ac:dyDescent="0.3">
      <c r="A863" s="18">
        <f t="shared" si="93"/>
        <v>20220509</v>
      </c>
      <c r="B863" s="19">
        <v>44690</v>
      </c>
      <c r="C863" s="24" t="str">
        <f t="shared" si="88"/>
        <v>09 May 2022</v>
      </c>
      <c r="D863" s="21">
        <f t="shared" si="89"/>
        <v>5</v>
      </c>
      <c r="E863" s="21" t="str">
        <f t="shared" si="90"/>
        <v>May</v>
      </c>
      <c r="F863" s="22">
        <f t="shared" si="91"/>
        <v>2022</v>
      </c>
      <c r="G863" s="23" t="str">
        <f t="shared" si="92"/>
        <v>2022-05</v>
      </c>
    </row>
    <row r="864" spans="1:7" x14ac:dyDescent="0.3">
      <c r="A864" s="18">
        <f t="shared" si="93"/>
        <v>20220510</v>
      </c>
      <c r="B864" s="19">
        <v>44691</v>
      </c>
      <c r="C864" s="24" t="str">
        <f t="shared" si="88"/>
        <v>10 May 2022</v>
      </c>
      <c r="D864" s="21">
        <f t="shared" si="89"/>
        <v>5</v>
      </c>
      <c r="E864" s="21" t="str">
        <f t="shared" si="90"/>
        <v>May</v>
      </c>
      <c r="F864" s="22">
        <f t="shared" si="91"/>
        <v>2022</v>
      </c>
      <c r="G864" s="23" t="str">
        <f t="shared" si="92"/>
        <v>2022-05</v>
      </c>
    </row>
    <row r="865" spans="1:7" x14ac:dyDescent="0.3">
      <c r="A865" s="18">
        <f t="shared" si="93"/>
        <v>20220511</v>
      </c>
      <c r="B865" s="19">
        <v>44692</v>
      </c>
      <c r="C865" s="24" t="str">
        <f t="shared" ref="C865:C928" si="94">TEXT(B865,"dd MMMM YYYY")</f>
        <v>11 May 2022</v>
      </c>
      <c r="D865" s="21">
        <f t="shared" ref="D865:D928" si="95">MONTH(B865)</f>
        <v>5</v>
      </c>
      <c r="E865" s="21" t="str">
        <f t="shared" ref="E865:E928" si="96">TEXT(B865,"MMMM")</f>
        <v>May</v>
      </c>
      <c r="F865" s="22">
        <f t="shared" ref="F865:F928" si="97">YEAR(B865)</f>
        <v>2022</v>
      </c>
      <c r="G865" s="23" t="str">
        <f t="shared" ref="G865:G928" si="98">TEXT(B865,"YYYY-MM")</f>
        <v>2022-05</v>
      </c>
    </row>
    <row r="866" spans="1:7" x14ac:dyDescent="0.3">
      <c r="A866" s="18">
        <f t="shared" si="93"/>
        <v>20220512</v>
      </c>
      <c r="B866" s="19">
        <v>44693</v>
      </c>
      <c r="C866" s="24" t="str">
        <f t="shared" si="94"/>
        <v>12 May 2022</v>
      </c>
      <c r="D866" s="21">
        <f t="shared" si="95"/>
        <v>5</v>
      </c>
      <c r="E866" s="21" t="str">
        <f t="shared" si="96"/>
        <v>May</v>
      </c>
      <c r="F866" s="22">
        <f t="shared" si="97"/>
        <v>2022</v>
      </c>
      <c r="G866" s="23" t="str">
        <f t="shared" si="98"/>
        <v>2022-05</v>
      </c>
    </row>
    <row r="867" spans="1:7" x14ac:dyDescent="0.3">
      <c r="A867" s="18">
        <f t="shared" si="93"/>
        <v>20220513</v>
      </c>
      <c r="B867" s="19">
        <v>44694</v>
      </c>
      <c r="C867" s="24" t="str">
        <f t="shared" si="94"/>
        <v>13 May 2022</v>
      </c>
      <c r="D867" s="21">
        <f t="shared" si="95"/>
        <v>5</v>
      </c>
      <c r="E867" s="21" t="str">
        <f t="shared" si="96"/>
        <v>May</v>
      </c>
      <c r="F867" s="22">
        <f t="shared" si="97"/>
        <v>2022</v>
      </c>
      <c r="G867" s="23" t="str">
        <f t="shared" si="98"/>
        <v>2022-05</v>
      </c>
    </row>
    <row r="868" spans="1:7" x14ac:dyDescent="0.3">
      <c r="A868" s="18">
        <f t="shared" si="93"/>
        <v>20220514</v>
      </c>
      <c r="B868" s="19">
        <v>44695</v>
      </c>
      <c r="C868" s="24" t="str">
        <f t="shared" si="94"/>
        <v>14 May 2022</v>
      </c>
      <c r="D868" s="21">
        <f t="shared" si="95"/>
        <v>5</v>
      </c>
      <c r="E868" s="21" t="str">
        <f t="shared" si="96"/>
        <v>May</v>
      </c>
      <c r="F868" s="22">
        <f t="shared" si="97"/>
        <v>2022</v>
      </c>
      <c r="G868" s="23" t="str">
        <f t="shared" si="98"/>
        <v>2022-05</v>
      </c>
    </row>
    <row r="869" spans="1:7" x14ac:dyDescent="0.3">
      <c r="A869" s="18">
        <f t="shared" si="93"/>
        <v>20220515</v>
      </c>
      <c r="B869" s="19">
        <v>44696</v>
      </c>
      <c r="C869" s="24" t="str">
        <f t="shared" si="94"/>
        <v>15 May 2022</v>
      </c>
      <c r="D869" s="21">
        <f t="shared" si="95"/>
        <v>5</v>
      </c>
      <c r="E869" s="21" t="str">
        <f t="shared" si="96"/>
        <v>May</v>
      </c>
      <c r="F869" s="22">
        <f t="shared" si="97"/>
        <v>2022</v>
      </c>
      <c r="G869" s="23" t="str">
        <f t="shared" si="98"/>
        <v>2022-05</v>
      </c>
    </row>
    <row r="870" spans="1:7" x14ac:dyDescent="0.3">
      <c r="A870" s="18">
        <f t="shared" si="93"/>
        <v>20220516</v>
      </c>
      <c r="B870" s="19">
        <v>44697</v>
      </c>
      <c r="C870" s="24" t="str">
        <f t="shared" si="94"/>
        <v>16 May 2022</v>
      </c>
      <c r="D870" s="21">
        <f t="shared" si="95"/>
        <v>5</v>
      </c>
      <c r="E870" s="21" t="str">
        <f t="shared" si="96"/>
        <v>May</v>
      </c>
      <c r="F870" s="22">
        <f t="shared" si="97"/>
        <v>2022</v>
      </c>
      <c r="G870" s="23" t="str">
        <f t="shared" si="98"/>
        <v>2022-05</v>
      </c>
    </row>
    <row r="871" spans="1:7" x14ac:dyDescent="0.3">
      <c r="A871" s="18">
        <f t="shared" si="93"/>
        <v>20220517</v>
      </c>
      <c r="B871" s="19">
        <v>44698</v>
      </c>
      <c r="C871" s="24" t="str">
        <f t="shared" si="94"/>
        <v>17 May 2022</v>
      </c>
      <c r="D871" s="21">
        <f t="shared" si="95"/>
        <v>5</v>
      </c>
      <c r="E871" s="21" t="str">
        <f t="shared" si="96"/>
        <v>May</v>
      </c>
      <c r="F871" s="22">
        <f t="shared" si="97"/>
        <v>2022</v>
      </c>
      <c r="G871" s="23" t="str">
        <f t="shared" si="98"/>
        <v>2022-05</v>
      </c>
    </row>
    <row r="872" spans="1:7" x14ac:dyDescent="0.3">
      <c r="A872" s="18">
        <f t="shared" si="93"/>
        <v>20220518</v>
      </c>
      <c r="B872" s="19">
        <v>44699</v>
      </c>
      <c r="C872" s="24" t="str">
        <f t="shared" si="94"/>
        <v>18 May 2022</v>
      </c>
      <c r="D872" s="21">
        <f t="shared" si="95"/>
        <v>5</v>
      </c>
      <c r="E872" s="21" t="str">
        <f t="shared" si="96"/>
        <v>May</v>
      </c>
      <c r="F872" s="22">
        <f t="shared" si="97"/>
        <v>2022</v>
      </c>
      <c r="G872" s="23" t="str">
        <f t="shared" si="98"/>
        <v>2022-05</v>
      </c>
    </row>
    <row r="873" spans="1:7" x14ac:dyDescent="0.3">
      <c r="A873" s="18">
        <f t="shared" si="93"/>
        <v>20220519</v>
      </c>
      <c r="B873" s="19">
        <v>44700</v>
      </c>
      <c r="C873" s="24" t="str">
        <f t="shared" si="94"/>
        <v>19 May 2022</v>
      </c>
      <c r="D873" s="21">
        <f t="shared" si="95"/>
        <v>5</v>
      </c>
      <c r="E873" s="21" t="str">
        <f t="shared" si="96"/>
        <v>May</v>
      </c>
      <c r="F873" s="22">
        <f t="shared" si="97"/>
        <v>2022</v>
      </c>
      <c r="G873" s="23" t="str">
        <f t="shared" si="98"/>
        <v>2022-05</v>
      </c>
    </row>
    <row r="874" spans="1:7" x14ac:dyDescent="0.3">
      <c r="A874" s="18">
        <f t="shared" si="93"/>
        <v>20220520</v>
      </c>
      <c r="B874" s="19">
        <v>44701</v>
      </c>
      <c r="C874" s="24" t="str">
        <f t="shared" si="94"/>
        <v>20 May 2022</v>
      </c>
      <c r="D874" s="21">
        <f t="shared" si="95"/>
        <v>5</v>
      </c>
      <c r="E874" s="21" t="str">
        <f t="shared" si="96"/>
        <v>May</v>
      </c>
      <c r="F874" s="22">
        <f t="shared" si="97"/>
        <v>2022</v>
      </c>
      <c r="G874" s="23" t="str">
        <f t="shared" si="98"/>
        <v>2022-05</v>
      </c>
    </row>
    <row r="875" spans="1:7" x14ac:dyDescent="0.3">
      <c r="A875" s="18">
        <f t="shared" si="93"/>
        <v>20220521</v>
      </c>
      <c r="B875" s="19">
        <v>44702</v>
      </c>
      <c r="C875" s="24" t="str">
        <f t="shared" si="94"/>
        <v>21 May 2022</v>
      </c>
      <c r="D875" s="21">
        <f t="shared" si="95"/>
        <v>5</v>
      </c>
      <c r="E875" s="21" t="str">
        <f t="shared" si="96"/>
        <v>May</v>
      </c>
      <c r="F875" s="22">
        <f t="shared" si="97"/>
        <v>2022</v>
      </c>
      <c r="G875" s="23" t="str">
        <f t="shared" si="98"/>
        <v>2022-05</v>
      </c>
    </row>
    <row r="876" spans="1:7" x14ac:dyDescent="0.3">
      <c r="A876" s="18">
        <f t="shared" si="93"/>
        <v>20220522</v>
      </c>
      <c r="B876" s="19">
        <v>44703</v>
      </c>
      <c r="C876" s="24" t="str">
        <f t="shared" si="94"/>
        <v>22 May 2022</v>
      </c>
      <c r="D876" s="21">
        <f t="shared" si="95"/>
        <v>5</v>
      </c>
      <c r="E876" s="21" t="str">
        <f t="shared" si="96"/>
        <v>May</v>
      </c>
      <c r="F876" s="22">
        <f t="shared" si="97"/>
        <v>2022</v>
      </c>
      <c r="G876" s="23" t="str">
        <f t="shared" si="98"/>
        <v>2022-05</v>
      </c>
    </row>
    <row r="877" spans="1:7" x14ac:dyDescent="0.3">
      <c r="A877" s="18">
        <f t="shared" si="93"/>
        <v>20220523</v>
      </c>
      <c r="B877" s="19">
        <v>44704</v>
      </c>
      <c r="C877" s="24" t="str">
        <f t="shared" si="94"/>
        <v>23 May 2022</v>
      </c>
      <c r="D877" s="21">
        <f t="shared" si="95"/>
        <v>5</v>
      </c>
      <c r="E877" s="21" t="str">
        <f t="shared" si="96"/>
        <v>May</v>
      </c>
      <c r="F877" s="22">
        <f t="shared" si="97"/>
        <v>2022</v>
      </c>
      <c r="G877" s="23" t="str">
        <f t="shared" si="98"/>
        <v>2022-05</v>
      </c>
    </row>
    <row r="878" spans="1:7" x14ac:dyDescent="0.3">
      <c r="A878" s="18">
        <f t="shared" si="93"/>
        <v>20220524</v>
      </c>
      <c r="B878" s="19">
        <v>44705</v>
      </c>
      <c r="C878" s="24" t="str">
        <f t="shared" si="94"/>
        <v>24 May 2022</v>
      </c>
      <c r="D878" s="21">
        <f t="shared" si="95"/>
        <v>5</v>
      </c>
      <c r="E878" s="21" t="str">
        <f t="shared" si="96"/>
        <v>May</v>
      </c>
      <c r="F878" s="22">
        <f t="shared" si="97"/>
        <v>2022</v>
      </c>
      <c r="G878" s="23" t="str">
        <f t="shared" si="98"/>
        <v>2022-05</v>
      </c>
    </row>
    <row r="879" spans="1:7" x14ac:dyDescent="0.3">
      <c r="A879" s="18">
        <f t="shared" si="93"/>
        <v>20220525</v>
      </c>
      <c r="B879" s="19">
        <v>44706</v>
      </c>
      <c r="C879" s="24" t="str">
        <f t="shared" si="94"/>
        <v>25 May 2022</v>
      </c>
      <c r="D879" s="21">
        <f t="shared" si="95"/>
        <v>5</v>
      </c>
      <c r="E879" s="21" t="str">
        <f t="shared" si="96"/>
        <v>May</v>
      </c>
      <c r="F879" s="22">
        <f t="shared" si="97"/>
        <v>2022</v>
      </c>
      <c r="G879" s="23" t="str">
        <f t="shared" si="98"/>
        <v>2022-05</v>
      </c>
    </row>
    <row r="880" spans="1:7" x14ac:dyDescent="0.3">
      <c r="A880" s="18">
        <f t="shared" si="93"/>
        <v>20220526</v>
      </c>
      <c r="B880" s="19">
        <v>44707</v>
      </c>
      <c r="C880" s="24" t="str">
        <f t="shared" si="94"/>
        <v>26 May 2022</v>
      </c>
      <c r="D880" s="21">
        <f t="shared" si="95"/>
        <v>5</v>
      </c>
      <c r="E880" s="21" t="str">
        <f t="shared" si="96"/>
        <v>May</v>
      </c>
      <c r="F880" s="22">
        <f t="shared" si="97"/>
        <v>2022</v>
      </c>
      <c r="G880" s="23" t="str">
        <f t="shared" si="98"/>
        <v>2022-05</v>
      </c>
    </row>
    <row r="881" spans="1:7" x14ac:dyDescent="0.3">
      <c r="A881" s="18">
        <f t="shared" si="93"/>
        <v>20220527</v>
      </c>
      <c r="B881" s="19">
        <v>44708</v>
      </c>
      <c r="C881" s="24" t="str">
        <f t="shared" si="94"/>
        <v>27 May 2022</v>
      </c>
      <c r="D881" s="21">
        <f t="shared" si="95"/>
        <v>5</v>
      </c>
      <c r="E881" s="21" t="str">
        <f t="shared" si="96"/>
        <v>May</v>
      </c>
      <c r="F881" s="22">
        <f t="shared" si="97"/>
        <v>2022</v>
      </c>
      <c r="G881" s="23" t="str">
        <f t="shared" si="98"/>
        <v>2022-05</v>
      </c>
    </row>
    <row r="882" spans="1:7" x14ac:dyDescent="0.3">
      <c r="A882" s="18">
        <f t="shared" si="93"/>
        <v>20220528</v>
      </c>
      <c r="B882" s="19">
        <v>44709</v>
      </c>
      <c r="C882" s="24" t="str">
        <f t="shared" si="94"/>
        <v>28 May 2022</v>
      </c>
      <c r="D882" s="21">
        <f t="shared" si="95"/>
        <v>5</v>
      </c>
      <c r="E882" s="21" t="str">
        <f t="shared" si="96"/>
        <v>May</v>
      </c>
      <c r="F882" s="22">
        <f t="shared" si="97"/>
        <v>2022</v>
      </c>
      <c r="G882" s="23" t="str">
        <f t="shared" si="98"/>
        <v>2022-05</v>
      </c>
    </row>
    <row r="883" spans="1:7" x14ac:dyDescent="0.3">
      <c r="A883" s="18">
        <f t="shared" si="93"/>
        <v>20220529</v>
      </c>
      <c r="B883" s="19">
        <v>44710</v>
      </c>
      <c r="C883" s="24" t="str">
        <f t="shared" si="94"/>
        <v>29 May 2022</v>
      </c>
      <c r="D883" s="21">
        <f t="shared" si="95"/>
        <v>5</v>
      </c>
      <c r="E883" s="21" t="str">
        <f t="shared" si="96"/>
        <v>May</v>
      </c>
      <c r="F883" s="22">
        <f t="shared" si="97"/>
        <v>2022</v>
      </c>
      <c r="G883" s="23" t="str">
        <f t="shared" si="98"/>
        <v>2022-05</v>
      </c>
    </row>
    <row r="884" spans="1:7" x14ac:dyDescent="0.3">
      <c r="A884" s="18">
        <f t="shared" si="93"/>
        <v>20220530</v>
      </c>
      <c r="B884" s="19">
        <v>44711</v>
      </c>
      <c r="C884" s="24" t="str">
        <f t="shared" si="94"/>
        <v>30 May 2022</v>
      </c>
      <c r="D884" s="21">
        <f t="shared" si="95"/>
        <v>5</v>
      </c>
      <c r="E884" s="21" t="str">
        <f t="shared" si="96"/>
        <v>May</v>
      </c>
      <c r="F884" s="22">
        <f t="shared" si="97"/>
        <v>2022</v>
      </c>
      <c r="G884" s="23" t="str">
        <f t="shared" si="98"/>
        <v>2022-05</v>
      </c>
    </row>
    <row r="885" spans="1:7" x14ac:dyDescent="0.3">
      <c r="A885" s="18">
        <f t="shared" si="93"/>
        <v>20220531</v>
      </c>
      <c r="B885" s="19">
        <v>44712</v>
      </c>
      <c r="C885" s="24" t="str">
        <f t="shared" si="94"/>
        <v>31 May 2022</v>
      </c>
      <c r="D885" s="21">
        <f t="shared" si="95"/>
        <v>5</v>
      </c>
      <c r="E885" s="21" t="str">
        <f t="shared" si="96"/>
        <v>May</v>
      </c>
      <c r="F885" s="22">
        <f t="shared" si="97"/>
        <v>2022</v>
      </c>
      <c r="G885" s="23" t="str">
        <f t="shared" si="98"/>
        <v>2022-05</v>
      </c>
    </row>
    <row r="886" spans="1:7" x14ac:dyDescent="0.3">
      <c r="A886" s="18">
        <f t="shared" si="93"/>
        <v>20220601</v>
      </c>
      <c r="B886" s="19">
        <v>44713</v>
      </c>
      <c r="C886" s="24" t="str">
        <f t="shared" si="94"/>
        <v>01 June 2022</v>
      </c>
      <c r="D886" s="21">
        <f t="shared" si="95"/>
        <v>6</v>
      </c>
      <c r="E886" s="21" t="str">
        <f t="shared" si="96"/>
        <v>June</v>
      </c>
      <c r="F886" s="22">
        <f t="shared" si="97"/>
        <v>2022</v>
      </c>
      <c r="G886" s="23" t="str">
        <f t="shared" si="98"/>
        <v>2022-06</v>
      </c>
    </row>
    <row r="887" spans="1:7" x14ac:dyDescent="0.3">
      <c r="A887" s="18">
        <f t="shared" si="93"/>
        <v>20220602</v>
      </c>
      <c r="B887" s="19">
        <v>44714</v>
      </c>
      <c r="C887" s="24" t="str">
        <f t="shared" si="94"/>
        <v>02 June 2022</v>
      </c>
      <c r="D887" s="21">
        <f t="shared" si="95"/>
        <v>6</v>
      </c>
      <c r="E887" s="21" t="str">
        <f t="shared" si="96"/>
        <v>June</v>
      </c>
      <c r="F887" s="22">
        <f t="shared" si="97"/>
        <v>2022</v>
      </c>
      <c r="G887" s="23" t="str">
        <f t="shared" si="98"/>
        <v>2022-06</v>
      </c>
    </row>
    <row r="888" spans="1:7" x14ac:dyDescent="0.3">
      <c r="A888" s="18">
        <f t="shared" si="93"/>
        <v>20220603</v>
      </c>
      <c r="B888" s="19">
        <v>44715</v>
      </c>
      <c r="C888" s="24" t="str">
        <f t="shared" si="94"/>
        <v>03 June 2022</v>
      </c>
      <c r="D888" s="21">
        <f t="shared" si="95"/>
        <v>6</v>
      </c>
      <c r="E888" s="21" t="str">
        <f t="shared" si="96"/>
        <v>June</v>
      </c>
      <c r="F888" s="22">
        <f t="shared" si="97"/>
        <v>2022</v>
      </c>
      <c r="G888" s="23" t="str">
        <f t="shared" si="98"/>
        <v>2022-06</v>
      </c>
    </row>
    <row r="889" spans="1:7" x14ac:dyDescent="0.3">
      <c r="A889" s="18">
        <f t="shared" si="93"/>
        <v>20220604</v>
      </c>
      <c r="B889" s="19">
        <v>44716</v>
      </c>
      <c r="C889" s="24" t="str">
        <f t="shared" si="94"/>
        <v>04 June 2022</v>
      </c>
      <c r="D889" s="21">
        <f t="shared" si="95"/>
        <v>6</v>
      </c>
      <c r="E889" s="21" t="str">
        <f t="shared" si="96"/>
        <v>June</v>
      </c>
      <c r="F889" s="22">
        <f t="shared" si="97"/>
        <v>2022</v>
      </c>
      <c r="G889" s="23" t="str">
        <f t="shared" si="98"/>
        <v>2022-06</v>
      </c>
    </row>
    <row r="890" spans="1:7" x14ac:dyDescent="0.3">
      <c r="A890" s="18">
        <f t="shared" si="93"/>
        <v>20220605</v>
      </c>
      <c r="B890" s="19">
        <v>44717</v>
      </c>
      <c r="C890" s="24" t="str">
        <f t="shared" si="94"/>
        <v>05 June 2022</v>
      </c>
      <c r="D890" s="21">
        <f t="shared" si="95"/>
        <v>6</v>
      </c>
      <c r="E890" s="21" t="str">
        <f t="shared" si="96"/>
        <v>June</v>
      </c>
      <c r="F890" s="22">
        <f t="shared" si="97"/>
        <v>2022</v>
      </c>
      <c r="G890" s="23" t="str">
        <f t="shared" si="98"/>
        <v>2022-06</v>
      </c>
    </row>
    <row r="891" spans="1:7" x14ac:dyDescent="0.3">
      <c r="A891" s="18">
        <f t="shared" si="93"/>
        <v>20220606</v>
      </c>
      <c r="B891" s="19">
        <v>44718</v>
      </c>
      <c r="C891" s="24" t="str">
        <f t="shared" si="94"/>
        <v>06 June 2022</v>
      </c>
      <c r="D891" s="21">
        <f t="shared" si="95"/>
        <v>6</v>
      </c>
      <c r="E891" s="21" t="str">
        <f t="shared" si="96"/>
        <v>June</v>
      </c>
      <c r="F891" s="22">
        <f t="shared" si="97"/>
        <v>2022</v>
      </c>
      <c r="G891" s="23" t="str">
        <f t="shared" si="98"/>
        <v>2022-06</v>
      </c>
    </row>
    <row r="892" spans="1:7" x14ac:dyDescent="0.3">
      <c r="A892" s="18">
        <f t="shared" si="93"/>
        <v>20220607</v>
      </c>
      <c r="B892" s="19">
        <v>44719</v>
      </c>
      <c r="C892" s="24" t="str">
        <f t="shared" si="94"/>
        <v>07 June 2022</v>
      </c>
      <c r="D892" s="21">
        <f t="shared" si="95"/>
        <v>6</v>
      </c>
      <c r="E892" s="21" t="str">
        <f t="shared" si="96"/>
        <v>June</v>
      </c>
      <c r="F892" s="22">
        <f t="shared" si="97"/>
        <v>2022</v>
      </c>
      <c r="G892" s="23" t="str">
        <f t="shared" si="98"/>
        <v>2022-06</v>
      </c>
    </row>
    <row r="893" spans="1:7" x14ac:dyDescent="0.3">
      <c r="A893" s="18">
        <f t="shared" si="93"/>
        <v>20220608</v>
      </c>
      <c r="B893" s="19">
        <v>44720</v>
      </c>
      <c r="C893" s="24" t="str">
        <f t="shared" si="94"/>
        <v>08 June 2022</v>
      </c>
      <c r="D893" s="21">
        <f t="shared" si="95"/>
        <v>6</v>
      </c>
      <c r="E893" s="21" t="str">
        <f t="shared" si="96"/>
        <v>June</v>
      </c>
      <c r="F893" s="22">
        <f t="shared" si="97"/>
        <v>2022</v>
      </c>
      <c r="G893" s="23" t="str">
        <f t="shared" si="98"/>
        <v>2022-06</v>
      </c>
    </row>
    <row r="894" spans="1:7" x14ac:dyDescent="0.3">
      <c r="A894" s="18">
        <f t="shared" ref="A894:A957" si="99">YEAR(B894)*10000+MONTH(B894)*100+DAY(B894)</f>
        <v>20220609</v>
      </c>
      <c r="B894" s="19">
        <v>44721</v>
      </c>
      <c r="C894" s="24" t="str">
        <f t="shared" si="94"/>
        <v>09 June 2022</v>
      </c>
      <c r="D894" s="21">
        <f t="shared" si="95"/>
        <v>6</v>
      </c>
      <c r="E894" s="21" t="str">
        <f t="shared" si="96"/>
        <v>June</v>
      </c>
      <c r="F894" s="22">
        <f t="shared" si="97"/>
        <v>2022</v>
      </c>
      <c r="G894" s="23" t="str">
        <f t="shared" si="98"/>
        <v>2022-06</v>
      </c>
    </row>
    <row r="895" spans="1:7" x14ac:dyDescent="0.3">
      <c r="A895" s="18">
        <f t="shared" si="99"/>
        <v>20220610</v>
      </c>
      <c r="B895" s="19">
        <v>44722</v>
      </c>
      <c r="C895" s="24" t="str">
        <f t="shared" si="94"/>
        <v>10 June 2022</v>
      </c>
      <c r="D895" s="21">
        <f t="shared" si="95"/>
        <v>6</v>
      </c>
      <c r="E895" s="21" t="str">
        <f t="shared" si="96"/>
        <v>June</v>
      </c>
      <c r="F895" s="22">
        <f t="shared" si="97"/>
        <v>2022</v>
      </c>
      <c r="G895" s="23" t="str">
        <f t="shared" si="98"/>
        <v>2022-06</v>
      </c>
    </row>
    <row r="896" spans="1:7" x14ac:dyDescent="0.3">
      <c r="A896" s="18">
        <f t="shared" si="99"/>
        <v>20220611</v>
      </c>
      <c r="B896" s="19">
        <v>44723</v>
      </c>
      <c r="C896" s="24" t="str">
        <f t="shared" si="94"/>
        <v>11 June 2022</v>
      </c>
      <c r="D896" s="21">
        <f t="shared" si="95"/>
        <v>6</v>
      </c>
      <c r="E896" s="21" t="str">
        <f t="shared" si="96"/>
        <v>June</v>
      </c>
      <c r="F896" s="22">
        <f t="shared" si="97"/>
        <v>2022</v>
      </c>
      <c r="G896" s="23" t="str">
        <f t="shared" si="98"/>
        <v>2022-06</v>
      </c>
    </row>
    <row r="897" spans="1:7" x14ac:dyDescent="0.3">
      <c r="A897" s="18">
        <f t="shared" si="99"/>
        <v>20220612</v>
      </c>
      <c r="B897" s="19">
        <v>44724</v>
      </c>
      <c r="C897" s="24" t="str">
        <f t="shared" si="94"/>
        <v>12 June 2022</v>
      </c>
      <c r="D897" s="21">
        <f t="shared" si="95"/>
        <v>6</v>
      </c>
      <c r="E897" s="21" t="str">
        <f t="shared" si="96"/>
        <v>June</v>
      </c>
      <c r="F897" s="22">
        <f t="shared" si="97"/>
        <v>2022</v>
      </c>
      <c r="G897" s="23" t="str">
        <f t="shared" si="98"/>
        <v>2022-06</v>
      </c>
    </row>
    <row r="898" spans="1:7" x14ac:dyDescent="0.3">
      <c r="A898" s="18">
        <f t="shared" si="99"/>
        <v>20220613</v>
      </c>
      <c r="B898" s="19">
        <v>44725</v>
      </c>
      <c r="C898" s="24" t="str">
        <f t="shared" si="94"/>
        <v>13 June 2022</v>
      </c>
      <c r="D898" s="21">
        <f t="shared" si="95"/>
        <v>6</v>
      </c>
      <c r="E898" s="21" t="str">
        <f t="shared" si="96"/>
        <v>June</v>
      </c>
      <c r="F898" s="22">
        <f t="shared" si="97"/>
        <v>2022</v>
      </c>
      <c r="G898" s="23" t="str">
        <f t="shared" si="98"/>
        <v>2022-06</v>
      </c>
    </row>
    <row r="899" spans="1:7" x14ac:dyDescent="0.3">
      <c r="A899" s="18">
        <f t="shared" si="99"/>
        <v>20220614</v>
      </c>
      <c r="B899" s="19">
        <v>44726</v>
      </c>
      <c r="C899" s="24" t="str">
        <f t="shared" si="94"/>
        <v>14 June 2022</v>
      </c>
      <c r="D899" s="21">
        <f t="shared" si="95"/>
        <v>6</v>
      </c>
      <c r="E899" s="21" t="str">
        <f t="shared" si="96"/>
        <v>June</v>
      </c>
      <c r="F899" s="22">
        <f t="shared" si="97"/>
        <v>2022</v>
      </c>
      <c r="G899" s="23" t="str">
        <f t="shared" si="98"/>
        <v>2022-06</v>
      </c>
    </row>
    <row r="900" spans="1:7" x14ac:dyDescent="0.3">
      <c r="A900" s="18">
        <f t="shared" si="99"/>
        <v>20220615</v>
      </c>
      <c r="B900" s="19">
        <v>44727</v>
      </c>
      <c r="C900" s="24" t="str">
        <f t="shared" si="94"/>
        <v>15 June 2022</v>
      </c>
      <c r="D900" s="21">
        <f t="shared" si="95"/>
        <v>6</v>
      </c>
      <c r="E900" s="21" t="str">
        <f t="shared" si="96"/>
        <v>June</v>
      </c>
      <c r="F900" s="22">
        <f t="shared" si="97"/>
        <v>2022</v>
      </c>
      <c r="G900" s="23" t="str">
        <f t="shared" si="98"/>
        <v>2022-06</v>
      </c>
    </row>
    <row r="901" spans="1:7" x14ac:dyDescent="0.3">
      <c r="A901" s="18">
        <f t="shared" si="99"/>
        <v>20220616</v>
      </c>
      <c r="B901" s="19">
        <v>44728</v>
      </c>
      <c r="C901" s="24" t="str">
        <f t="shared" si="94"/>
        <v>16 June 2022</v>
      </c>
      <c r="D901" s="21">
        <f t="shared" si="95"/>
        <v>6</v>
      </c>
      <c r="E901" s="21" t="str">
        <f t="shared" si="96"/>
        <v>June</v>
      </c>
      <c r="F901" s="22">
        <f t="shared" si="97"/>
        <v>2022</v>
      </c>
      <c r="G901" s="23" t="str">
        <f t="shared" si="98"/>
        <v>2022-06</v>
      </c>
    </row>
    <row r="902" spans="1:7" x14ac:dyDescent="0.3">
      <c r="A902" s="18">
        <f t="shared" si="99"/>
        <v>20220617</v>
      </c>
      <c r="B902" s="19">
        <v>44729</v>
      </c>
      <c r="C902" s="24" t="str">
        <f t="shared" si="94"/>
        <v>17 June 2022</v>
      </c>
      <c r="D902" s="21">
        <f t="shared" si="95"/>
        <v>6</v>
      </c>
      <c r="E902" s="21" t="str">
        <f t="shared" si="96"/>
        <v>June</v>
      </c>
      <c r="F902" s="22">
        <f t="shared" si="97"/>
        <v>2022</v>
      </c>
      <c r="G902" s="23" t="str">
        <f t="shared" si="98"/>
        <v>2022-06</v>
      </c>
    </row>
    <row r="903" spans="1:7" x14ac:dyDescent="0.3">
      <c r="A903" s="18">
        <f t="shared" si="99"/>
        <v>20220618</v>
      </c>
      <c r="B903" s="19">
        <v>44730</v>
      </c>
      <c r="C903" s="24" t="str">
        <f t="shared" si="94"/>
        <v>18 June 2022</v>
      </c>
      <c r="D903" s="21">
        <f t="shared" si="95"/>
        <v>6</v>
      </c>
      <c r="E903" s="21" t="str">
        <f t="shared" si="96"/>
        <v>June</v>
      </c>
      <c r="F903" s="22">
        <f t="shared" si="97"/>
        <v>2022</v>
      </c>
      <c r="G903" s="23" t="str">
        <f t="shared" si="98"/>
        <v>2022-06</v>
      </c>
    </row>
    <row r="904" spans="1:7" x14ac:dyDescent="0.3">
      <c r="A904" s="18">
        <f t="shared" si="99"/>
        <v>20220619</v>
      </c>
      <c r="B904" s="19">
        <v>44731</v>
      </c>
      <c r="C904" s="24" t="str">
        <f t="shared" si="94"/>
        <v>19 June 2022</v>
      </c>
      <c r="D904" s="21">
        <f t="shared" si="95"/>
        <v>6</v>
      </c>
      <c r="E904" s="21" t="str">
        <f t="shared" si="96"/>
        <v>June</v>
      </c>
      <c r="F904" s="22">
        <f t="shared" si="97"/>
        <v>2022</v>
      </c>
      <c r="G904" s="23" t="str">
        <f t="shared" si="98"/>
        <v>2022-06</v>
      </c>
    </row>
    <row r="905" spans="1:7" x14ac:dyDescent="0.3">
      <c r="A905" s="18">
        <f t="shared" si="99"/>
        <v>20220620</v>
      </c>
      <c r="B905" s="19">
        <v>44732</v>
      </c>
      <c r="C905" s="24" t="str">
        <f t="shared" si="94"/>
        <v>20 June 2022</v>
      </c>
      <c r="D905" s="21">
        <f t="shared" si="95"/>
        <v>6</v>
      </c>
      <c r="E905" s="21" t="str">
        <f t="shared" si="96"/>
        <v>June</v>
      </c>
      <c r="F905" s="22">
        <f t="shared" si="97"/>
        <v>2022</v>
      </c>
      <c r="G905" s="23" t="str">
        <f t="shared" si="98"/>
        <v>2022-06</v>
      </c>
    </row>
    <row r="906" spans="1:7" x14ac:dyDescent="0.3">
      <c r="A906" s="18">
        <f t="shared" si="99"/>
        <v>20220621</v>
      </c>
      <c r="B906" s="19">
        <v>44733</v>
      </c>
      <c r="C906" s="24" t="str">
        <f t="shared" si="94"/>
        <v>21 June 2022</v>
      </c>
      <c r="D906" s="21">
        <f t="shared" si="95"/>
        <v>6</v>
      </c>
      <c r="E906" s="21" t="str">
        <f t="shared" si="96"/>
        <v>June</v>
      </c>
      <c r="F906" s="22">
        <f t="shared" si="97"/>
        <v>2022</v>
      </c>
      <c r="G906" s="23" t="str">
        <f t="shared" si="98"/>
        <v>2022-06</v>
      </c>
    </row>
    <row r="907" spans="1:7" x14ac:dyDescent="0.3">
      <c r="A907" s="18">
        <f t="shared" si="99"/>
        <v>20220622</v>
      </c>
      <c r="B907" s="19">
        <v>44734</v>
      </c>
      <c r="C907" s="24" t="str">
        <f t="shared" si="94"/>
        <v>22 June 2022</v>
      </c>
      <c r="D907" s="21">
        <f t="shared" si="95"/>
        <v>6</v>
      </c>
      <c r="E907" s="21" t="str">
        <f t="shared" si="96"/>
        <v>June</v>
      </c>
      <c r="F907" s="22">
        <f t="shared" si="97"/>
        <v>2022</v>
      </c>
      <c r="G907" s="23" t="str">
        <f t="shared" si="98"/>
        <v>2022-06</v>
      </c>
    </row>
    <row r="908" spans="1:7" x14ac:dyDescent="0.3">
      <c r="A908" s="18">
        <f t="shared" si="99"/>
        <v>20220623</v>
      </c>
      <c r="B908" s="19">
        <v>44735</v>
      </c>
      <c r="C908" s="24" t="str">
        <f t="shared" si="94"/>
        <v>23 June 2022</v>
      </c>
      <c r="D908" s="21">
        <f t="shared" si="95"/>
        <v>6</v>
      </c>
      <c r="E908" s="21" t="str">
        <f t="shared" si="96"/>
        <v>June</v>
      </c>
      <c r="F908" s="22">
        <f t="shared" si="97"/>
        <v>2022</v>
      </c>
      <c r="G908" s="23" t="str">
        <f t="shared" si="98"/>
        <v>2022-06</v>
      </c>
    </row>
    <row r="909" spans="1:7" x14ac:dyDescent="0.3">
      <c r="A909" s="18">
        <f t="shared" si="99"/>
        <v>20220624</v>
      </c>
      <c r="B909" s="19">
        <v>44736</v>
      </c>
      <c r="C909" s="24" t="str">
        <f t="shared" si="94"/>
        <v>24 June 2022</v>
      </c>
      <c r="D909" s="21">
        <f t="shared" si="95"/>
        <v>6</v>
      </c>
      <c r="E909" s="21" t="str">
        <f t="shared" si="96"/>
        <v>June</v>
      </c>
      <c r="F909" s="22">
        <f t="shared" si="97"/>
        <v>2022</v>
      </c>
      <c r="G909" s="23" t="str">
        <f t="shared" si="98"/>
        <v>2022-06</v>
      </c>
    </row>
    <row r="910" spans="1:7" x14ac:dyDescent="0.3">
      <c r="A910" s="18">
        <f t="shared" si="99"/>
        <v>20220625</v>
      </c>
      <c r="B910" s="19">
        <v>44737</v>
      </c>
      <c r="C910" s="24" t="str">
        <f t="shared" si="94"/>
        <v>25 June 2022</v>
      </c>
      <c r="D910" s="21">
        <f t="shared" si="95"/>
        <v>6</v>
      </c>
      <c r="E910" s="21" t="str">
        <f t="shared" si="96"/>
        <v>June</v>
      </c>
      <c r="F910" s="22">
        <f t="shared" si="97"/>
        <v>2022</v>
      </c>
      <c r="G910" s="23" t="str">
        <f t="shared" si="98"/>
        <v>2022-06</v>
      </c>
    </row>
    <row r="911" spans="1:7" x14ac:dyDescent="0.3">
      <c r="A911" s="18">
        <f t="shared" si="99"/>
        <v>20220626</v>
      </c>
      <c r="B911" s="19">
        <v>44738</v>
      </c>
      <c r="C911" s="24" t="str">
        <f t="shared" si="94"/>
        <v>26 June 2022</v>
      </c>
      <c r="D911" s="21">
        <f t="shared" si="95"/>
        <v>6</v>
      </c>
      <c r="E911" s="21" t="str">
        <f t="shared" si="96"/>
        <v>June</v>
      </c>
      <c r="F911" s="22">
        <f t="shared" si="97"/>
        <v>2022</v>
      </c>
      <c r="G911" s="23" t="str">
        <f t="shared" si="98"/>
        <v>2022-06</v>
      </c>
    </row>
    <row r="912" spans="1:7" x14ac:dyDescent="0.3">
      <c r="A912" s="18">
        <f t="shared" si="99"/>
        <v>20220627</v>
      </c>
      <c r="B912" s="19">
        <v>44739</v>
      </c>
      <c r="C912" s="24" t="str">
        <f t="shared" si="94"/>
        <v>27 June 2022</v>
      </c>
      <c r="D912" s="21">
        <f t="shared" si="95"/>
        <v>6</v>
      </c>
      <c r="E912" s="21" t="str">
        <f t="shared" si="96"/>
        <v>June</v>
      </c>
      <c r="F912" s="22">
        <f t="shared" si="97"/>
        <v>2022</v>
      </c>
      <c r="G912" s="23" t="str">
        <f t="shared" si="98"/>
        <v>2022-06</v>
      </c>
    </row>
    <row r="913" spans="1:7" x14ac:dyDescent="0.3">
      <c r="A913" s="18">
        <f t="shared" si="99"/>
        <v>20220628</v>
      </c>
      <c r="B913" s="19">
        <v>44740</v>
      </c>
      <c r="C913" s="24" t="str">
        <f t="shared" si="94"/>
        <v>28 June 2022</v>
      </c>
      <c r="D913" s="21">
        <f t="shared" si="95"/>
        <v>6</v>
      </c>
      <c r="E913" s="21" t="str">
        <f t="shared" si="96"/>
        <v>June</v>
      </c>
      <c r="F913" s="22">
        <f t="shared" si="97"/>
        <v>2022</v>
      </c>
      <c r="G913" s="23" t="str">
        <f t="shared" si="98"/>
        <v>2022-06</v>
      </c>
    </row>
    <row r="914" spans="1:7" x14ac:dyDescent="0.3">
      <c r="A914" s="18">
        <f t="shared" si="99"/>
        <v>20220629</v>
      </c>
      <c r="B914" s="19">
        <v>44741</v>
      </c>
      <c r="C914" s="24" t="str">
        <f t="shared" si="94"/>
        <v>29 June 2022</v>
      </c>
      <c r="D914" s="21">
        <f t="shared" si="95"/>
        <v>6</v>
      </c>
      <c r="E914" s="21" t="str">
        <f t="shared" si="96"/>
        <v>June</v>
      </c>
      <c r="F914" s="22">
        <f t="shared" si="97"/>
        <v>2022</v>
      </c>
      <c r="G914" s="23" t="str">
        <f t="shared" si="98"/>
        <v>2022-06</v>
      </c>
    </row>
    <row r="915" spans="1:7" x14ac:dyDescent="0.3">
      <c r="A915" s="18">
        <f t="shared" si="99"/>
        <v>20220630</v>
      </c>
      <c r="B915" s="19">
        <v>44742</v>
      </c>
      <c r="C915" s="24" t="str">
        <f t="shared" si="94"/>
        <v>30 June 2022</v>
      </c>
      <c r="D915" s="21">
        <f t="shared" si="95"/>
        <v>6</v>
      </c>
      <c r="E915" s="21" t="str">
        <f t="shared" si="96"/>
        <v>June</v>
      </c>
      <c r="F915" s="22">
        <f t="shared" si="97"/>
        <v>2022</v>
      </c>
      <c r="G915" s="23" t="str">
        <f t="shared" si="98"/>
        <v>2022-06</v>
      </c>
    </row>
    <row r="916" spans="1:7" x14ac:dyDescent="0.3">
      <c r="A916" s="18">
        <f t="shared" si="99"/>
        <v>20220701</v>
      </c>
      <c r="B916" s="19">
        <v>44743</v>
      </c>
      <c r="C916" s="24" t="str">
        <f t="shared" si="94"/>
        <v>01 July 2022</v>
      </c>
      <c r="D916" s="21">
        <f t="shared" si="95"/>
        <v>7</v>
      </c>
      <c r="E916" s="21" t="str">
        <f t="shared" si="96"/>
        <v>July</v>
      </c>
      <c r="F916" s="22">
        <f t="shared" si="97"/>
        <v>2022</v>
      </c>
      <c r="G916" s="23" t="str">
        <f t="shared" si="98"/>
        <v>2022-07</v>
      </c>
    </row>
    <row r="917" spans="1:7" x14ac:dyDescent="0.3">
      <c r="A917" s="18">
        <f t="shared" si="99"/>
        <v>20220702</v>
      </c>
      <c r="B917" s="19">
        <v>44744</v>
      </c>
      <c r="C917" s="24" t="str">
        <f t="shared" si="94"/>
        <v>02 July 2022</v>
      </c>
      <c r="D917" s="21">
        <f t="shared" si="95"/>
        <v>7</v>
      </c>
      <c r="E917" s="21" t="str">
        <f t="shared" si="96"/>
        <v>July</v>
      </c>
      <c r="F917" s="22">
        <f t="shared" si="97"/>
        <v>2022</v>
      </c>
      <c r="G917" s="23" t="str">
        <f t="shared" si="98"/>
        <v>2022-07</v>
      </c>
    </row>
    <row r="918" spans="1:7" x14ac:dyDescent="0.3">
      <c r="A918" s="18">
        <f t="shared" si="99"/>
        <v>20220703</v>
      </c>
      <c r="B918" s="19">
        <v>44745</v>
      </c>
      <c r="C918" s="24" t="str">
        <f t="shared" si="94"/>
        <v>03 July 2022</v>
      </c>
      <c r="D918" s="21">
        <f t="shared" si="95"/>
        <v>7</v>
      </c>
      <c r="E918" s="21" t="str">
        <f t="shared" si="96"/>
        <v>July</v>
      </c>
      <c r="F918" s="22">
        <f t="shared" si="97"/>
        <v>2022</v>
      </c>
      <c r="G918" s="23" t="str">
        <f t="shared" si="98"/>
        <v>2022-07</v>
      </c>
    </row>
    <row r="919" spans="1:7" x14ac:dyDescent="0.3">
      <c r="A919" s="18">
        <f t="shared" si="99"/>
        <v>20220704</v>
      </c>
      <c r="B919" s="19">
        <v>44746</v>
      </c>
      <c r="C919" s="24" t="str">
        <f t="shared" si="94"/>
        <v>04 July 2022</v>
      </c>
      <c r="D919" s="21">
        <f t="shared" si="95"/>
        <v>7</v>
      </c>
      <c r="E919" s="21" t="str">
        <f t="shared" si="96"/>
        <v>July</v>
      </c>
      <c r="F919" s="22">
        <f t="shared" si="97"/>
        <v>2022</v>
      </c>
      <c r="G919" s="23" t="str">
        <f t="shared" si="98"/>
        <v>2022-07</v>
      </c>
    </row>
    <row r="920" spans="1:7" x14ac:dyDescent="0.3">
      <c r="A920" s="18">
        <f t="shared" si="99"/>
        <v>20220705</v>
      </c>
      <c r="B920" s="19">
        <v>44747</v>
      </c>
      <c r="C920" s="24" t="str">
        <f t="shared" si="94"/>
        <v>05 July 2022</v>
      </c>
      <c r="D920" s="21">
        <f t="shared" si="95"/>
        <v>7</v>
      </c>
      <c r="E920" s="21" t="str">
        <f t="shared" si="96"/>
        <v>July</v>
      </c>
      <c r="F920" s="22">
        <f t="shared" si="97"/>
        <v>2022</v>
      </c>
      <c r="G920" s="23" t="str">
        <f t="shared" si="98"/>
        <v>2022-07</v>
      </c>
    </row>
    <row r="921" spans="1:7" x14ac:dyDescent="0.3">
      <c r="A921" s="18">
        <f t="shared" si="99"/>
        <v>20220706</v>
      </c>
      <c r="B921" s="19">
        <v>44748</v>
      </c>
      <c r="C921" s="24" t="str">
        <f t="shared" si="94"/>
        <v>06 July 2022</v>
      </c>
      <c r="D921" s="21">
        <f t="shared" si="95"/>
        <v>7</v>
      </c>
      <c r="E921" s="21" t="str">
        <f t="shared" si="96"/>
        <v>July</v>
      </c>
      <c r="F921" s="22">
        <f t="shared" si="97"/>
        <v>2022</v>
      </c>
      <c r="G921" s="23" t="str">
        <f t="shared" si="98"/>
        <v>2022-07</v>
      </c>
    </row>
    <row r="922" spans="1:7" x14ac:dyDescent="0.3">
      <c r="A922" s="18">
        <f t="shared" si="99"/>
        <v>20220707</v>
      </c>
      <c r="B922" s="19">
        <v>44749</v>
      </c>
      <c r="C922" s="24" t="str">
        <f t="shared" si="94"/>
        <v>07 July 2022</v>
      </c>
      <c r="D922" s="21">
        <f t="shared" si="95"/>
        <v>7</v>
      </c>
      <c r="E922" s="21" t="str">
        <f t="shared" si="96"/>
        <v>July</v>
      </c>
      <c r="F922" s="22">
        <f t="shared" si="97"/>
        <v>2022</v>
      </c>
      <c r="G922" s="23" t="str">
        <f t="shared" si="98"/>
        <v>2022-07</v>
      </c>
    </row>
    <row r="923" spans="1:7" x14ac:dyDescent="0.3">
      <c r="A923" s="18">
        <f t="shared" si="99"/>
        <v>20220708</v>
      </c>
      <c r="B923" s="19">
        <v>44750</v>
      </c>
      <c r="C923" s="24" t="str">
        <f t="shared" si="94"/>
        <v>08 July 2022</v>
      </c>
      <c r="D923" s="21">
        <f t="shared" si="95"/>
        <v>7</v>
      </c>
      <c r="E923" s="21" t="str">
        <f t="shared" si="96"/>
        <v>July</v>
      </c>
      <c r="F923" s="22">
        <f t="shared" si="97"/>
        <v>2022</v>
      </c>
      <c r="G923" s="23" t="str">
        <f t="shared" si="98"/>
        <v>2022-07</v>
      </c>
    </row>
    <row r="924" spans="1:7" x14ac:dyDescent="0.3">
      <c r="A924" s="18">
        <f t="shared" si="99"/>
        <v>20220709</v>
      </c>
      <c r="B924" s="19">
        <v>44751</v>
      </c>
      <c r="C924" s="24" t="str">
        <f t="shared" si="94"/>
        <v>09 July 2022</v>
      </c>
      <c r="D924" s="21">
        <f t="shared" si="95"/>
        <v>7</v>
      </c>
      <c r="E924" s="21" t="str">
        <f t="shared" si="96"/>
        <v>July</v>
      </c>
      <c r="F924" s="22">
        <f t="shared" si="97"/>
        <v>2022</v>
      </c>
      <c r="G924" s="23" t="str">
        <f t="shared" si="98"/>
        <v>2022-07</v>
      </c>
    </row>
    <row r="925" spans="1:7" x14ac:dyDescent="0.3">
      <c r="A925" s="18">
        <f t="shared" si="99"/>
        <v>20220710</v>
      </c>
      <c r="B925" s="19">
        <v>44752</v>
      </c>
      <c r="C925" s="24" t="str">
        <f t="shared" si="94"/>
        <v>10 July 2022</v>
      </c>
      <c r="D925" s="21">
        <f t="shared" si="95"/>
        <v>7</v>
      </c>
      <c r="E925" s="21" t="str">
        <f t="shared" si="96"/>
        <v>July</v>
      </c>
      <c r="F925" s="22">
        <f t="shared" si="97"/>
        <v>2022</v>
      </c>
      <c r="G925" s="23" t="str">
        <f t="shared" si="98"/>
        <v>2022-07</v>
      </c>
    </row>
    <row r="926" spans="1:7" x14ac:dyDescent="0.3">
      <c r="A926" s="18">
        <f t="shared" si="99"/>
        <v>20220711</v>
      </c>
      <c r="B926" s="19">
        <v>44753</v>
      </c>
      <c r="C926" s="24" t="str">
        <f t="shared" si="94"/>
        <v>11 July 2022</v>
      </c>
      <c r="D926" s="21">
        <f t="shared" si="95"/>
        <v>7</v>
      </c>
      <c r="E926" s="21" t="str">
        <f t="shared" si="96"/>
        <v>July</v>
      </c>
      <c r="F926" s="22">
        <f t="shared" si="97"/>
        <v>2022</v>
      </c>
      <c r="G926" s="23" t="str">
        <f t="shared" si="98"/>
        <v>2022-07</v>
      </c>
    </row>
    <row r="927" spans="1:7" x14ac:dyDescent="0.3">
      <c r="A927" s="18">
        <f t="shared" si="99"/>
        <v>20220712</v>
      </c>
      <c r="B927" s="19">
        <v>44754</v>
      </c>
      <c r="C927" s="24" t="str">
        <f t="shared" si="94"/>
        <v>12 July 2022</v>
      </c>
      <c r="D927" s="21">
        <f t="shared" si="95"/>
        <v>7</v>
      </c>
      <c r="E927" s="21" t="str">
        <f t="shared" si="96"/>
        <v>July</v>
      </c>
      <c r="F927" s="22">
        <f t="shared" si="97"/>
        <v>2022</v>
      </c>
      <c r="G927" s="23" t="str">
        <f t="shared" si="98"/>
        <v>2022-07</v>
      </c>
    </row>
    <row r="928" spans="1:7" x14ac:dyDescent="0.3">
      <c r="A928" s="18">
        <f t="shared" si="99"/>
        <v>20220713</v>
      </c>
      <c r="B928" s="19">
        <v>44755</v>
      </c>
      <c r="C928" s="24" t="str">
        <f t="shared" si="94"/>
        <v>13 July 2022</v>
      </c>
      <c r="D928" s="21">
        <f t="shared" si="95"/>
        <v>7</v>
      </c>
      <c r="E928" s="21" t="str">
        <f t="shared" si="96"/>
        <v>July</v>
      </c>
      <c r="F928" s="22">
        <f t="shared" si="97"/>
        <v>2022</v>
      </c>
      <c r="G928" s="23" t="str">
        <f t="shared" si="98"/>
        <v>2022-07</v>
      </c>
    </row>
    <row r="929" spans="1:7" x14ac:dyDescent="0.3">
      <c r="A929" s="18">
        <f t="shared" si="99"/>
        <v>20220714</v>
      </c>
      <c r="B929" s="19">
        <v>44756</v>
      </c>
      <c r="C929" s="24" t="str">
        <f t="shared" ref="C929:C992" si="100">TEXT(B929,"dd MMMM YYYY")</f>
        <v>14 July 2022</v>
      </c>
      <c r="D929" s="21">
        <f t="shared" ref="D929:D992" si="101">MONTH(B929)</f>
        <v>7</v>
      </c>
      <c r="E929" s="21" t="str">
        <f t="shared" ref="E929:E992" si="102">TEXT(B929,"MMMM")</f>
        <v>July</v>
      </c>
      <c r="F929" s="22">
        <f t="shared" ref="F929:F992" si="103">YEAR(B929)</f>
        <v>2022</v>
      </c>
      <c r="G929" s="23" t="str">
        <f t="shared" ref="G929:G992" si="104">TEXT(B929,"YYYY-MM")</f>
        <v>2022-07</v>
      </c>
    </row>
    <row r="930" spans="1:7" x14ac:dyDescent="0.3">
      <c r="A930" s="18">
        <f t="shared" si="99"/>
        <v>20220715</v>
      </c>
      <c r="B930" s="19">
        <v>44757</v>
      </c>
      <c r="C930" s="24" t="str">
        <f t="shared" si="100"/>
        <v>15 July 2022</v>
      </c>
      <c r="D930" s="21">
        <f t="shared" si="101"/>
        <v>7</v>
      </c>
      <c r="E930" s="21" t="str">
        <f t="shared" si="102"/>
        <v>July</v>
      </c>
      <c r="F930" s="22">
        <f t="shared" si="103"/>
        <v>2022</v>
      </c>
      <c r="G930" s="23" t="str">
        <f t="shared" si="104"/>
        <v>2022-07</v>
      </c>
    </row>
    <row r="931" spans="1:7" x14ac:dyDescent="0.3">
      <c r="A931" s="18">
        <f t="shared" si="99"/>
        <v>20220716</v>
      </c>
      <c r="B931" s="19">
        <v>44758</v>
      </c>
      <c r="C931" s="24" t="str">
        <f t="shared" si="100"/>
        <v>16 July 2022</v>
      </c>
      <c r="D931" s="21">
        <f t="shared" si="101"/>
        <v>7</v>
      </c>
      <c r="E931" s="21" t="str">
        <f t="shared" si="102"/>
        <v>July</v>
      </c>
      <c r="F931" s="22">
        <f t="shared" si="103"/>
        <v>2022</v>
      </c>
      <c r="G931" s="23" t="str">
        <f t="shared" si="104"/>
        <v>2022-07</v>
      </c>
    </row>
    <row r="932" spans="1:7" x14ac:dyDescent="0.3">
      <c r="A932" s="18">
        <f t="shared" si="99"/>
        <v>20220717</v>
      </c>
      <c r="B932" s="19">
        <v>44759</v>
      </c>
      <c r="C932" s="24" t="str">
        <f t="shared" si="100"/>
        <v>17 July 2022</v>
      </c>
      <c r="D932" s="21">
        <f t="shared" si="101"/>
        <v>7</v>
      </c>
      <c r="E932" s="21" t="str">
        <f t="shared" si="102"/>
        <v>July</v>
      </c>
      <c r="F932" s="22">
        <f t="shared" si="103"/>
        <v>2022</v>
      </c>
      <c r="G932" s="23" t="str">
        <f t="shared" si="104"/>
        <v>2022-07</v>
      </c>
    </row>
    <row r="933" spans="1:7" x14ac:dyDescent="0.3">
      <c r="A933" s="18">
        <f t="shared" si="99"/>
        <v>20220718</v>
      </c>
      <c r="B933" s="19">
        <v>44760</v>
      </c>
      <c r="C933" s="24" t="str">
        <f t="shared" si="100"/>
        <v>18 July 2022</v>
      </c>
      <c r="D933" s="21">
        <f t="shared" si="101"/>
        <v>7</v>
      </c>
      <c r="E933" s="21" t="str">
        <f t="shared" si="102"/>
        <v>July</v>
      </c>
      <c r="F933" s="22">
        <f t="shared" si="103"/>
        <v>2022</v>
      </c>
      <c r="G933" s="23" t="str">
        <f t="shared" si="104"/>
        <v>2022-07</v>
      </c>
    </row>
    <row r="934" spans="1:7" x14ac:dyDescent="0.3">
      <c r="A934" s="18">
        <f t="shared" si="99"/>
        <v>20220719</v>
      </c>
      <c r="B934" s="19">
        <v>44761</v>
      </c>
      <c r="C934" s="24" t="str">
        <f t="shared" si="100"/>
        <v>19 July 2022</v>
      </c>
      <c r="D934" s="21">
        <f t="shared" si="101"/>
        <v>7</v>
      </c>
      <c r="E934" s="21" t="str">
        <f t="shared" si="102"/>
        <v>July</v>
      </c>
      <c r="F934" s="22">
        <f t="shared" si="103"/>
        <v>2022</v>
      </c>
      <c r="G934" s="23" t="str">
        <f t="shared" si="104"/>
        <v>2022-07</v>
      </c>
    </row>
    <row r="935" spans="1:7" x14ac:dyDescent="0.3">
      <c r="A935" s="18">
        <f t="shared" si="99"/>
        <v>20220720</v>
      </c>
      <c r="B935" s="19">
        <v>44762</v>
      </c>
      <c r="C935" s="24" t="str">
        <f t="shared" si="100"/>
        <v>20 July 2022</v>
      </c>
      <c r="D935" s="21">
        <f t="shared" si="101"/>
        <v>7</v>
      </c>
      <c r="E935" s="21" t="str">
        <f t="shared" si="102"/>
        <v>July</v>
      </c>
      <c r="F935" s="22">
        <f t="shared" si="103"/>
        <v>2022</v>
      </c>
      <c r="G935" s="23" t="str">
        <f t="shared" si="104"/>
        <v>2022-07</v>
      </c>
    </row>
    <row r="936" spans="1:7" x14ac:dyDescent="0.3">
      <c r="A936" s="18">
        <f t="shared" si="99"/>
        <v>20220721</v>
      </c>
      <c r="B936" s="19">
        <v>44763</v>
      </c>
      <c r="C936" s="24" t="str">
        <f t="shared" si="100"/>
        <v>21 July 2022</v>
      </c>
      <c r="D936" s="21">
        <f t="shared" si="101"/>
        <v>7</v>
      </c>
      <c r="E936" s="21" t="str">
        <f t="shared" si="102"/>
        <v>July</v>
      </c>
      <c r="F936" s="22">
        <f t="shared" si="103"/>
        <v>2022</v>
      </c>
      <c r="G936" s="23" t="str">
        <f t="shared" si="104"/>
        <v>2022-07</v>
      </c>
    </row>
    <row r="937" spans="1:7" x14ac:dyDescent="0.3">
      <c r="A937" s="18">
        <f t="shared" si="99"/>
        <v>20220722</v>
      </c>
      <c r="B937" s="19">
        <v>44764</v>
      </c>
      <c r="C937" s="24" t="str">
        <f t="shared" si="100"/>
        <v>22 July 2022</v>
      </c>
      <c r="D937" s="21">
        <f t="shared" si="101"/>
        <v>7</v>
      </c>
      <c r="E937" s="21" t="str">
        <f t="shared" si="102"/>
        <v>July</v>
      </c>
      <c r="F937" s="22">
        <f t="shared" si="103"/>
        <v>2022</v>
      </c>
      <c r="G937" s="23" t="str">
        <f t="shared" si="104"/>
        <v>2022-07</v>
      </c>
    </row>
    <row r="938" spans="1:7" x14ac:dyDescent="0.3">
      <c r="A938" s="18">
        <f t="shared" si="99"/>
        <v>20220723</v>
      </c>
      <c r="B938" s="19">
        <v>44765</v>
      </c>
      <c r="C938" s="24" t="str">
        <f t="shared" si="100"/>
        <v>23 July 2022</v>
      </c>
      <c r="D938" s="21">
        <f t="shared" si="101"/>
        <v>7</v>
      </c>
      <c r="E938" s="21" t="str">
        <f t="shared" si="102"/>
        <v>July</v>
      </c>
      <c r="F938" s="22">
        <f t="shared" si="103"/>
        <v>2022</v>
      </c>
      <c r="G938" s="23" t="str">
        <f t="shared" si="104"/>
        <v>2022-07</v>
      </c>
    </row>
    <row r="939" spans="1:7" x14ac:dyDescent="0.3">
      <c r="A939" s="18">
        <f t="shared" si="99"/>
        <v>20220724</v>
      </c>
      <c r="B939" s="19">
        <v>44766</v>
      </c>
      <c r="C939" s="24" t="str">
        <f t="shared" si="100"/>
        <v>24 July 2022</v>
      </c>
      <c r="D939" s="21">
        <f t="shared" si="101"/>
        <v>7</v>
      </c>
      <c r="E939" s="21" t="str">
        <f t="shared" si="102"/>
        <v>July</v>
      </c>
      <c r="F939" s="22">
        <f t="shared" si="103"/>
        <v>2022</v>
      </c>
      <c r="G939" s="23" t="str">
        <f t="shared" si="104"/>
        <v>2022-07</v>
      </c>
    </row>
    <row r="940" spans="1:7" x14ac:dyDescent="0.3">
      <c r="A940" s="18">
        <f t="shared" si="99"/>
        <v>20220725</v>
      </c>
      <c r="B940" s="19">
        <v>44767</v>
      </c>
      <c r="C940" s="24" t="str">
        <f t="shared" si="100"/>
        <v>25 July 2022</v>
      </c>
      <c r="D940" s="21">
        <f t="shared" si="101"/>
        <v>7</v>
      </c>
      <c r="E940" s="21" t="str">
        <f t="shared" si="102"/>
        <v>July</v>
      </c>
      <c r="F940" s="22">
        <f t="shared" si="103"/>
        <v>2022</v>
      </c>
      <c r="G940" s="23" t="str">
        <f t="shared" si="104"/>
        <v>2022-07</v>
      </c>
    </row>
    <row r="941" spans="1:7" x14ac:dyDescent="0.3">
      <c r="A941" s="18">
        <f t="shared" si="99"/>
        <v>20220726</v>
      </c>
      <c r="B941" s="19">
        <v>44768</v>
      </c>
      <c r="C941" s="24" t="str">
        <f t="shared" si="100"/>
        <v>26 July 2022</v>
      </c>
      <c r="D941" s="21">
        <f t="shared" si="101"/>
        <v>7</v>
      </c>
      <c r="E941" s="21" t="str">
        <f t="shared" si="102"/>
        <v>July</v>
      </c>
      <c r="F941" s="22">
        <f t="shared" si="103"/>
        <v>2022</v>
      </c>
      <c r="G941" s="23" t="str">
        <f t="shared" si="104"/>
        <v>2022-07</v>
      </c>
    </row>
    <row r="942" spans="1:7" x14ac:dyDescent="0.3">
      <c r="A942" s="18">
        <f t="shared" si="99"/>
        <v>20220727</v>
      </c>
      <c r="B942" s="19">
        <v>44769</v>
      </c>
      <c r="C942" s="24" t="str">
        <f t="shared" si="100"/>
        <v>27 July 2022</v>
      </c>
      <c r="D942" s="21">
        <f t="shared" si="101"/>
        <v>7</v>
      </c>
      <c r="E942" s="21" t="str">
        <f t="shared" si="102"/>
        <v>July</v>
      </c>
      <c r="F942" s="22">
        <f t="shared" si="103"/>
        <v>2022</v>
      </c>
      <c r="G942" s="23" t="str">
        <f t="shared" si="104"/>
        <v>2022-07</v>
      </c>
    </row>
    <row r="943" spans="1:7" x14ac:dyDescent="0.3">
      <c r="A943" s="18">
        <f t="shared" si="99"/>
        <v>20220728</v>
      </c>
      <c r="B943" s="19">
        <v>44770</v>
      </c>
      <c r="C943" s="24" t="str">
        <f t="shared" si="100"/>
        <v>28 July 2022</v>
      </c>
      <c r="D943" s="21">
        <f t="shared" si="101"/>
        <v>7</v>
      </c>
      <c r="E943" s="21" t="str">
        <f t="shared" si="102"/>
        <v>July</v>
      </c>
      <c r="F943" s="22">
        <f t="shared" si="103"/>
        <v>2022</v>
      </c>
      <c r="G943" s="23" t="str">
        <f t="shared" si="104"/>
        <v>2022-07</v>
      </c>
    </row>
    <row r="944" spans="1:7" x14ac:dyDescent="0.3">
      <c r="A944" s="18">
        <f t="shared" si="99"/>
        <v>20220729</v>
      </c>
      <c r="B944" s="19">
        <v>44771</v>
      </c>
      <c r="C944" s="24" t="str">
        <f t="shared" si="100"/>
        <v>29 July 2022</v>
      </c>
      <c r="D944" s="21">
        <f t="shared" si="101"/>
        <v>7</v>
      </c>
      <c r="E944" s="21" t="str">
        <f t="shared" si="102"/>
        <v>July</v>
      </c>
      <c r="F944" s="22">
        <f t="shared" si="103"/>
        <v>2022</v>
      </c>
      <c r="G944" s="23" t="str">
        <f t="shared" si="104"/>
        <v>2022-07</v>
      </c>
    </row>
    <row r="945" spans="1:7" x14ac:dyDescent="0.3">
      <c r="A945" s="18">
        <f t="shared" si="99"/>
        <v>20220730</v>
      </c>
      <c r="B945" s="19">
        <v>44772</v>
      </c>
      <c r="C945" s="24" t="str">
        <f t="shared" si="100"/>
        <v>30 July 2022</v>
      </c>
      <c r="D945" s="21">
        <f t="shared" si="101"/>
        <v>7</v>
      </c>
      <c r="E945" s="21" t="str">
        <f t="shared" si="102"/>
        <v>July</v>
      </c>
      <c r="F945" s="22">
        <f t="shared" si="103"/>
        <v>2022</v>
      </c>
      <c r="G945" s="23" t="str">
        <f t="shared" si="104"/>
        <v>2022-07</v>
      </c>
    </row>
    <row r="946" spans="1:7" x14ac:dyDescent="0.3">
      <c r="A946" s="18">
        <f t="shared" si="99"/>
        <v>20220731</v>
      </c>
      <c r="B946" s="19">
        <v>44773</v>
      </c>
      <c r="C946" s="24" t="str">
        <f t="shared" si="100"/>
        <v>31 July 2022</v>
      </c>
      <c r="D946" s="21">
        <f t="shared" si="101"/>
        <v>7</v>
      </c>
      <c r="E946" s="21" t="str">
        <f t="shared" si="102"/>
        <v>July</v>
      </c>
      <c r="F946" s="22">
        <f t="shared" si="103"/>
        <v>2022</v>
      </c>
      <c r="G946" s="23" t="str">
        <f t="shared" si="104"/>
        <v>2022-07</v>
      </c>
    </row>
    <row r="947" spans="1:7" x14ac:dyDescent="0.3">
      <c r="A947" s="18">
        <f t="shared" si="99"/>
        <v>20220801</v>
      </c>
      <c r="B947" s="19">
        <v>44774</v>
      </c>
      <c r="C947" s="24" t="str">
        <f t="shared" si="100"/>
        <v>01 August 2022</v>
      </c>
      <c r="D947" s="21">
        <f t="shared" si="101"/>
        <v>8</v>
      </c>
      <c r="E947" s="21" t="str">
        <f t="shared" si="102"/>
        <v>August</v>
      </c>
      <c r="F947" s="22">
        <f t="shared" si="103"/>
        <v>2022</v>
      </c>
      <c r="G947" s="23" t="str">
        <f t="shared" si="104"/>
        <v>2022-08</v>
      </c>
    </row>
    <row r="948" spans="1:7" x14ac:dyDescent="0.3">
      <c r="A948" s="18">
        <f t="shared" si="99"/>
        <v>20220802</v>
      </c>
      <c r="B948" s="19">
        <v>44775</v>
      </c>
      <c r="C948" s="24" t="str">
        <f t="shared" si="100"/>
        <v>02 August 2022</v>
      </c>
      <c r="D948" s="21">
        <f t="shared" si="101"/>
        <v>8</v>
      </c>
      <c r="E948" s="21" t="str">
        <f t="shared" si="102"/>
        <v>August</v>
      </c>
      <c r="F948" s="22">
        <f t="shared" si="103"/>
        <v>2022</v>
      </c>
      <c r="G948" s="23" t="str">
        <f t="shared" si="104"/>
        <v>2022-08</v>
      </c>
    </row>
    <row r="949" spans="1:7" x14ac:dyDescent="0.3">
      <c r="A949" s="18">
        <f t="shared" si="99"/>
        <v>20220803</v>
      </c>
      <c r="B949" s="19">
        <v>44776</v>
      </c>
      <c r="C949" s="24" t="str">
        <f t="shared" si="100"/>
        <v>03 August 2022</v>
      </c>
      <c r="D949" s="21">
        <f t="shared" si="101"/>
        <v>8</v>
      </c>
      <c r="E949" s="21" t="str">
        <f t="shared" si="102"/>
        <v>August</v>
      </c>
      <c r="F949" s="22">
        <f t="shared" si="103"/>
        <v>2022</v>
      </c>
      <c r="G949" s="23" t="str">
        <f t="shared" si="104"/>
        <v>2022-08</v>
      </c>
    </row>
    <row r="950" spans="1:7" x14ac:dyDescent="0.3">
      <c r="A950" s="18">
        <f t="shared" si="99"/>
        <v>20220804</v>
      </c>
      <c r="B950" s="19">
        <v>44777</v>
      </c>
      <c r="C950" s="24" t="str">
        <f t="shared" si="100"/>
        <v>04 August 2022</v>
      </c>
      <c r="D950" s="21">
        <f t="shared" si="101"/>
        <v>8</v>
      </c>
      <c r="E950" s="21" t="str">
        <f t="shared" si="102"/>
        <v>August</v>
      </c>
      <c r="F950" s="22">
        <f t="shared" si="103"/>
        <v>2022</v>
      </c>
      <c r="G950" s="23" t="str">
        <f t="shared" si="104"/>
        <v>2022-08</v>
      </c>
    </row>
    <row r="951" spans="1:7" x14ac:dyDescent="0.3">
      <c r="A951" s="18">
        <f t="shared" si="99"/>
        <v>20220805</v>
      </c>
      <c r="B951" s="19">
        <v>44778</v>
      </c>
      <c r="C951" s="24" t="str">
        <f t="shared" si="100"/>
        <v>05 August 2022</v>
      </c>
      <c r="D951" s="21">
        <f t="shared" si="101"/>
        <v>8</v>
      </c>
      <c r="E951" s="21" t="str">
        <f t="shared" si="102"/>
        <v>August</v>
      </c>
      <c r="F951" s="22">
        <f t="shared" si="103"/>
        <v>2022</v>
      </c>
      <c r="G951" s="23" t="str">
        <f t="shared" si="104"/>
        <v>2022-08</v>
      </c>
    </row>
    <row r="952" spans="1:7" x14ac:dyDescent="0.3">
      <c r="A952" s="18">
        <f t="shared" si="99"/>
        <v>20220806</v>
      </c>
      <c r="B952" s="19">
        <v>44779</v>
      </c>
      <c r="C952" s="24" t="str">
        <f t="shared" si="100"/>
        <v>06 August 2022</v>
      </c>
      <c r="D952" s="21">
        <f t="shared" si="101"/>
        <v>8</v>
      </c>
      <c r="E952" s="21" t="str">
        <f t="shared" si="102"/>
        <v>August</v>
      </c>
      <c r="F952" s="22">
        <f t="shared" si="103"/>
        <v>2022</v>
      </c>
      <c r="G952" s="23" t="str">
        <f t="shared" si="104"/>
        <v>2022-08</v>
      </c>
    </row>
    <row r="953" spans="1:7" x14ac:dyDescent="0.3">
      <c r="A953" s="18">
        <f t="shared" si="99"/>
        <v>20220807</v>
      </c>
      <c r="B953" s="19">
        <v>44780</v>
      </c>
      <c r="C953" s="24" t="str">
        <f t="shared" si="100"/>
        <v>07 August 2022</v>
      </c>
      <c r="D953" s="21">
        <f t="shared" si="101"/>
        <v>8</v>
      </c>
      <c r="E953" s="21" t="str">
        <f t="shared" si="102"/>
        <v>August</v>
      </c>
      <c r="F953" s="22">
        <f t="shared" si="103"/>
        <v>2022</v>
      </c>
      <c r="G953" s="23" t="str">
        <f t="shared" si="104"/>
        <v>2022-08</v>
      </c>
    </row>
    <row r="954" spans="1:7" x14ac:dyDescent="0.3">
      <c r="A954" s="18">
        <f t="shared" si="99"/>
        <v>20220808</v>
      </c>
      <c r="B954" s="19">
        <v>44781</v>
      </c>
      <c r="C954" s="24" t="str">
        <f t="shared" si="100"/>
        <v>08 August 2022</v>
      </c>
      <c r="D954" s="21">
        <f t="shared" si="101"/>
        <v>8</v>
      </c>
      <c r="E954" s="21" t="str">
        <f t="shared" si="102"/>
        <v>August</v>
      </c>
      <c r="F954" s="22">
        <f t="shared" si="103"/>
        <v>2022</v>
      </c>
      <c r="G954" s="23" t="str">
        <f t="shared" si="104"/>
        <v>2022-08</v>
      </c>
    </row>
    <row r="955" spans="1:7" x14ac:dyDescent="0.3">
      <c r="A955" s="18">
        <f t="shared" si="99"/>
        <v>20220809</v>
      </c>
      <c r="B955" s="19">
        <v>44782</v>
      </c>
      <c r="C955" s="24" t="str">
        <f t="shared" si="100"/>
        <v>09 August 2022</v>
      </c>
      <c r="D955" s="21">
        <f t="shared" si="101"/>
        <v>8</v>
      </c>
      <c r="E955" s="21" t="str">
        <f t="shared" si="102"/>
        <v>August</v>
      </c>
      <c r="F955" s="22">
        <f t="shared" si="103"/>
        <v>2022</v>
      </c>
      <c r="G955" s="23" t="str">
        <f t="shared" si="104"/>
        <v>2022-08</v>
      </c>
    </row>
    <row r="956" spans="1:7" x14ac:dyDescent="0.3">
      <c r="A956" s="18">
        <f t="shared" si="99"/>
        <v>20220810</v>
      </c>
      <c r="B956" s="19">
        <v>44783</v>
      </c>
      <c r="C956" s="24" t="str">
        <f t="shared" si="100"/>
        <v>10 August 2022</v>
      </c>
      <c r="D956" s="21">
        <f t="shared" si="101"/>
        <v>8</v>
      </c>
      <c r="E956" s="21" t="str">
        <f t="shared" si="102"/>
        <v>August</v>
      </c>
      <c r="F956" s="22">
        <f t="shared" si="103"/>
        <v>2022</v>
      </c>
      <c r="G956" s="23" t="str">
        <f t="shared" si="104"/>
        <v>2022-08</v>
      </c>
    </row>
    <row r="957" spans="1:7" x14ac:dyDescent="0.3">
      <c r="A957" s="18">
        <f t="shared" si="99"/>
        <v>20220811</v>
      </c>
      <c r="B957" s="19">
        <v>44784</v>
      </c>
      <c r="C957" s="24" t="str">
        <f t="shared" si="100"/>
        <v>11 August 2022</v>
      </c>
      <c r="D957" s="21">
        <f t="shared" si="101"/>
        <v>8</v>
      </c>
      <c r="E957" s="21" t="str">
        <f t="shared" si="102"/>
        <v>August</v>
      </c>
      <c r="F957" s="22">
        <f t="shared" si="103"/>
        <v>2022</v>
      </c>
      <c r="G957" s="23" t="str">
        <f t="shared" si="104"/>
        <v>2022-08</v>
      </c>
    </row>
    <row r="958" spans="1:7" x14ac:dyDescent="0.3">
      <c r="A958" s="18">
        <f t="shared" ref="A958:A1021" si="105">YEAR(B958)*10000+MONTH(B958)*100+DAY(B958)</f>
        <v>20220812</v>
      </c>
      <c r="B958" s="19">
        <v>44785</v>
      </c>
      <c r="C958" s="24" t="str">
        <f t="shared" si="100"/>
        <v>12 August 2022</v>
      </c>
      <c r="D958" s="21">
        <f t="shared" si="101"/>
        <v>8</v>
      </c>
      <c r="E958" s="21" t="str">
        <f t="shared" si="102"/>
        <v>August</v>
      </c>
      <c r="F958" s="22">
        <f t="shared" si="103"/>
        <v>2022</v>
      </c>
      <c r="G958" s="23" t="str">
        <f t="shared" si="104"/>
        <v>2022-08</v>
      </c>
    </row>
    <row r="959" spans="1:7" x14ac:dyDescent="0.3">
      <c r="A959" s="18">
        <f t="shared" si="105"/>
        <v>20220813</v>
      </c>
      <c r="B959" s="19">
        <v>44786</v>
      </c>
      <c r="C959" s="24" t="str">
        <f t="shared" si="100"/>
        <v>13 August 2022</v>
      </c>
      <c r="D959" s="21">
        <f t="shared" si="101"/>
        <v>8</v>
      </c>
      <c r="E959" s="21" t="str">
        <f t="shared" si="102"/>
        <v>August</v>
      </c>
      <c r="F959" s="22">
        <f t="shared" si="103"/>
        <v>2022</v>
      </c>
      <c r="G959" s="23" t="str">
        <f t="shared" si="104"/>
        <v>2022-08</v>
      </c>
    </row>
    <row r="960" spans="1:7" x14ac:dyDescent="0.3">
      <c r="A960" s="18">
        <f t="shared" si="105"/>
        <v>20220814</v>
      </c>
      <c r="B960" s="19">
        <v>44787</v>
      </c>
      <c r="C960" s="24" t="str">
        <f t="shared" si="100"/>
        <v>14 August 2022</v>
      </c>
      <c r="D960" s="21">
        <f t="shared" si="101"/>
        <v>8</v>
      </c>
      <c r="E960" s="21" t="str">
        <f t="shared" si="102"/>
        <v>August</v>
      </c>
      <c r="F960" s="22">
        <f t="shared" si="103"/>
        <v>2022</v>
      </c>
      <c r="G960" s="23" t="str">
        <f t="shared" si="104"/>
        <v>2022-08</v>
      </c>
    </row>
    <row r="961" spans="1:7" x14ac:dyDescent="0.3">
      <c r="A961" s="18">
        <f t="shared" si="105"/>
        <v>20220815</v>
      </c>
      <c r="B961" s="19">
        <v>44788</v>
      </c>
      <c r="C961" s="24" t="str">
        <f t="shared" si="100"/>
        <v>15 August 2022</v>
      </c>
      <c r="D961" s="21">
        <f t="shared" si="101"/>
        <v>8</v>
      </c>
      <c r="E961" s="21" t="str">
        <f t="shared" si="102"/>
        <v>August</v>
      </c>
      <c r="F961" s="22">
        <f t="shared" si="103"/>
        <v>2022</v>
      </c>
      <c r="G961" s="23" t="str">
        <f t="shared" si="104"/>
        <v>2022-08</v>
      </c>
    </row>
    <row r="962" spans="1:7" x14ac:dyDescent="0.3">
      <c r="A962" s="18">
        <f t="shared" si="105"/>
        <v>20220816</v>
      </c>
      <c r="B962" s="19">
        <v>44789</v>
      </c>
      <c r="C962" s="24" t="str">
        <f t="shared" si="100"/>
        <v>16 August 2022</v>
      </c>
      <c r="D962" s="21">
        <f t="shared" si="101"/>
        <v>8</v>
      </c>
      <c r="E962" s="21" t="str">
        <f t="shared" si="102"/>
        <v>August</v>
      </c>
      <c r="F962" s="22">
        <f t="shared" si="103"/>
        <v>2022</v>
      </c>
      <c r="G962" s="23" t="str">
        <f t="shared" si="104"/>
        <v>2022-08</v>
      </c>
    </row>
    <row r="963" spans="1:7" x14ac:dyDescent="0.3">
      <c r="A963" s="18">
        <f t="shared" si="105"/>
        <v>20220817</v>
      </c>
      <c r="B963" s="19">
        <v>44790</v>
      </c>
      <c r="C963" s="24" t="str">
        <f t="shared" si="100"/>
        <v>17 August 2022</v>
      </c>
      <c r="D963" s="21">
        <f t="shared" si="101"/>
        <v>8</v>
      </c>
      <c r="E963" s="21" t="str">
        <f t="shared" si="102"/>
        <v>August</v>
      </c>
      <c r="F963" s="22">
        <f t="shared" si="103"/>
        <v>2022</v>
      </c>
      <c r="G963" s="23" t="str">
        <f t="shared" si="104"/>
        <v>2022-08</v>
      </c>
    </row>
    <row r="964" spans="1:7" x14ac:dyDescent="0.3">
      <c r="A964" s="18">
        <f t="shared" si="105"/>
        <v>20220818</v>
      </c>
      <c r="B964" s="19">
        <v>44791</v>
      </c>
      <c r="C964" s="24" t="str">
        <f t="shared" si="100"/>
        <v>18 August 2022</v>
      </c>
      <c r="D964" s="21">
        <f t="shared" si="101"/>
        <v>8</v>
      </c>
      <c r="E964" s="21" t="str">
        <f t="shared" si="102"/>
        <v>August</v>
      </c>
      <c r="F964" s="22">
        <f t="shared" si="103"/>
        <v>2022</v>
      </c>
      <c r="G964" s="23" t="str">
        <f t="shared" si="104"/>
        <v>2022-08</v>
      </c>
    </row>
    <row r="965" spans="1:7" x14ac:dyDescent="0.3">
      <c r="A965" s="18">
        <f t="shared" si="105"/>
        <v>20220819</v>
      </c>
      <c r="B965" s="19">
        <v>44792</v>
      </c>
      <c r="C965" s="24" t="str">
        <f t="shared" si="100"/>
        <v>19 August 2022</v>
      </c>
      <c r="D965" s="21">
        <f t="shared" si="101"/>
        <v>8</v>
      </c>
      <c r="E965" s="21" t="str">
        <f t="shared" si="102"/>
        <v>August</v>
      </c>
      <c r="F965" s="22">
        <f t="shared" si="103"/>
        <v>2022</v>
      </c>
      <c r="G965" s="23" t="str">
        <f t="shared" si="104"/>
        <v>2022-08</v>
      </c>
    </row>
    <row r="966" spans="1:7" x14ac:dyDescent="0.3">
      <c r="A966" s="18">
        <f t="shared" si="105"/>
        <v>20220820</v>
      </c>
      <c r="B966" s="19">
        <v>44793</v>
      </c>
      <c r="C966" s="24" t="str">
        <f t="shared" si="100"/>
        <v>20 August 2022</v>
      </c>
      <c r="D966" s="21">
        <f t="shared" si="101"/>
        <v>8</v>
      </c>
      <c r="E966" s="21" t="str">
        <f t="shared" si="102"/>
        <v>August</v>
      </c>
      <c r="F966" s="22">
        <f t="shared" si="103"/>
        <v>2022</v>
      </c>
      <c r="G966" s="23" t="str">
        <f t="shared" si="104"/>
        <v>2022-08</v>
      </c>
    </row>
    <row r="967" spans="1:7" x14ac:dyDescent="0.3">
      <c r="A967" s="18">
        <f t="shared" si="105"/>
        <v>20220821</v>
      </c>
      <c r="B967" s="19">
        <v>44794</v>
      </c>
      <c r="C967" s="24" t="str">
        <f t="shared" si="100"/>
        <v>21 August 2022</v>
      </c>
      <c r="D967" s="21">
        <f t="shared" si="101"/>
        <v>8</v>
      </c>
      <c r="E967" s="21" t="str">
        <f t="shared" si="102"/>
        <v>August</v>
      </c>
      <c r="F967" s="22">
        <f t="shared" si="103"/>
        <v>2022</v>
      </c>
      <c r="G967" s="23" t="str">
        <f t="shared" si="104"/>
        <v>2022-08</v>
      </c>
    </row>
    <row r="968" spans="1:7" x14ac:dyDescent="0.3">
      <c r="A968" s="18">
        <f t="shared" si="105"/>
        <v>20220822</v>
      </c>
      <c r="B968" s="19">
        <v>44795</v>
      </c>
      <c r="C968" s="24" t="str">
        <f t="shared" si="100"/>
        <v>22 August 2022</v>
      </c>
      <c r="D968" s="21">
        <f t="shared" si="101"/>
        <v>8</v>
      </c>
      <c r="E968" s="21" t="str">
        <f t="shared" si="102"/>
        <v>August</v>
      </c>
      <c r="F968" s="22">
        <f t="shared" si="103"/>
        <v>2022</v>
      </c>
      <c r="G968" s="23" t="str">
        <f t="shared" si="104"/>
        <v>2022-08</v>
      </c>
    </row>
    <row r="969" spans="1:7" x14ac:dyDescent="0.3">
      <c r="A969" s="18">
        <f t="shared" si="105"/>
        <v>20220823</v>
      </c>
      <c r="B969" s="19">
        <v>44796</v>
      </c>
      <c r="C969" s="24" t="str">
        <f t="shared" si="100"/>
        <v>23 August 2022</v>
      </c>
      <c r="D969" s="21">
        <f t="shared" si="101"/>
        <v>8</v>
      </c>
      <c r="E969" s="21" t="str">
        <f t="shared" si="102"/>
        <v>August</v>
      </c>
      <c r="F969" s="22">
        <f t="shared" si="103"/>
        <v>2022</v>
      </c>
      <c r="G969" s="23" t="str">
        <f t="shared" si="104"/>
        <v>2022-08</v>
      </c>
    </row>
    <row r="970" spans="1:7" x14ac:dyDescent="0.3">
      <c r="A970" s="18">
        <f t="shared" si="105"/>
        <v>20220824</v>
      </c>
      <c r="B970" s="19">
        <v>44797</v>
      </c>
      <c r="C970" s="24" t="str">
        <f t="shared" si="100"/>
        <v>24 August 2022</v>
      </c>
      <c r="D970" s="21">
        <f t="shared" si="101"/>
        <v>8</v>
      </c>
      <c r="E970" s="21" t="str">
        <f t="shared" si="102"/>
        <v>August</v>
      </c>
      <c r="F970" s="22">
        <f t="shared" si="103"/>
        <v>2022</v>
      </c>
      <c r="G970" s="23" t="str">
        <f t="shared" si="104"/>
        <v>2022-08</v>
      </c>
    </row>
    <row r="971" spans="1:7" x14ac:dyDescent="0.3">
      <c r="A971" s="18">
        <f t="shared" si="105"/>
        <v>20220825</v>
      </c>
      <c r="B971" s="19">
        <v>44798</v>
      </c>
      <c r="C971" s="24" t="str">
        <f t="shared" si="100"/>
        <v>25 August 2022</v>
      </c>
      <c r="D971" s="21">
        <f t="shared" si="101"/>
        <v>8</v>
      </c>
      <c r="E971" s="21" t="str">
        <f t="shared" si="102"/>
        <v>August</v>
      </c>
      <c r="F971" s="22">
        <f t="shared" si="103"/>
        <v>2022</v>
      </c>
      <c r="G971" s="23" t="str">
        <f t="shared" si="104"/>
        <v>2022-08</v>
      </c>
    </row>
    <row r="972" spans="1:7" x14ac:dyDescent="0.3">
      <c r="A972" s="18">
        <f t="shared" si="105"/>
        <v>20220826</v>
      </c>
      <c r="B972" s="19">
        <v>44799</v>
      </c>
      <c r="C972" s="24" t="str">
        <f t="shared" si="100"/>
        <v>26 August 2022</v>
      </c>
      <c r="D972" s="21">
        <f t="shared" si="101"/>
        <v>8</v>
      </c>
      <c r="E972" s="21" t="str">
        <f t="shared" si="102"/>
        <v>August</v>
      </c>
      <c r="F972" s="22">
        <f t="shared" si="103"/>
        <v>2022</v>
      </c>
      <c r="G972" s="23" t="str">
        <f t="shared" si="104"/>
        <v>2022-08</v>
      </c>
    </row>
    <row r="973" spans="1:7" x14ac:dyDescent="0.3">
      <c r="A973" s="18">
        <f t="shared" si="105"/>
        <v>20220827</v>
      </c>
      <c r="B973" s="19">
        <v>44800</v>
      </c>
      <c r="C973" s="24" t="str">
        <f t="shared" si="100"/>
        <v>27 August 2022</v>
      </c>
      <c r="D973" s="21">
        <f t="shared" si="101"/>
        <v>8</v>
      </c>
      <c r="E973" s="21" t="str">
        <f t="shared" si="102"/>
        <v>August</v>
      </c>
      <c r="F973" s="22">
        <f t="shared" si="103"/>
        <v>2022</v>
      </c>
      <c r="G973" s="23" t="str">
        <f t="shared" si="104"/>
        <v>2022-08</v>
      </c>
    </row>
    <row r="974" spans="1:7" x14ac:dyDescent="0.3">
      <c r="A974" s="18">
        <f t="shared" si="105"/>
        <v>20220828</v>
      </c>
      <c r="B974" s="19">
        <v>44801</v>
      </c>
      <c r="C974" s="24" t="str">
        <f t="shared" si="100"/>
        <v>28 August 2022</v>
      </c>
      <c r="D974" s="21">
        <f t="shared" si="101"/>
        <v>8</v>
      </c>
      <c r="E974" s="21" t="str">
        <f t="shared" si="102"/>
        <v>August</v>
      </c>
      <c r="F974" s="22">
        <f t="shared" si="103"/>
        <v>2022</v>
      </c>
      <c r="G974" s="23" t="str">
        <f t="shared" si="104"/>
        <v>2022-08</v>
      </c>
    </row>
    <row r="975" spans="1:7" x14ac:dyDescent="0.3">
      <c r="A975" s="18">
        <f t="shared" si="105"/>
        <v>20220829</v>
      </c>
      <c r="B975" s="19">
        <v>44802</v>
      </c>
      <c r="C975" s="24" t="str">
        <f t="shared" si="100"/>
        <v>29 August 2022</v>
      </c>
      <c r="D975" s="21">
        <f t="shared" si="101"/>
        <v>8</v>
      </c>
      <c r="E975" s="21" t="str">
        <f t="shared" si="102"/>
        <v>August</v>
      </c>
      <c r="F975" s="22">
        <f t="shared" si="103"/>
        <v>2022</v>
      </c>
      <c r="G975" s="23" t="str">
        <f t="shared" si="104"/>
        <v>2022-08</v>
      </c>
    </row>
    <row r="976" spans="1:7" x14ac:dyDescent="0.3">
      <c r="A976" s="18">
        <f t="shared" si="105"/>
        <v>20220830</v>
      </c>
      <c r="B976" s="19">
        <v>44803</v>
      </c>
      <c r="C976" s="24" t="str">
        <f t="shared" si="100"/>
        <v>30 August 2022</v>
      </c>
      <c r="D976" s="21">
        <f t="shared" si="101"/>
        <v>8</v>
      </c>
      <c r="E976" s="21" t="str">
        <f t="shared" si="102"/>
        <v>August</v>
      </c>
      <c r="F976" s="22">
        <f t="shared" si="103"/>
        <v>2022</v>
      </c>
      <c r="G976" s="23" t="str">
        <f t="shared" si="104"/>
        <v>2022-08</v>
      </c>
    </row>
    <row r="977" spans="1:7" x14ac:dyDescent="0.3">
      <c r="A977" s="18">
        <f t="shared" si="105"/>
        <v>20220831</v>
      </c>
      <c r="B977" s="19">
        <v>44804</v>
      </c>
      <c r="C977" s="24" t="str">
        <f t="shared" si="100"/>
        <v>31 August 2022</v>
      </c>
      <c r="D977" s="21">
        <f t="shared" si="101"/>
        <v>8</v>
      </c>
      <c r="E977" s="21" t="str">
        <f t="shared" si="102"/>
        <v>August</v>
      </c>
      <c r="F977" s="22">
        <f t="shared" si="103"/>
        <v>2022</v>
      </c>
      <c r="G977" s="23" t="str">
        <f t="shared" si="104"/>
        <v>2022-08</v>
      </c>
    </row>
    <row r="978" spans="1:7" x14ac:dyDescent="0.3">
      <c r="A978" s="18">
        <f t="shared" si="105"/>
        <v>20220901</v>
      </c>
      <c r="B978" s="19">
        <v>44805</v>
      </c>
      <c r="C978" s="24" t="str">
        <f t="shared" si="100"/>
        <v>01 September 2022</v>
      </c>
      <c r="D978" s="21">
        <f t="shared" si="101"/>
        <v>9</v>
      </c>
      <c r="E978" s="21" t="str">
        <f t="shared" si="102"/>
        <v>September</v>
      </c>
      <c r="F978" s="22">
        <f t="shared" si="103"/>
        <v>2022</v>
      </c>
      <c r="G978" s="23" t="str">
        <f t="shared" si="104"/>
        <v>2022-09</v>
      </c>
    </row>
    <row r="979" spans="1:7" x14ac:dyDescent="0.3">
      <c r="A979" s="18">
        <f t="shared" si="105"/>
        <v>20220902</v>
      </c>
      <c r="B979" s="19">
        <v>44806</v>
      </c>
      <c r="C979" s="24" t="str">
        <f t="shared" si="100"/>
        <v>02 September 2022</v>
      </c>
      <c r="D979" s="21">
        <f t="shared" si="101"/>
        <v>9</v>
      </c>
      <c r="E979" s="21" t="str">
        <f t="shared" si="102"/>
        <v>September</v>
      </c>
      <c r="F979" s="22">
        <f t="shared" si="103"/>
        <v>2022</v>
      </c>
      <c r="G979" s="23" t="str">
        <f t="shared" si="104"/>
        <v>2022-09</v>
      </c>
    </row>
    <row r="980" spans="1:7" x14ac:dyDescent="0.3">
      <c r="A980" s="18">
        <f t="shared" si="105"/>
        <v>20220903</v>
      </c>
      <c r="B980" s="19">
        <v>44807</v>
      </c>
      <c r="C980" s="24" t="str">
        <f t="shared" si="100"/>
        <v>03 September 2022</v>
      </c>
      <c r="D980" s="21">
        <f t="shared" si="101"/>
        <v>9</v>
      </c>
      <c r="E980" s="21" t="str">
        <f t="shared" si="102"/>
        <v>September</v>
      </c>
      <c r="F980" s="22">
        <f t="shared" si="103"/>
        <v>2022</v>
      </c>
      <c r="G980" s="23" t="str">
        <f t="shared" si="104"/>
        <v>2022-09</v>
      </c>
    </row>
    <row r="981" spans="1:7" x14ac:dyDescent="0.3">
      <c r="A981" s="18">
        <f t="shared" si="105"/>
        <v>20220904</v>
      </c>
      <c r="B981" s="19">
        <v>44808</v>
      </c>
      <c r="C981" s="24" t="str">
        <f t="shared" si="100"/>
        <v>04 September 2022</v>
      </c>
      <c r="D981" s="21">
        <f t="shared" si="101"/>
        <v>9</v>
      </c>
      <c r="E981" s="21" t="str">
        <f t="shared" si="102"/>
        <v>September</v>
      </c>
      <c r="F981" s="22">
        <f t="shared" si="103"/>
        <v>2022</v>
      </c>
      <c r="G981" s="23" t="str">
        <f t="shared" si="104"/>
        <v>2022-09</v>
      </c>
    </row>
    <row r="982" spans="1:7" x14ac:dyDescent="0.3">
      <c r="A982" s="18">
        <f t="shared" si="105"/>
        <v>20220905</v>
      </c>
      <c r="B982" s="19">
        <v>44809</v>
      </c>
      <c r="C982" s="24" t="str">
        <f t="shared" si="100"/>
        <v>05 September 2022</v>
      </c>
      <c r="D982" s="21">
        <f t="shared" si="101"/>
        <v>9</v>
      </c>
      <c r="E982" s="21" t="str">
        <f t="shared" si="102"/>
        <v>September</v>
      </c>
      <c r="F982" s="22">
        <f t="shared" si="103"/>
        <v>2022</v>
      </c>
      <c r="G982" s="23" t="str">
        <f t="shared" si="104"/>
        <v>2022-09</v>
      </c>
    </row>
    <row r="983" spans="1:7" x14ac:dyDescent="0.3">
      <c r="A983" s="18">
        <f t="shared" si="105"/>
        <v>20220906</v>
      </c>
      <c r="B983" s="19">
        <v>44810</v>
      </c>
      <c r="C983" s="24" t="str">
        <f t="shared" si="100"/>
        <v>06 September 2022</v>
      </c>
      <c r="D983" s="21">
        <f t="shared" si="101"/>
        <v>9</v>
      </c>
      <c r="E983" s="21" t="str">
        <f t="shared" si="102"/>
        <v>September</v>
      </c>
      <c r="F983" s="22">
        <f t="shared" si="103"/>
        <v>2022</v>
      </c>
      <c r="G983" s="23" t="str">
        <f t="shared" si="104"/>
        <v>2022-09</v>
      </c>
    </row>
    <row r="984" spans="1:7" x14ac:dyDescent="0.3">
      <c r="A984" s="18">
        <f t="shared" si="105"/>
        <v>20220907</v>
      </c>
      <c r="B984" s="19">
        <v>44811</v>
      </c>
      <c r="C984" s="24" t="str">
        <f t="shared" si="100"/>
        <v>07 September 2022</v>
      </c>
      <c r="D984" s="21">
        <f t="shared" si="101"/>
        <v>9</v>
      </c>
      <c r="E984" s="21" t="str">
        <f t="shared" si="102"/>
        <v>September</v>
      </c>
      <c r="F984" s="22">
        <f t="shared" si="103"/>
        <v>2022</v>
      </c>
      <c r="G984" s="23" t="str">
        <f t="shared" si="104"/>
        <v>2022-09</v>
      </c>
    </row>
    <row r="985" spans="1:7" x14ac:dyDescent="0.3">
      <c r="A985" s="18">
        <f t="shared" si="105"/>
        <v>20220908</v>
      </c>
      <c r="B985" s="19">
        <v>44812</v>
      </c>
      <c r="C985" s="24" t="str">
        <f t="shared" si="100"/>
        <v>08 September 2022</v>
      </c>
      <c r="D985" s="21">
        <f t="shared" si="101"/>
        <v>9</v>
      </c>
      <c r="E985" s="21" t="str">
        <f t="shared" si="102"/>
        <v>September</v>
      </c>
      <c r="F985" s="22">
        <f t="shared" si="103"/>
        <v>2022</v>
      </c>
      <c r="G985" s="23" t="str">
        <f t="shared" si="104"/>
        <v>2022-09</v>
      </c>
    </row>
    <row r="986" spans="1:7" x14ac:dyDescent="0.3">
      <c r="A986" s="18">
        <f t="shared" si="105"/>
        <v>20220909</v>
      </c>
      <c r="B986" s="19">
        <v>44813</v>
      </c>
      <c r="C986" s="24" t="str">
        <f t="shared" si="100"/>
        <v>09 September 2022</v>
      </c>
      <c r="D986" s="21">
        <f t="shared" si="101"/>
        <v>9</v>
      </c>
      <c r="E986" s="21" t="str">
        <f t="shared" si="102"/>
        <v>September</v>
      </c>
      <c r="F986" s="22">
        <f t="shared" si="103"/>
        <v>2022</v>
      </c>
      <c r="G986" s="23" t="str">
        <f t="shared" si="104"/>
        <v>2022-09</v>
      </c>
    </row>
    <row r="987" spans="1:7" x14ac:dyDescent="0.3">
      <c r="A987" s="18">
        <f t="shared" si="105"/>
        <v>20220910</v>
      </c>
      <c r="B987" s="19">
        <v>44814</v>
      </c>
      <c r="C987" s="24" t="str">
        <f t="shared" si="100"/>
        <v>10 September 2022</v>
      </c>
      <c r="D987" s="21">
        <f t="shared" si="101"/>
        <v>9</v>
      </c>
      <c r="E987" s="21" t="str">
        <f t="shared" si="102"/>
        <v>September</v>
      </c>
      <c r="F987" s="22">
        <f t="shared" si="103"/>
        <v>2022</v>
      </c>
      <c r="G987" s="23" t="str">
        <f t="shared" si="104"/>
        <v>2022-09</v>
      </c>
    </row>
    <row r="988" spans="1:7" x14ac:dyDescent="0.3">
      <c r="A988" s="18">
        <f t="shared" si="105"/>
        <v>20220911</v>
      </c>
      <c r="B988" s="19">
        <v>44815</v>
      </c>
      <c r="C988" s="24" t="str">
        <f t="shared" si="100"/>
        <v>11 September 2022</v>
      </c>
      <c r="D988" s="21">
        <f t="shared" si="101"/>
        <v>9</v>
      </c>
      <c r="E988" s="21" t="str">
        <f t="shared" si="102"/>
        <v>September</v>
      </c>
      <c r="F988" s="22">
        <f t="shared" si="103"/>
        <v>2022</v>
      </c>
      <c r="G988" s="23" t="str">
        <f t="shared" si="104"/>
        <v>2022-09</v>
      </c>
    </row>
    <row r="989" spans="1:7" x14ac:dyDescent="0.3">
      <c r="A989" s="18">
        <f t="shared" si="105"/>
        <v>20220912</v>
      </c>
      <c r="B989" s="19">
        <v>44816</v>
      </c>
      <c r="C989" s="24" t="str">
        <f t="shared" si="100"/>
        <v>12 September 2022</v>
      </c>
      <c r="D989" s="21">
        <f t="shared" si="101"/>
        <v>9</v>
      </c>
      <c r="E989" s="21" t="str">
        <f t="shared" si="102"/>
        <v>September</v>
      </c>
      <c r="F989" s="22">
        <f t="shared" si="103"/>
        <v>2022</v>
      </c>
      <c r="G989" s="23" t="str">
        <f t="shared" si="104"/>
        <v>2022-09</v>
      </c>
    </row>
    <row r="990" spans="1:7" x14ac:dyDescent="0.3">
      <c r="A990" s="18">
        <f t="shared" si="105"/>
        <v>20220913</v>
      </c>
      <c r="B990" s="19">
        <v>44817</v>
      </c>
      <c r="C990" s="24" t="str">
        <f t="shared" si="100"/>
        <v>13 September 2022</v>
      </c>
      <c r="D990" s="21">
        <f t="shared" si="101"/>
        <v>9</v>
      </c>
      <c r="E990" s="21" t="str">
        <f t="shared" si="102"/>
        <v>September</v>
      </c>
      <c r="F990" s="22">
        <f t="shared" si="103"/>
        <v>2022</v>
      </c>
      <c r="G990" s="23" t="str">
        <f t="shared" si="104"/>
        <v>2022-09</v>
      </c>
    </row>
    <row r="991" spans="1:7" x14ac:dyDescent="0.3">
      <c r="A991" s="18">
        <f t="shared" si="105"/>
        <v>20220914</v>
      </c>
      <c r="B991" s="19">
        <v>44818</v>
      </c>
      <c r="C991" s="24" t="str">
        <f t="shared" si="100"/>
        <v>14 September 2022</v>
      </c>
      <c r="D991" s="21">
        <f t="shared" si="101"/>
        <v>9</v>
      </c>
      <c r="E991" s="21" t="str">
        <f t="shared" si="102"/>
        <v>September</v>
      </c>
      <c r="F991" s="22">
        <f t="shared" si="103"/>
        <v>2022</v>
      </c>
      <c r="G991" s="23" t="str">
        <f t="shared" si="104"/>
        <v>2022-09</v>
      </c>
    </row>
    <row r="992" spans="1:7" x14ac:dyDescent="0.3">
      <c r="A992" s="18">
        <f t="shared" si="105"/>
        <v>20220915</v>
      </c>
      <c r="B992" s="19">
        <v>44819</v>
      </c>
      <c r="C992" s="24" t="str">
        <f t="shared" si="100"/>
        <v>15 September 2022</v>
      </c>
      <c r="D992" s="21">
        <f t="shared" si="101"/>
        <v>9</v>
      </c>
      <c r="E992" s="21" t="str">
        <f t="shared" si="102"/>
        <v>September</v>
      </c>
      <c r="F992" s="22">
        <f t="shared" si="103"/>
        <v>2022</v>
      </c>
      <c r="G992" s="23" t="str">
        <f t="shared" si="104"/>
        <v>2022-09</v>
      </c>
    </row>
    <row r="993" spans="1:7" x14ac:dyDescent="0.3">
      <c r="A993" s="18">
        <f t="shared" si="105"/>
        <v>20220916</v>
      </c>
      <c r="B993" s="19">
        <v>44820</v>
      </c>
      <c r="C993" s="24" t="str">
        <f t="shared" ref="C993:C1056" si="106">TEXT(B993,"dd MMMM YYYY")</f>
        <v>16 September 2022</v>
      </c>
      <c r="D993" s="21">
        <f t="shared" ref="D993:D1056" si="107">MONTH(B993)</f>
        <v>9</v>
      </c>
      <c r="E993" s="21" t="str">
        <f t="shared" ref="E993:E1056" si="108">TEXT(B993,"MMMM")</f>
        <v>September</v>
      </c>
      <c r="F993" s="22">
        <f t="shared" ref="F993:F1056" si="109">YEAR(B993)</f>
        <v>2022</v>
      </c>
      <c r="G993" s="23" t="str">
        <f t="shared" ref="G993:G1056" si="110">TEXT(B993,"YYYY-MM")</f>
        <v>2022-09</v>
      </c>
    </row>
    <row r="994" spans="1:7" x14ac:dyDescent="0.3">
      <c r="A994" s="18">
        <f t="shared" si="105"/>
        <v>20220917</v>
      </c>
      <c r="B994" s="19">
        <v>44821</v>
      </c>
      <c r="C994" s="24" t="str">
        <f t="shared" si="106"/>
        <v>17 September 2022</v>
      </c>
      <c r="D994" s="21">
        <f t="shared" si="107"/>
        <v>9</v>
      </c>
      <c r="E994" s="21" t="str">
        <f t="shared" si="108"/>
        <v>September</v>
      </c>
      <c r="F994" s="22">
        <f t="shared" si="109"/>
        <v>2022</v>
      </c>
      <c r="G994" s="23" t="str">
        <f t="shared" si="110"/>
        <v>2022-09</v>
      </c>
    </row>
    <row r="995" spans="1:7" x14ac:dyDescent="0.3">
      <c r="A995" s="18">
        <f t="shared" si="105"/>
        <v>20220918</v>
      </c>
      <c r="B995" s="19">
        <v>44822</v>
      </c>
      <c r="C995" s="24" t="str">
        <f t="shared" si="106"/>
        <v>18 September 2022</v>
      </c>
      <c r="D995" s="21">
        <f t="shared" si="107"/>
        <v>9</v>
      </c>
      <c r="E995" s="21" t="str">
        <f t="shared" si="108"/>
        <v>September</v>
      </c>
      <c r="F995" s="22">
        <f t="shared" si="109"/>
        <v>2022</v>
      </c>
      <c r="G995" s="23" t="str">
        <f t="shared" si="110"/>
        <v>2022-09</v>
      </c>
    </row>
    <row r="996" spans="1:7" x14ac:dyDescent="0.3">
      <c r="A996" s="18">
        <f t="shared" si="105"/>
        <v>20220919</v>
      </c>
      <c r="B996" s="19">
        <v>44823</v>
      </c>
      <c r="C996" s="24" t="str">
        <f t="shared" si="106"/>
        <v>19 September 2022</v>
      </c>
      <c r="D996" s="21">
        <f t="shared" si="107"/>
        <v>9</v>
      </c>
      <c r="E996" s="21" t="str">
        <f t="shared" si="108"/>
        <v>September</v>
      </c>
      <c r="F996" s="22">
        <f t="shared" si="109"/>
        <v>2022</v>
      </c>
      <c r="G996" s="23" t="str">
        <f t="shared" si="110"/>
        <v>2022-09</v>
      </c>
    </row>
    <row r="997" spans="1:7" x14ac:dyDescent="0.3">
      <c r="A997" s="18">
        <f t="shared" si="105"/>
        <v>20220920</v>
      </c>
      <c r="B997" s="19">
        <v>44824</v>
      </c>
      <c r="C997" s="24" t="str">
        <f t="shared" si="106"/>
        <v>20 September 2022</v>
      </c>
      <c r="D997" s="21">
        <f t="shared" si="107"/>
        <v>9</v>
      </c>
      <c r="E997" s="21" t="str">
        <f t="shared" si="108"/>
        <v>September</v>
      </c>
      <c r="F997" s="22">
        <f t="shared" si="109"/>
        <v>2022</v>
      </c>
      <c r="G997" s="23" t="str">
        <f t="shared" si="110"/>
        <v>2022-09</v>
      </c>
    </row>
    <row r="998" spans="1:7" x14ac:dyDescent="0.3">
      <c r="A998" s="18">
        <f t="shared" si="105"/>
        <v>20220921</v>
      </c>
      <c r="B998" s="19">
        <v>44825</v>
      </c>
      <c r="C998" s="24" t="str">
        <f t="shared" si="106"/>
        <v>21 September 2022</v>
      </c>
      <c r="D998" s="21">
        <f t="shared" si="107"/>
        <v>9</v>
      </c>
      <c r="E998" s="21" t="str">
        <f t="shared" si="108"/>
        <v>September</v>
      </c>
      <c r="F998" s="22">
        <f t="shared" si="109"/>
        <v>2022</v>
      </c>
      <c r="G998" s="23" t="str">
        <f t="shared" si="110"/>
        <v>2022-09</v>
      </c>
    </row>
    <row r="999" spans="1:7" x14ac:dyDescent="0.3">
      <c r="A999" s="18">
        <f t="shared" si="105"/>
        <v>20220922</v>
      </c>
      <c r="B999" s="19">
        <v>44826</v>
      </c>
      <c r="C999" s="24" t="str">
        <f t="shared" si="106"/>
        <v>22 September 2022</v>
      </c>
      <c r="D999" s="21">
        <f t="shared" si="107"/>
        <v>9</v>
      </c>
      <c r="E999" s="21" t="str">
        <f t="shared" si="108"/>
        <v>September</v>
      </c>
      <c r="F999" s="22">
        <f t="shared" si="109"/>
        <v>2022</v>
      </c>
      <c r="G999" s="23" t="str">
        <f t="shared" si="110"/>
        <v>2022-09</v>
      </c>
    </row>
    <row r="1000" spans="1:7" x14ac:dyDescent="0.3">
      <c r="A1000" s="18">
        <f t="shared" si="105"/>
        <v>20220923</v>
      </c>
      <c r="B1000" s="19">
        <v>44827</v>
      </c>
      <c r="C1000" s="24" t="str">
        <f t="shared" si="106"/>
        <v>23 September 2022</v>
      </c>
      <c r="D1000" s="21">
        <f t="shared" si="107"/>
        <v>9</v>
      </c>
      <c r="E1000" s="21" t="str">
        <f t="shared" si="108"/>
        <v>September</v>
      </c>
      <c r="F1000" s="22">
        <f t="shared" si="109"/>
        <v>2022</v>
      </c>
      <c r="G1000" s="23" t="str">
        <f t="shared" si="110"/>
        <v>2022-09</v>
      </c>
    </row>
    <row r="1001" spans="1:7" x14ac:dyDescent="0.3">
      <c r="A1001" s="18">
        <f t="shared" si="105"/>
        <v>20220924</v>
      </c>
      <c r="B1001" s="19">
        <v>44828</v>
      </c>
      <c r="C1001" s="24" t="str">
        <f t="shared" si="106"/>
        <v>24 September 2022</v>
      </c>
      <c r="D1001" s="21">
        <f t="shared" si="107"/>
        <v>9</v>
      </c>
      <c r="E1001" s="21" t="str">
        <f t="shared" si="108"/>
        <v>September</v>
      </c>
      <c r="F1001" s="22">
        <f t="shared" si="109"/>
        <v>2022</v>
      </c>
      <c r="G1001" s="23" t="str">
        <f t="shared" si="110"/>
        <v>2022-09</v>
      </c>
    </row>
    <row r="1002" spans="1:7" x14ac:dyDescent="0.3">
      <c r="A1002" s="18">
        <f t="shared" si="105"/>
        <v>20220925</v>
      </c>
      <c r="B1002" s="19">
        <v>44829</v>
      </c>
      <c r="C1002" s="24" t="str">
        <f t="shared" si="106"/>
        <v>25 September 2022</v>
      </c>
      <c r="D1002" s="21">
        <f t="shared" si="107"/>
        <v>9</v>
      </c>
      <c r="E1002" s="21" t="str">
        <f t="shared" si="108"/>
        <v>September</v>
      </c>
      <c r="F1002" s="22">
        <f t="shared" si="109"/>
        <v>2022</v>
      </c>
      <c r="G1002" s="23" t="str">
        <f t="shared" si="110"/>
        <v>2022-09</v>
      </c>
    </row>
    <row r="1003" spans="1:7" x14ac:dyDescent="0.3">
      <c r="A1003" s="18">
        <f t="shared" si="105"/>
        <v>20220926</v>
      </c>
      <c r="B1003" s="19">
        <v>44830</v>
      </c>
      <c r="C1003" s="24" t="str">
        <f t="shared" si="106"/>
        <v>26 September 2022</v>
      </c>
      <c r="D1003" s="21">
        <f t="shared" si="107"/>
        <v>9</v>
      </c>
      <c r="E1003" s="21" t="str">
        <f t="shared" si="108"/>
        <v>September</v>
      </c>
      <c r="F1003" s="22">
        <f t="shared" si="109"/>
        <v>2022</v>
      </c>
      <c r="G1003" s="23" t="str">
        <f t="shared" si="110"/>
        <v>2022-09</v>
      </c>
    </row>
    <row r="1004" spans="1:7" x14ac:dyDescent="0.3">
      <c r="A1004" s="18">
        <f t="shared" si="105"/>
        <v>20220927</v>
      </c>
      <c r="B1004" s="19">
        <v>44831</v>
      </c>
      <c r="C1004" s="24" t="str">
        <f t="shared" si="106"/>
        <v>27 September 2022</v>
      </c>
      <c r="D1004" s="21">
        <f t="shared" si="107"/>
        <v>9</v>
      </c>
      <c r="E1004" s="21" t="str">
        <f t="shared" si="108"/>
        <v>September</v>
      </c>
      <c r="F1004" s="22">
        <f t="shared" si="109"/>
        <v>2022</v>
      </c>
      <c r="G1004" s="23" t="str">
        <f t="shared" si="110"/>
        <v>2022-09</v>
      </c>
    </row>
    <row r="1005" spans="1:7" x14ac:dyDescent="0.3">
      <c r="A1005" s="18">
        <f t="shared" si="105"/>
        <v>20220928</v>
      </c>
      <c r="B1005" s="19">
        <v>44832</v>
      </c>
      <c r="C1005" s="24" t="str">
        <f t="shared" si="106"/>
        <v>28 September 2022</v>
      </c>
      <c r="D1005" s="21">
        <f t="shared" si="107"/>
        <v>9</v>
      </c>
      <c r="E1005" s="21" t="str">
        <f t="shared" si="108"/>
        <v>September</v>
      </c>
      <c r="F1005" s="22">
        <f t="shared" si="109"/>
        <v>2022</v>
      </c>
      <c r="G1005" s="23" t="str">
        <f t="shared" si="110"/>
        <v>2022-09</v>
      </c>
    </row>
    <row r="1006" spans="1:7" x14ac:dyDescent="0.3">
      <c r="A1006" s="18">
        <f t="shared" si="105"/>
        <v>20220929</v>
      </c>
      <c r="B1006" s="19">
        <v>44833</v>
      </c>
      <c r="C1006" s="24" t="str">
        <f t="shared" si="106"/>
        <v>29 September 2022</v>
      </c>
      <c r="D1006" s="21">
        <f t="shared" si="107"/>
        <v>9</v>
      </c>
      <c r="E1006" s="21" t="str">
        <f t="shared" si="108"/>
        <v>September</v>
      </c>
      <c r="F1006" s="22">
        <f t="shared" si="109"/>
        <v>2022</v>
      </c>
      <c r="G1006" s="23" t="str">
        <f t="shared" si="110"/>
        <v>2022-09</v>
      </c>
    </row>
    <row r="1007" spans="1:7" x14ac:dyDescent="0.3">
      <c r="A1007" s="18">
        <f t="shared" si="105"/>
        <v>20220930</v>
      </c>
      <c r="B1007" s="19">
        <v>44834</v>
      </c>
      <c r="C1007" s="24" t="str">
        <f t="shared" si="106"/>
        <v>30 September 2022</v>
      </c>
      <c r="D1007" s="21">
        <f t="shared" si="107"/>
        <v>9</v>
      </c>
      <c r="E1007" s="21" t="str">
        <f t="shared" si="108"/>
        <v>September</v>
      </c>
      <c r="F1007" s="22">
        <f t="shared" si="109"/>
        <v>2022</v>
      </c>
      <c r="G1007" s="23" t="str">
        <f t="shared" si="110"/>
        <v>2022-09</v>
      </c>
    </row>
    <row r="1008" spans="1:7" x14ac:dyDescent="0.3">
      <c r="A1008" s="18">
        <f t="shared" si="105"/>
        <v>20221001</v>
      </c>
      <c r="B1008" s="19">
        <v>44835</v>
      </c>
      <c r="C1008" s="24" t="str">
        <f t="shared" si="106"/>
        <v>01 October 2022</v>
      </c>
      <c r="D1008" s="21">
        <f t="shared" si="107"/>
        <v>10</v>
      </c>
      <c r="E1008" s="21" t="str">
        <f t="shared" si="108"/>
        <v>October</v>
      </c>
      <c r="F1008" s="22">
        <f t="shared" si="109"/>
        <v>2022</v>
      </c>
      <c r="G1008" s="23" t="str">
        <f t="shared" si="110"/>
        <v>2022-10</v>
      </c>
    </row>
    <row r="1009" spans="1:7" x14ac:dyDescent="0.3">
      <c r="A1009" s="18">
        <f t="shared" si="105"/>
        <v>20221002</v>
      </c>
      <c r="B1009" s="19">
        <v>44836</v>
      </c>
      <c r="C1009" s="24" t="str">
        <f t="shared" si="106"/>
        <v>02 October 2022</v>
      </c>
      <c r="D1009" s="21">
        <f t="shared" si="107"/>
        <v>10</v>
      </c>
      <c r="E1009" s="21" t="str">
        <f t="shared" si="108"/>
        <v>October</v>
      </c>
      <c r="F1009" s="22">
        <f t="shared" si="109"/>
        <v>2022</v>
      </c>
      <c r="G1009" s="23" t="str">
        <f t="shared" si="110"/>
        <v>2022-10</v>
      </c>
    </row>
    <row r="1010" spans="1:7" x14ac:dyDescent="0.3">
      <c r="A1010" s="18">
        <f t="shared" si="105"/>
        <v>20221003</v>
      </c>
      <c r="B1010" s="19">
        <v>44837</v>
      </c>
      <c r="C1010" s="24" t="str">
        <f t="shared" si="106"/>
        <v>03 October 2022</v>
      </c>
      <c r="D1010" s="21">
        <f t="shared" si="107"/>
        <v>10</v>
      </c>
      <c r="E1010" s="21" t="str">
        <f t="shared" si="108"/>
        <v>October</v>
      </c>
      <c r="F1010" s="22">
        <f t="shared" si="109"/>
        <v>2022</v>
      </c>
      <c r="G1010" s="23" t="str">
        <f t="shared" si="110"/>
        <v>2022-10</v>
      </c>
    </row>
    <row r="1011" spans="1:7" x14ac:dyDescent="0.3">
      <c r="A1011" s="18">
        <f t="shared" si="105"/>
        <v>20221004</v>
      </c>
      <c r="B1011" s="19">
        <v>44838</v>
      </c>
      <c r="C1011" s="24" t="str">
        <f t="shared" si="106"/>
        <v>04 October 2022</v>
      </c>
      <c r="D1011" s="21">
        <f t="shared" si="107"/>
        <v>10</v>
      </c>
      <c r="E1011" s="21" t="str">
        <f t="shared" si="108"/>
        <v>October</v>
      </c>
      <c r="F1011" s="22">
        <f t="shared" si="109"/>
        <v>2022</v>
      </c>
      <c r="G1011" s="23" t="str">
        <f t="shared" si="110"/>
        <v>2022-10</v>
      </c>
    </row>
    <row r="1012" spans="1:7" x14ac:dyDescent="0.3">
      <c r="A1012" s="18">
        <f t="shared" si="105"/>
        <v>20221005</v>
      </c>
      <c r="B1012" s="19">
        <v>44839</v>
      </c>
      <c r="C1012" s="24" t="str">
        <f t="shared" si="106"/>
        <v>05 October 2022</v>
      </c>
      <c r="D1012" s="21">
        <f t="shared" si="107"/>
        <v>10</v>
      </c>
      <c r="E1012" s="21" t="str">
        <f t="shared" si="108"/>
        <v>October</v>
      </c>
      <c r="F1012" s="22">
        <f t="shared" si="109"/>
        <v>2022</v>
      </c>
      <c r="G1012" s="23" t="str">
        <f t="shared" si="110"/>
        <v>2022-10</v>
      </c>
    </row>
    <row r="1013" spans="1:7" x14ac:dyDescent="0.3">
      <c r="A1013" s="18">
        <f t="shared" si="105"/>
        <v>20221006</v>
      </c>
      <c r="B1013" s="19">
        <v>44840</v>
      </c>
      <c r="C1013" s="24" t="str">
        <f t="shared" si="106"/>
        <v>06 October 2022</v>
      </c>
      <c r="D1013" s="21">
        <f t="shared" si="107"/>
        <v>10</v>
      </c>
      <c r="E1013" s="21" t="str">
        <f t="shared" si="108"/>
        <v>October</v>
      </c>
      <c r="F1013" s="22">
        <f t="shared" si="109"/>
        <v>2022</v>
      </c>
      <c r="G1013" s="23" t="str">
        <f t="shared" si="110"/>
        <v>2022-10</v>
      </c>
    </row>
    <row r="1014" spans="1:7" x14ac:dyDescent="0.3">
      <c r="A1014" s="18">
        <f t="shared" si="105"/>
        <v>20221007</v>
      </c>
      <c r="B1014" s="19">
        <v>44841</v>
      </c>
      <c r="C1014" s="24" t="str">
        <f t="shared" si="106"/>
        <v>07 October 2022</v>
      </c>
      <c r="D1014" s="21">
        <f t="shared" si="107"/>
        <v>10</v>
      </c>
      <c r="E1014" s="21" t="str">
        <f t="shared" si="108"/>
        <v>October</v>
      </c>
      <c r="F1014" s="22">
        <f t="shared" si="109"/>
        <v>2022</v>
      </c>
      <c r="G1014" s="23" t="str">
        <f t="shared" si="110"/>
        <v>2022-10</v>
      </c>
    </row>
    <row r="1015" spans="1:7" x14ac:dyDescent="0.3">
      <c r="A1015" s="18">
        <f t="shared" si="105"/>
        <v>20221008</v>
      </c>
      <c r="B1015" s="19">
        <v>44842</v>
      </c>
      <c r="C1015" s="24" t="str">
        <f t="shared" si="106"/>
        <v>08 October 2022</v>
      </c>
      <c r="D1015" s="21">
        <f t="shared" si="107"/>
        <v>10</v>
      </c>
      <c r="E1015" s="21" t="str">
        <f t="shared" si="108"/>
        <v>October</v>
      </c>
      <c r="F1015" s="22">
        <f t="shared" si="109"/>
        <v>2022</v>
      </c>
      <c r="G1015" s="23" t="str">
        <f t="shared" si="110"/>
        <v>2022-10</v>
      </c>
    </row>
    <row r="1016" spans="1:7" x14ac:dyDescent="0.3">
      <c r="A1016" s="18">
        <f t="shared" si="105"/>
        <v>20221009</v>
      </c>
      <c r="B1016" s="19">
        <v>44843</v>
      </c>
      <c r="C1016" s="24" t="str">
        <f t="shared" si="106"/>
        <v>09 October 2022</v>
      </c>
      <c r="D1016" s="21">
        <f t="shared" si="107"/>
        <v>10</v>
      </c>
      <c r="E1016" s="21" t="str">
        <f t="shared" si="108"/>
        <v>October</v>
      </c>
      <c r="F1016" s="22">
        <f t="shared" si="109"/>
        <v>2022</v>
      </c>
      <c r="G1016" s="23" t="str">
        <f t="shared" si="110"/>
        <v>2022-10</v>
      </c>
    </row>
    <row r="1017" spans="1:7" x14ac:dyDescent="0.3">
      <c r="A1017" s="18">
        <f t="shared" si="105"/>
        <v>20221010</v>
      </c>
      <c r="B1017" s="19">
        <v>44844</v>
      </c>
      <c r="C1017" s="24" t="str">
        <f t="shared" si="106"/>
        <v>10 October 2022</v>
      </c>
      <c r="D1017" s="21">
        <f t="shared" si="107"/>
        <v>10</v>
      </c>
      <c r="E1017" s="21" t="str">
        <f t="shared" si="108"/>
        <v>October</v>
      </c>
      <c r="F1017" s="22">
        <f t="shared" si="109"/>
        <v>2022</v>
      </c>
      <c r="G1017" s="23" t="str">
        <f t="shared" si="110"/>
        <v>2022-10</v>
      </c>
    </row>
    <row r="1018" spans="1:7" x14ac:dyDescent="0.3">
      <c r="A1018" s="18">
        <f t="shared" si="105"/>
        <v>20221011</v>
      </c>
      <c r="B1018" s="19">
        <v>44845</v>
      </c>
      <c r="C1018" s="24" t="str">
        <f t="shared" si="106"/>
        <v>11 October 2022</v>
      </c>
      <c r="D1018" s="21">
        <f t="shared" si="107"/>
        <v>10</v>
      </c>
      <c r="E1018" s="21" t="str">
        <f t="shared" si="108"/>
        <v>October</v>
      </c>
      <c r="F1018" s="22">
        <f t="shared" si="109"/>
        <v>2022</v>
      </c>
      <c r="G1018" s="23" t="str">
        <f t="shared" si="110"/>
        <v>2022-10</v>
      </c>
    </row>
    <row r="1019" spans="1:7" x14ac:dyDescent="0.3">
      <c r="A1019" s="18">
        <f t="shared" si="105"/>
        <v>20221012</v>
      </c>
      <c r="B1019" s="19">
        <v>44846</v>
      </c>
      <c r="C1019" s="24" t="str">
        <f t="shared" si="106"/>
        <v>12 October 2022</v>
      </c>
      <c r="D1019" s="21">
        <f t="shared" si="107"/>
        <v>10</v>
      </c>
      <c r="E1019" s="21" t="str">
        <f t="shared" si="108"/>
        <v>October</v>
      </c>
      <c r="F1019" s="22">
        <f t="shared" si="109"/>
        <v>2022</v>
      </c>
      <c r="G1019" s="23" t="str">
        <f t="shared" si="110"/>
        <v>2022-10</v>
      </c>
    </row>
    <row r="1020" spans="1:7" x14ac:dyDescent="0.3">
      <c r="A1020" s="18">
        <f t="shared" si="105"/>
        <v>20221013</v>
      </c>
      <c r="B1020" s="19">
        <v>44847</v>
      </c>
      <c r="C1020" s="24" t="str">
        <f t="shared" si="106"/>
        <v>13 October 2022</v>
      </c>
      <c r="D1020" s="21">
        <f t="shared" si="107"/>
        <v>10</v>
      </c>
      <c r="E1020" s="21" t="str">
        <f t="shared" si="108"/>
        <v>October</v>
      </c>
      <c r="F1020" s="22">
        <f t="shared" si="109"/>
        <v>2022</v>
      </c>
      <c r="G1020" s="23" t="str">
        <f t="shared" si="110"/>
        <v>2022-10</v>
      </c>
    </row>
    <row r="1021" spans="1:7" x14ac:dyDescent="0.3">
      <c r="A1021" s="18">
        <f t="shared" si="105"/>
        <v>20221014</v>
      </c>
      <c r="B1021" s="19">
        <v>44848</v>
      </c>
      <c r="C1021" s="24" t="str">
        <f t="shared" si="106"/>
        <v>14 October 2022</v>
      </c>
      <c r="D1021" s="21">
        <f t="shared" si="107"/>
        <v>10</v>
      </c>
      <c r="E1021" s="21" t="str">
        <f t="shared" si="108"/>
        <v>October</v>
      </c>
      <c r="F1021" s="22">
        <f t="shared" si="109"/>
        <v>2022</v>
      </c>
      <c r="G1021" s="23" t="str">
        <f t="shared" si="110"/>
        <v>2022-10</v>
      </c>
    </row>
    <row r="1022" spans="1:7" x14ac:dyDescent="0.3">
      <c r="A1022" s="18">
        <f t="shared" ref="A1022:A1085" si="111">YEAR(B1022)*10000+MONTH(B1022)*100+DAY(B1022)</f>
        <v>20221015</v>
      </c>
      <c r="B1022" s="19">
        <v>44849</v>
      </c>
      <c r="C1022" s="24" t="str">
        <f t="shared" si="106"/>
        <v>15 October 2022</v>
      </c>
      <c r="D1022" s="21">
        <f t="shared" si="107"/>
        <v>10</v>
      </c>
      <c r="E1022" s="21" t="str">
        <f t="shared" si="108"/>
        <v>October</v>
      </c>
      <c r="F1022" s="22">
        <f t="shared" si="109"/>
        <v>2022</v>
      </c>
      <c r="G1022" s="23" t="str">
        <f t="shared" si="110"/>
        <v>2022-10</v>
      </c>
    </row>
    <row r="1023" spans="1:7" x14ac:dyDescent="0.3">
      <c r="A1023" s="18">
        <f t="shared" si="111"/>
        <v>20221016</v>
      </c>
      <c r="B1023" s="19">
        <v>44850</v>
      </c>
      <c r="C1023" s="24" t="str">
        <f t="shared" si="106"/>
        <v>16 October 2022</v>
      </c>
      <c r="D1023" s="21">
        <f t="shared" si="107"/>
        <v>10</v>
      </c>
      <c r="E1023" s="21" t="str">
        <f t="shared" si="108"/>
        <v>October</v>
      </c>
      <c r="F1023" s="22">
        <f t="shared" si="109"/>
        <v>2022</v>
      </c>
      <c r="G1023" s="23" t="str">
        <f t="shared" si="110"/>
        <v>2022-10</v>
      </c>
    </row>
    <row r="1024" spans="1:7" x14ac:dyDescent="0.3">
      <c r="A1024" s="18">
        <f t="shared" si="111"/>
        <v>20221017</v>
      </c>
      <c r="B1024" s="19">
        <v>44851</v>
      </c>
      <c r="C1024" s="24" t="str">
        <f t="shared" si="106"/>
        <v>17 October 2022</v>
      </c>
      <c r="D1024" s="21">
        <f t="shared" si="107"/>
        <v>10</v>
      </c>
      <c r="E1024" s="21" t="str">
        <f t="shared" si="108"/>
        <v>October</v>
      </c>
      <c r="F1024" s="22">
        <f t="shared" si="109"/>
        <v>2022</v>
      </c>
      <c r="G1024" s="23" t="str">
        <f t="shared" si="110"/>
        <v>2022-10</v>
      </c>
    </row>
    <row r="1025" spans="1:7" x14ac:dyDescent="0.3">
      <c r="A1025" s="18">
        <f t="shared" si="111"/>
        <v>20221018</v>
      </c>
      <c r="B1025" s="19">
        <v>44852</v>
      </c>
      <c r="C1025" s="24" t="str">
        <f t="shared" si="106"/>
        <v>18 October 2022</v>
      </c>
      <c r="D1025" s="21">
        <f t="shared" si="107"/>
        <v>10</v>
      </c>
      <c r="E1025" s="21" t="str">
        <f t="shared" si="108"/>
        <v>October</v>
      </c>
      <c r="F1025" s="22">
        <f t="shared" si="109"/>
        <v>2022</v>
      </c>
      <c r="G1025" s="23" t="str">
        <f t="shared" si="110"/>
        <v>2022-10</v>
      </c>
    </row>
    <row r="1026" spans="1:7" x14ac:dyDescent="0.3">
      <c r="A1026" s="18">
        <f t="shared" si="111"/>
        <v>20221019</v>
      </c>
      <c r="B1026" s="19">
        <v>44853</v>
      </c>
      <c r="C1026" s="24" t="str">
        <f t="shared" si="106"/>
        <v>19 October 2022</v>
      </c>
      <c r="D1026" s="21">
        <f t="shared" si="107"/>
        <v>10</v>
      </c>
      <c r="E1026" s="21" t="str">
        <f t="shared" si="108"/>
        <v>October</v>
      </c>
      <c r="F1026" s="22">
        <f t="shared" si="109"/>
        <v>2022</v>
      </c>
      <c r="G1026" s="23" t="str">
        <f t="shared" si="110"/>
        <v>2022-10</v>
      </c>
    </row>
    <row r="1027" spans="1:7" x14ac:dyDescent="0.3">
      <c r="A1027" s="18">
        <f t="shared" si="111"/>
        <v>20221020</v>
      </c>
      <c r="B1027" s="19">
        <v>44854</v>
      </c>
      <c r="C1027" s="24" t="str">
        <f t="shared" si="106"/>
        <v>20 October 2022</v>
      </c>
      <c r="D1027" s="21">
        <f t="shared" si="107"/>
        <v>10</v>
      </c>
      <c r="E1027" s="21" t="str">
        <f t="shared" si="108"/>
        <v>October</v>
      </c>
      <c r="F1027" s="22">
        <f t="shared" si="109"/>
        <v>2022</v>
      </c>
      <c r="G1027" s="23" t="str">
        <f t="shared" si="110"/>
        <v>2022-10</v>
      </c>
    </row>
    <row r="1028" spans="1:7" x14ac:dyDescent="0.3">
      <c r="A1028" s="18">
        <f t="shared" si="111"/>
        <v>20221021</v>
      </c>
      <c r="B1028" s="19">
        <v>44855</v>
      </c>
      <c r="C1028" s="24" t="str">
        <f t="shared" si="106"/>
        <v>21 October 2022</v>
      </c>
      <c r="D1028" s="21">
        <f t="shared" si="107"/>
        <v>10</v>
      </c>
      <c r="E1028" s="21" t="str">
        <f t="shared" si="108"/>
        <v>October</v>
      </c>
      <c r="F1028" s="22">
        <f t="shared" si="109"/>
        <v>2022</v>
      </c>
      <c r="G1028" s="23" t="str">
        <f t="shared" si="110"/>
        <v>2022-10</v>
      </c>
    </row>
    <row r="1029" spans="1:7" x14ac:dyDescent="0.3">
      <c r="A1029" s="18">
        <f t="shared" si="111"/>
        <v>20221022</v>
      </c>
      <c r="B1029" s="19">
        <v>44856</v>
      </c>
      <c r="C1029" s="24" t="str">
        <f t="shared" si="106"/>
        <v>22 October 2022</v>
      </c>
      <c r="D1029" s="21">
        <f t="shared" si="107"/>
        <v>10</v>
      </c>
      <c r="E1029" s="21" t="str">
        <f t="shared" si="108"/>
        <v>October</v>
      </c>
      <c r="F1029" s="22">
        <f t="shared" si="109"/>
        <v>2022</v>
      </c>
      <c r="G1029" s="23" t="str">
        <f t="shared" si="110"/>
        <v>2022-10</v>
      </c>
    </row>
    <row r="1030" spans="1:7" x14ac:dyDescent="0.3">
      <c r="A1030" s="18">
        <f t="shared" si="111"/>
        <v>20221023</v>
      </c>
      <c r="B1030" s="19">
        <v>44857</v>
      </c>
      <c r="C1030" s="24" t="str">
        <f t="shared" si="106"/>
        <v>23 October 2022</v>
      </c>
      <c r="D1030" s="21">
        <f t="shared" si="107"/>
        <v>10</v>
      </c>
      <c r="E1030" s="21" t="str">
        <f t="shared" si="108"/>
        <v>October</v>
      </c>
      <c r="F1030" s="22">
        <f t="shared" si="109"/>
        <v>2022</v>
      </c>
      <c r="G1030" s="23" t="str">
        <f t="shared" si="110"/>
        <v>2022-10</v>
      </c>
    </row>
    <row r="1031" spans="1:7" x14ac:dyDescent="0.3">
      <c r="A1031" s="18">
        <f t="shared" si="111"/>
        <v>20221024</v>
      </c>
      <c r="B1031" s="19">
        <v>44858</v>
      </c>
      <c r="C1031" s="24" t="str">
        <f t="shared" si="106"/>
        <v>24 October 2022</v>
      </c>
      <c r="D1031" s="21">
        <f t="shared" si="107"/>
        <v>10</v>
      </c>
      <c r="E1031" s="21" t="str">
        <f t="shared" si="108"/>
        <v>October</v>
      </c>
      <c r="F1031" s="22">
        <f t="shared" si="109"/>
        <v>2022</v>
      </c>
      <c r="G1031" s="23" t="str">
        <f t="shared" si="110"/>
        <v>2022-10</v>
      </c>
    </row>
    <row r="1032" spans="1:7" x14ac:dyDescent="0.3">
      <c r="A1032" s="18">
        <f t="shared" si="111"/>
        <v>20221025</v>
      </c>
      <c r="B1032" s="19">
        <v>44859</v>
      </c>
      <c r="C1032" s="24" t="str">
        <f t="shared" si="106"/>
        <v>25 October 2022</v>
      </c>
      <c r="D1032" s="21">
        <f t="shared" si="107"/>
        <v>10</v>
      </c>
      <c r="E1032" s="21" t="str">
        <f t="shared" si="108"/>
        <v>October</v>
      </c>
      <c r="F1032" s="22">
        <f t="shared" si="109"/>
        <v>2022</v>
      </c>
      <c r="G1032" s="23" t="str">
        <f t="shared" si="110"/>
        <v>2022-10</v>
      </c>
    </row>
    <row r="1033" spans="1:7" x14ac:dyDescent="0.3">
      <c r="A1033" s="18">
        <f t="shared" si="111"/>
        <v>20221026</v>
      </c>
      <c r="B1033" s="19">
        <v>44860</v>
      </c>
      <c r="C1033" s="24" t="str">
        <f t="shared" si="106"/>
        <v>26 October 2022</v>
      </c>
      <c r="D1033" s="21">
        <f t="shared" si="107"/>
        <v>10</v>
      </c>
      <c r="E1033" s="21" t="str">
        <f t="shared" si="108"/>
        <v>October</v>
      </c>
      <c r="F1033" s="22">
        <f t="shared" si="109"/>
        <v>2022</v>
      </c>
      <c r="G1033" s="23" t="str">
        <f t="shared" si="110"/>
        <v>2022-10</v>
      </c>
    </row>
    <row r="1034" spans="1:7" x14ac:dyDescent="0.3">
      <c r="A1034" s="18">
        <f t="shared" si="111"/>
        <v>20221027</v>
      </c>
      <c r="B1034" s="19">
        <v>44861</v>
      </c>
      <c r="C1034" s="24" t="str">
        <f t="shared" si="106"/>
        <v>27 October 2022</v>
      </c>
      <c r="D1034" s="21">
        <f t="shared" si="107"/>
        <v>10</v>
      </c>
      <c r="E1034" s="21" t="str">
        <f t="shared" si="108"/>
        <v>October</v>
      </c>
      <c r="F1034" s="22">
        <f t="shared" si="109"/>
        <v>2022</v>
      </c>
      <c r="G1034" s="23" t="str">
        <f t="shared" si="110"/>
        <v>2022-10</v>
      </c>
    </row>
    <row r="1035" spans="1:7" x14ac:dyDescent="0.3">
      <c r="A1035" s="18">
        <f t="shared" si="111"/>
        <v>20221028</v>
      </c>
      <c r="B1035" s="19">
        <v>44862</v>
      </c>
      <c r="C1035" s="24" t="str">
        <f t="shared" si="106"/>
        <v>28 October 2022</v>
      </c>
      <c r="D1035" s="21">
        <f t="shared" si="107"/>
        <v>10</v>
      </c>
      <c r="E1035" s="21" t="str">
        <f t="shared" si="108"/>
        <v>October</v>
      </c>
      <c r="F1035" s="22">
        <f t="shared" si="109"/>
        <v>2022</v>
      </c>
      <c r="G1035" s="23" t="str">
        <f t="shared" si="110"/>
        <v>2022-10</v>
      </c>
    </row>
    <row r="1036" spans="1:7" x14ac:dyDescent="0.3">
      <c r="A1036" s="18">
        <f t="shared" si="111"/>
        <v>20221029</v>
      </c>
      <c r="B1036" s="19">
        <v>44863</v>
      </c>
      <c r="C1036" s="24" t="str">
        <f t="shared" si="106"/>
        <v>29 October 2022</v>
      </c>
      <c r="D1036" s="21">
        <f t="shared" si="107"/>
        <v>10</v>
      </c>
      <c r="E1036" s="21" t="str">
        <f t="shared" si="108"/>
        <v>October</v>
      </c>
      <c r="F1036" s="22">
        <f t="shared" si="109"/>
        <v>2022</v>
      </c>
      <c r="G1036" s="23" t="str">
        <f t="shared" si="110"/>
        <v>2022-10</v>
      </c>
    </row>
    <row r="1037" spans="1:7" x14ac:dyDescent="0.3">
      <c r="A1037" s="18">
        <f t="shared" si="111"/>
        <v>20221030</v>
      </c>
      <c r="B1037" s="19">
        <v>44864</v>
      </c>
      <c r="C1037" s="24" t="str">
        <f t="shared" si="106"/>
        <v>30 October 2022</v>
      </c>
      <c r="D1037" s="21">
        <f t="shared" si="107"/>
        <v>10</v>
      </c>
      <c r="E1037" s="21" t="str">
        <f t="shared" si="108"/>
        <v>October</v>
      </c>
      <c r="F1037" s="22">
        <f t="shared" si="109"/>
        <v>2022</v>
      </c>
      <c r="G1037" s="23" t="str">
        <f t="shared" si="110"/>
        <v>2022-10</v>
      </c>
    </row>
    <row r="1038" spans="1:7" x14ac:dyDescent="0.3">
      <c r="A1038" s="18">
        <f t="shared" si="111"/>
        <v>20221031</v>
      </c>
      <c r="B1038" s="19">
        <v>44865</v>
      </c>
      <c r="C1038" s="24" t="str">
        <f t="shared" si="106"/>
        <v>31 October 2022</v>
      </c>
      <c r="D1038" s="21">
        <f t="shared" si="107"/>
        <v>10</v>
      </c>
      <c r="E1038" s="21" t="str">
        <f t="shared" si="108"/>
        <v>October</v>
      </c>
      <c r="F1038" s="22">
        <f t="shared" si="109"/>
        <v>2022</v>
      </c>
      <c r="G1038" s="23" t="str">
        <f t="shared" si="110"/>
        <v>2022-10</v>
      </c>
    </row>
    <row r="1039" spans="1:7" x14ac:dyDescent="0.3">
      <c r="A1039" s="18">
        <f t="shared" si="111"/>
        <v>20221101</v>
      </c>
      <c r="B1039" s="19">
        <v>44866</v>
      </c>
      <c r="C1039" s="24" t="str">
        <f t="shared" si="106"/>
        <v>01 November 2022</v>
      </c>
      <c r="D1039" s="21">
        <f t="shared" si="107"/>
        <v>11</v>
      </c>
      <c r="E1039" s="21" t="str">
        <f t="shared" si="108"/>
        <v>November</v>
      </c>
      <c r="F1039" s="22">
        <f t="shared" si="109"/>
        <v>2022</v>
      </c>
      <c r="G1039" s="23" t="str">
        <f t="shared" si="110"/>
        <v>2022-11</v>
      </c>
    </row>
    <row r="1040" spans="1:7" x14ac:dyDescent="0.3">
      <c r="A1040" s="18">
        <f t="shared" si="111"/>
        <v>20221102</v>
      </c>
      <c r="B1040" s="19">
        <v>44867</v>
      </c>
      <c r="C1040" s="24" t="str">
        <f t="shared" si="106"/>
        <v>02 November 2022</v>
      </c>
      <c r="D1040" s="21">
        <f t="shared" si="107"/>
        <v>11</v>
      </c>
      <c r="E1040" s="21" t="str">
        <f t="shared" si="108"/>
        <v>November</v>
      </c>
      <c r="F1040" s="22">
        <f t="shared" si="109"/>
        <v>2022</v>
      </c>
      <c r="G1040" s="23" t="str">
        <f t="shared" si="110"/>
        <v>2022-11</v>
      </c>
    </row>
    <row r="1041" spans="1:7" x14ac:dyDescent="0.3">
      <c r="A1041" s="18">
        <f t="shared" si="111"/>
        <v>20221103</v>
      </c>
      <c r="B1041" s="19">
        <v>44868</v>
      </c>
      <c r="C1041" s="24" t="str">
        <f t="shared" si="106"/>
        <v>03 November 2022</v>
      </c>
      <c r="D1041" s="21">
        <f t="shared" si="107"/>
        <v>11</v>
      </c>
      <c r="E1041" s="21" t="str">
        <f t="shared" si="108"/>
        <v>November</v>
      </c>
      <c r="F1041" s="22">
        <f t="shared" si="109"/>
        <v>2022</v>
      </c>
      <c r="G1041" s="23" t="str">
        <f t="shared" si="110"/>
        <v>2022-11</v>
      </c>
    </row>
    <row r="1042" spans="1:7" x14ac:dyDescent="0.3">
      <c r="A1042" s="18">
        <f t="shared" si="111"/>
        <v>20221104</v>
      </c>
      <c r="B1042" s="19">
        <v>44869</v>
      </c>
      <c r="C1042" s="24" t="str">
        <f t="shared" si="106"/>
        <v>04 November 2022</v>
      </c>
      <c r="D1042" s="21">
        <f t="shared" si="107"/>
        <v>11</v>
      </c>
      <c r="E1042" s="21" t="str">
        <f t="shared" si="108"/>
        <v>November</v>
      </c>
      <c r="F1042" s="22">
        <f t="shared" si="109"/>
        <v>2022</v>
      </c>
      <c r="G1042" s="23" t="str">
        <f t="shared" si="110"/>
        <v>2022-11</v>
      </c>
    </row>
    <row r="1043" spans="1:7" x14ac:dyDescent="0.3">
      <c r="A1043" s="18">
        <f t="shared" si="111"/>
        <v>20221105</v>
      </c>
      <c r="B1043" s="19">
        <v>44870</v>
      </c>
      <c r="C1043" s="24" t="str">
        <f t="shared" si="106"/>
        <v>05 November 2022</v>
      </c>
      <c r="D1043" s="21">
        <f t="shared" si="107"/>
        <v>11</v>
      </c>
      <c r="E1043" s="21" t="str">
        <f t="shared" si="108"/>
        <v>November</v>
      </c>
      <c r="F1043" s="22">
        <f t="shared" si="109"/>
        <v>2022</v>
      </c>
      <c r="G1043" s="23" t="str">
        <f t="shared" si="110"/>
        <v>2022-11</v>
      </c>
    </row>
    <row r="1044" spans="1:7" x14ac:dyDescent="0.3">
      <c r="A1044" s="18">
        <f t="shared" si="111"/>
        <v>20221106</v>
      </c>
      <c r="B1044" s="19">
        <v>44871</v>
      </c>
      <c r="C1044" s="24" t="str">
        <f t="shared" si="106"/>
        <v>06 November 2022</v>
      </c>
      <c r="D1044" s="21">
        <f t="shared" si="107"/>
        <v>11</v>
      </c>
      <c r="E1044" s="21" t="str">
        <f t="shared" si="108"/>
        <v>November</v>
      </c>
      <c r="F1044" s="22">
        <f t="shared" si="109"/>
        <v>2022</v>
      </c>
      <c r="G1044" s="23" t="str">
        <f t="shared" si="110"/>
        <v>2022-11</v>
      </c>
    </row>
    <row r="1045" spans="1:7" x14ac:dyDescent="0.3">
      <c r="A1045" s="18">
        <f t="shared" si="111"/>
        <v>20221107</v>
      </c>
      <c r="B1045" s="19">
        <v>44872</v>
      </c>
      <c r="C1045" s="24" t="str">
        <f t="shared" si="106"/>
        <v>07 November 2022</v>
      </c>
      <c r="D1045" s="21">
        <f t="shared" si="107"/>
        <v>11</v>
      </c>
      <c r="E1045" s="21" t="str">
        <f t="shared" si="108"/>
        <v>November</v>
      </c>
      <c r="F1045" s="22">
        <f t="shared" si="109"/>
        <v>2022</v>
      </c>
      <c r="G1045" s="23" t="str">
        <f t="shared" si="110"/>
        <v>2022-11</v>
      </c>
    </row>
    <row r="1046" spans="1:7" x14ac:dyDescent="0.3">
      <c r="A1046" s="18">
        <f t="shared" si="111"/>
        <v>20221108</v>
      </c>
      <c r="B1046" s="19">
        <v>44873</v>
      </c>
      <c r="C1046" s="24" t="str">
        <f t="shared" si="106"/>
        <v>08 November 2022</v>
      </c>
      <c r="D1046" s="21">
        <f t="shared" si="107"/>
        <v>11</v>
      </c>
      <c r="E1046" s="21" t="str">
        <f t="shared" si="108"/>
        <v>November</v>
      </c>
      <c r="F1046" s="22">
        <f t="shared" si="109"/>
        <v>2022</v>
      </c>
      <c r="G1046" s="23" t="str">
        <f t="shared" si="110"/>
        <v>2022-11</v>
      </c>
    </row>
    <row r="1047" spans="1:7" x14ac:dyDescent="0.3">
      <c r="A1047" s="18">
        <f t="shared" si="111"/>
        <v>20221109</v>
      </c>
      <c r="B1047" s="19">
        <v>44874</v>
      </c>
      <c r="C1047" s="24" t="str">
        <f t="shared" si="106"/>
        <v>09 November 2022</v>
      </c>
      <c r="D1047" s="21">
        <f t="shared" si="107"/>
        <v>11</v>
      </c>
      <c r="E1047" s="21" t="str">
        <f t="shared" si="108"/>
        <v>November</v>
      </c>
      <c r="F1047" s="22">
        <f t="shared" si="109"/>
        <v>2022</v>
      </c>
      <c r="G1047" s="23" t="str">
        <f t="shared" si="110"/>
        <v>2022-11</v>
      </c>
    </row>
    <row r="1048" spans="1:7" x14ac:dyDescent="0.3">
      <c r="A1048" s="18">
        <f t="shared" si="111"/>
        <v>20221110</v>
      </c>
      <c r="B1048" s="19">
        <v>44875</v>
      </c>
      <c r="C1048" s="24" t="str">
        <f t="shared" si="106"/>
        <v>10 November 2022</v>
      </c>
      <c r="D1048" s="21">
        <f t="shared" si="107"/>
        <v>11</v>
      </c>
      <c r="E1048" s="21" t="str">
        <f t="shared" si="108"/>
        <v>November</v>
      </c>
      <c r="F1048" s="22">
        <f t="shared" si="109"/>
        <v>2022</v>
      </c>
      <c r="G1048" s="23" t="str">
        <f t="shared" si="110"/>
        <v>2022-11</v>
      </c>
    </row>
    <row r="1049" spans="1:7" x14ac:dyDescent="0.3">
      <c r="A1049" s="18">
        <f t="shared" si="111"/>
        <v>20221111</v>
      </c>
      <c r="B1049" s="19">
        <v>44876</v>
      </c>
      <c r="C1049" s="24" t="str">
        <f t="shared" si="106"/>
        <v>11 November 2022</v>
      </c>
      <c r="D1049" s="21">
        <f t="shared" si="107"/>
        <v>11</v>
      </c>
      <c r="E1049" s="21" t="str">
        <f t="shared" si="108"/>
        <v>November</v>
      </c>
      <c r="F1049" s="22">
        <f t="shared" si="109"/>
        <v>2022</v>
      </c>
      <c r="G1049" s="23" t="str">
        <f t="shared" si="110"/>
        <v>2022-11</v>
      </c>
    </row>
    <row r="1050" spans="1:7" x14ac:dyDescent="0.3">
      <c r="A1050" s="18">
        <f t="shared" si="111"/>
        <v>20221112</v>
      </c>
      <c r="B1050" s="19">
        <v>44877</v>
      </c>
      <c r="C1050" s="24" t="str">
        <f t="shared" si="106"/>
        <v>12 November 2022</v>
      </c>
      <c r="D1050" s="21">
        <f t="shared" si="107"/>
        <v>11</v>
      </c>
      <c r="E1050" s="21" t="str">
        <f t="shared" si="108"/>
        <v>November</v>
      </c>
      <c r="F1050" s="22">
        <f t="shared" si="109"/>
        <v>2022</v>
      </c>
      <c r="G1050" s="23" t="str">
        <f t="shared" si="110"/>
        <v>2022-11</v>
      </c>
    </row>
    <row r="1051" spans="1:7" x14ac:dyDescent="0.3">
      <c r="A1051" s="18">
        <f t="shared" si="111"/>
        <v>20221113</v>
      </c>
      <c r="B1051" s="19">
        <v>44878</v>
      </c>
      <c r="C1051" s="24" t="str">
        <f t="shared" si="106"/>
        <v>13 November 2022</v>
      </c>
      <c r="D1051" s="21">
        <f t="shared" si="107"/>
        <v>11</v>
      </c>
      <c r="E1051" s="21" t="str">
        <f t="shared" si="108"/>
        <v>November</v>
      </c>
      <c r="F1051" s="22">
        <f t="shared" si="109"/>
        <v>2022</v>
      </c>
      <c r="G1051" s="23" t="str">
        <f t="shared" si="110"/>
        <v>2022-11</v>
      </c>
    </row>
    <row r="1052" spans="1:7" x14ac:dyDescent="0.3">
      <c r="A1052" s="18">
        <f t="shared" si="111"/>
        <v>20221114</v>
      </c>
      <c r="B1052" s="19">
        <v>44879</v>
      </c>
      <c r="C1052" s="24" t="str">
        <f t="shared" si="106"/>
        <v>14 November 2022</v>
      </c>
      <c r="D1052" s="21">
        <f t="shared" si="107"/>
        <v>11</v>
      </c>
      <c r="E1052" s="21" t="str">
        <f t="shared" si="108"/>
        <v>November</v>
      </c>
      <c r="F1052" s="22">
        <f t="shared" si="109"/>
        <v>2022</v>
      </c>
      <c r="G1052" s="23" t="str">
        <f t="shared" si="110"/>
        <v>2022-11</v>
      </c>
    </row>
    <row r="1053" spans="1:7" x14ac:dyDescent="0.3">
      <c r="A1053" s="18">
        <f t="shared" si="111"/>
        <v>20221115</v>
      </c>
      <c r="B1053" s="19">
        <v>44880</v>
      </c>
      <c r="C1053" s="24" t="str">
        <f t="shared" si="106"/>
        <v>15 November 2022</v>
      </c>
      <c r="D1053" s="21">
        <f t="shared" si="107"/>
        <v>11</v>
      </c>
      <c r="E1053" s="21" t="str">
        <f t="shared" si="108"/>
        <v>November</v>
      </c>
      <c r="F1053" s="22">
        <f t="shared" si="109"/>
        <v>2022</v>
      </c>
      <c r="G1053" s="23" t="str">
        <f t="shared" si="110"/>
        <v>2022-11</v>
      </c>
    </row>
    <row r="1054" spans="1:7" x14ac:dyDescent="0.3">
      <c r="A1054" s="18">
        <f t="shared" si="111"/>
        <v>20221116</v>
      </c>
      <c r="B1054" s="19">
        <v>44881</v>
      </c>
      <c r="C1054" s="24" t="str">
        <f t="shared" si="106"/>
        <v>16 November 2022</v>
      </c>
      <c r="D1054" s="21">
        <f t="shared" si="107"/>
        <v>11</v>
      </c>
      <c r="E1054" s="21" t="str">
        <f t="shared" si="108"/>
        <v>November</v>
      </c>
      <c r="F1054" s="22">
        <f t="shared" si="109"/>
        <v>2022</v>
      </c>
      <c r="G1054" s="23" t="str">
        <f t="shared" si="110"/>
        <v>2022-11</v>
      </c>
    </row>
    <row r="1055" spans="1:7" x14ac:dyDescent="0.3">
      <c r="A1055" s="18">
        <f t="shared" si="111"/>
        <v>20221117</v>
      </c>
      <c r="B1055" s="19">
        <v>44882</v>
      </c>
      <c r="C1055" s="24" t="str">
        <f t="shared" si="106"/>
        <v>17 November 2022</v>
      </c>
      <c r="D1055" s="21">
        <f t="shared" si="107"/>
        <v>11</v>
      </c>
      <c r="E1055" s="21" t="str">
        <f t="shared" si="108"/>
        <v>November</v>
      </c>
      <c r="F1055" s="22">
        <f t="shared" si="109"/>
        <v>2022</v>
      </c>
      <c r="G1055" s="23" t="str">
        <f t="shared" si="110"/>
        <v>2022-11</v>
      </c>
    </row>
    <row r="1056" spans="1:7" x14ac:dyDescent="0.3">
      <c r="A1056" s="18">
        <f t="shared" si="111"/>
        <v>20221118</v>
      </c>
      <c r="B1056" s="19">
        <v>44883</v>
      </c>
      <c r="C1056" s="24" t="str">
        <f t="shared" si="106"/>
        <v>18 November 2022</v>
      </c>
      <c r="D1056" s="21">
        <f t="shared" si="107"/>
        <v>11</v>
      </c>
      <c r="E1056" s="21" t="str">
        <f t="shared" si="108"/>
        <v>November</v>
      </c>
      <c r="F1056" s="22">
        <f t="shared" si="109"/>
        <v>2022</v>
      </c>
      <c r="G1056" s="23" t="str">
        <f t="shared" si="110"/>
        <v>2022-11</v>
      </c>
    </row>
    <row r="1057" spans="1:7" x14ac:dyDescent="0.3">
      <c r="A1057" s="18">
        <f t="shared" si="111"/>
        <v>20221119</v>
      </c>
      <c r="B1057" s="19">
        <v>44884</v>
      </c>
      <c r="C1057" s="24" t="str">
        <f t="shared" ref="C1057:C1099" si="112">TEXT(B1057,"dd MMMM YYYY")</f>
        <v>19 November 2022</v>
      </c>
      <c r="D1057" s="21">
        <f t="shared" ref="D1057:D1099" si="113">MONTH(B1057)</f>
        <v>11</v>
      </c>
      <c r="E1057" s="21" t="str">
        <f t="shared" ref="E1057:E1099" si="114">TEXT(B1057,"MMMM")</f>
        <v>November</v>
      </c>
      <c r="F1057" s="22">
        <f t="shared" ref="F1057:F1099" si="115">YEAR(B1057)</f>
        <v>2022</v>
      </c>
      <c r="G1057" s="23" t="str">
        <f t="shared" ref="G1057:G1099" si="116">TEXT(B1057,"YYYY-MM")</f>
        <v>2022-11</v>
      </c>
    </row>
    <row r="1058" spans="1:7" x14ac:dyDescent="0.3">
      <c r="A1058" s="18">
        <f t="shared" si="111"/>
        <v>20221120</v>
      </c>
      <c r="B1058" s="19">
        <v>44885</v>
      </c>
      <c r="C1058" s="24" t="str">
        <f t="shared" si="112"/>
        <v>20 November 2022</v>
      </c>
      <c r="D1058" s="21">
        <f t="shared" si="113"/>
        <v>11</v>
      </c>
      <c r="E1058" s="21" t="str">
        <f t="shared" si="114"/>
        <v>November</v>
      </c>
      <c r="F1058" s="22">
        <f t="shared" si="115"/>
        <v>2022</v>
      </c>
      <c r="G1058" s="23" t="str">
        <f t="shared" si="116"/>
        <v>2022-11</v>
      </c>
    </row>
    <row r="1059" spans="1:7" x14ac:dyDescent="0.3">
      <c r="A1059" s="18">
        <f t="shared" si="111"/>
        <v>20221121</v>
      </c>
      <c r="B1059" s="19">
        <v>44886</v>
      </c>
      <c r="C1059" s="24" t="str">
        <f t="shared" si="112"/>
        <v>21 November 2022</v>
      </c>
      <c r="D1059" s="21">
        <f t="shared" si="113"/>
        <v>11</v>
      </c>
      <c r="E1059" s="21" t="str">
        <f t="shared" si="114"/>
        <v>November</v>
      </c>
      <c r="F1059" s="22">
        <f t="shared" si="115"/>
        <v>2022</v>
      </c>
      <c r="G1059" s="23" t="str">
        <f t="shared" si="116"/>
        <v>2022-11</v>
      </c>
    </row>
    <row r="1060" spans="1:7" x14ac:dyDescent="0.3">
      <c r="A1060" s="18">
        <f t="shared" si="111"/>
        <v>20221122</v>
      </c>
      <c r="B1060" s="19">
        <v>44887</v>
      </c>
      <c r="C1060" s="24" t="str">
        <f t="shared" si="112"/>
        <v>22 November 2022</v>
      </c>
      <c r="D1060" s="21">
        <f t="shared" si="113"/>
        <v>11</v>
      </c>
      <c r="E1060" s="21" t="str">
        <f t="shared" si="114"/>
        <v>November</v>
      </c>
      <c r="F1060" s="22">
        <f t="shared" si="115"/>
        <v>2022</v>
      </c>
      <c r="G1060" s="23" t="str">
        <f t="shared" si="116"/>
        <v>2022-11</v>
      </c>
    </row>
    <row r="1061" spans="1:7" x14ac:dyDescent="0.3">
      <c r="A1061" s="18">
        <f t="shared" si="111"/>
        <v>20221123</v>
      </c>
      <c r="B1061" s="19">
        <v>44888</v>
      </c>
      <c r="C1061" s="24" t="str">
        <f t="shared" si="112"/>
        <v>23 November 2022</v>
      </c>
      <c r="D1061" s="21">
        <f t="shared" si="113"/>
        <v>11</v>
      </c>
      <c r="E1061" s="21" t="str">
        <f t="shared" si="114"/>
        <v>November</v>
      </c>
      <c r="F1061" s="22">
        <f t="shared" si="115"/>
        <v>2022</v>
      </c>
      <c r="G1061" s="23" t="str">
        <f t="shared" si="116"/>
        <v>2022-11</v>
      </c>
    </row>
    <row r="1062" spans="1:7" x14ac:dyDescent="0.3">
      <c r="A1062" s="18">
        <f t="shared" si="111"/>
        <v>20221124</v>
      </c>
      <c r="B1062" s="19">
        <v>44889</v>
      </c>
      <c r="C1062" s="24" t="str">
        <f t="shared" si="112"/>
        <v>24 November 2022</v>
      </c>
      <c r="D1062" s="21">
        <f t="shared" si="113"/>
        <v>11</v>
      </c>
      <c r="E1062" s="21" t="str">
        <f t="shared" si="114"/>
        <v>November</v>
      </c>
      <c r="F1062" s="22">
        <f t="shared" si="115"/>
        <v>2022</v>
      </c>
      <c r="G1062" s="23" t="str">
        <f t="shared" si="116"/>
        <v>2022-11</v>
      </c>
    </row>
    <row r="1063" spans="1:7" x14ac:dyDescent="0.3">
      <c r="A1063" s="18">
        <f t="shared" si="111"/>
        <v>20221125</v>
      </c>
      <c r="B1063" s="19">
        <v>44890</v>
      </c>
      <c r="C1063" s="24" t="str">
        <f t="shared" si="112"/>
        <v>25 November 2022</v>
      </c>
      <c r="D1063" s="21">
        <f t="shared" si="113"/>
        <v>11</v>
      </c>
      <c r="E1063" s="21" t="str">
        <f t="shared" si="114"/>
        <v>November</v>
      </c>
      <c r="F1063" s="22">
        <f t="shared" si="115"/>
        <v>2022</v>
      </c>
      <c r="G1063" s="23" t="str">
        <f t="shared" si="116"/>
        <v>2022-11</v>
      </c>
    </row>
    <row r="1064" spans="1:7" x14ac:dyDescent="0.3">
      <c r="A1064" s="18">
        <f t="shared" si="111"/>
        <v>20221126</v>
      </c>
      <c r="B1064" s="19">
        <v>44891</v>
      </c>
      <c r="C1064" s="24" t="str">
        <f t="shared" si="112"/>
        <v>26 November 2022</v>
      </c>
      <c r="D1064" s="21">
        <f t="shared" si="113"/>
        <v>11</v>
      </c>
      <c r="E1064" s="21" t="str">
        <f t="shared" si="114"/>
        <v>November</v>
      </c>
      <c r="F1064" s="22">
        <f t="shared" si="115"/>
        <v>2022</v>
      </c>
      <c r="G1064" s="23" t="str">
        <f t="shared" si="116"/>
        <v>2022-11</v>
      </c>
    </row>
    <row r="1065" spans="1:7" x14ac:dyDescent="0.3">
      <c r="A1065" s="18">
        <f t="shared" si="111"/>
        <v>20221127</v>
      </c>
      <c r="B1065" s="19">
        <v>44892</v>
      </c>
      <c r="C1065" s="24" t="str">
        <f t="shared" si="112"/>
        <v>27 November 2022</v>
      </c>
      <c r="D1065" s="21">
        <f t="shared" si="113"/>
        <v>11</v>
      </c>
      <c r="E1065" s="21" t="str">
        <f t="shared" si="114"/>
        <v>November</v>
      </c>
      <c r="F1065" s="22">
        <f t="shared" si="115"/>
        <v>2022</v>
      </c>
      <c r="G1065" s="23" t="str">
        <f t="shared" si="116"/>
        <v>2022-11</v>
      </c>
    </row>
    <row r="1066" spans="1:7" x14ac:dyDescent="0.3">
      <c r="A1066" s="18">
        <f t="shared" si="111"/>
        <v>20221128</v>
      </c>
      <c r="B1066" s="19">
        <v>44893</v>
      </c>
      <c r="C1066" s="24" t="str">
        <f t="shared" si="112"/>
        <v>28 November 2022</v>
      </c>
      <c r="D1066" s="21">
        <f t="shared" si="113"/>
        <v>11</v>
      </c>
      <c r="E1066" s="21" t="str">
        <f t="shared" si="114"/>
        <v>November</v>
      </c>
      <c r="F1066" s="22">
        <f t="shared" si="115"/>
        <v>2022</v>
      </c>
      <c r="G1066" s="23" t="str">
        <f t="shared" si="116"/>
        <v>2022-11</v>
      </c>
    </row>
    <row r="1067" spans="1:7" x14ac:dyDescent="0.3">
      <c r="A1067" s="18">
        <f t="shared" si="111"/>
        <v>20221129</v>
      </c>
      <c r="B1067" s="19">
        <v>44894</v>
      </c>
      <c r="C1067" s="24" t="str">
        <f t="shared" si="112"/>
        <v>29 November 2022</v>
      </c>
      <c r="D1067" s="21">
        <f t="shared" si="113"/>
        <v>11</v>
      </c>
      <c r="E1067" s="21" t="str">
        <f t="shared" si="114"/>
        <v>November</v>
      </c>
      <c r="F1067" s="22">
        <f t="shared" si="115"/>
        <v>2022</v>
      </c>
      <c r="G1067" s="23" t="str">
        <f t="shared" si="116"/>
        <v>2022-11</v>
      </c>
    </row>
    <row r="1068" spans="1:7" x14ac:dyDescent="0.3">
      <c r="A1068" s="18">
        <f t="shared" si="111"/>
        <v>20221130</v>
      </c>
      <c r="B1068" s="19">
        <v>44895</v>
      </c>
      <c r="C1068" s="24" t="str">
        <f t="shared" si="112"/>
        <v>30 November 2022</v>
      </c>
      <c r="D1068" s="21">
        <f t="shared" si="113"/>
        <v>11</v>
      </c>
      <c r="E1068" s="21" t="str">
        <f t="shared" si="114"/>
        <v>November</v>
      </c>
      <c r="F1068" s="22">
        <f t="shared" si="115"/>
        <v>2022</v>
      </c>
      <c r="G1068" s="23" t="str">
        <f t="shared" si="116"/>
        <v>2022-11</v>
      </c>
    </row>
    <row r="1069" spans="1:7" x14ac:dyDescent="0.3">
      <c r="A1069" s="18">
        <f t="shared" si="111"/>
        <v>20221201</v>
      </c>
      <c r="B1069" s="19">
        <v>44896</v>
      </c>
      <c r="C1069" s="24" t="str">
        <f t="shared" si="112"/>
        <v>01 December 2022</v>
      </c>
      <c r="D1069" s="21">
        <f t="shared" si="113"/>
        <v>12</v>
      </c>
      <c r="E1069" s="21" t="str">
        <f t="shared" si="114"/>
        <v>December</v>
      </c>
      <c r="F1069" s="22">
        <f t="shared" si="115"/>
        <v>2022</v>
      </c>
      <c r="G1069" s="23" t="str">
        <f t="shared" si="116"/>
        <v>2022-12</v>
      </c>
    </row>
    <row r="1070" spans="1:7" x14ac:dyDescent="0.3">
      <c r="A1070" s="18">
        <f t="shared" si="111"/>
        <v>20221202</v>
      </c>
      <c r="B1070" s="19">
        <v>44897</v>
      </c>
      <c r="C1070" s="24" t="str">
        <f t="shared" si="112"/>
        <v>02 December 2022</v>
      </c>
      <c r="D1070" s="21">
        <f t="shared" si="113"/>
        <v>12</v>
      </c>
      <c r="E1070" s="21" t="str">
        <f t="shared" si="114"/>
        <v>December</v>
      </c>
      <c r="F1070" s="22">
        <f t="shared" si="115"/>
        <v>2022</v>
      </c>
      <c r="G1070" s="23" t="str">
        <f t="shared" si="116"/>
        <v>2022-12</v>
      </c>
    </row>
    <row r="1071" spans="1:7" x14ac:dyDescent="0.3">
      <c r="A1071" s="18">
        <f t="shared" si="111"/>
        <v>20221203</v>
      </c>
      <c r="B1071" s="19">
        <v>44898</v>
      </c>
      <c r="C1071" s="24" t="str">
        <f t="shared" si="112"/>
        <v>03 December 2022</v>
      </c>
      <c r="D1071" s="21">
        <f t="shared" si="113"/>
        <v>12</v>
      </c>
      <c r="E1071" s="21" t="str">
        <f t="shared" si="114"/>
        <v>December</v>
      </c>
      <c r="F1071" s="22">
        <f t="shared" si="115"/>
        <v>2022</v>
      </c>
      <c r="G1071" s="23" t="str">
        <f t="shared" si="116"/>
        <v>2022-12</v>
      </c>
    </row>
    <row r="1072" spans="1:7" x14ac:dyDescent="0.3">
      <c r="A1072" s="18">
        <f t="shared" si="111"/>
        <v>20221204</v>
      </c>
      <c r="B1072" s="19">
        <v>44899</v>
      </c>
      <c r="C1072" s="24" t="str">
        <f t="shared" si="112"/>
        <v>04 December 2022</v>
      </c>
      <c r="D1072" s="21">
        <f t="shared" si="113"/>
        <v>12</v>
      </c>
      <c r="E1072" s="21" t="str">
        <f t="shared" si="114"/>
        <v>December</v>
      </c>
      <c r="F1072" s="22">
        <f t="shared" si="115"/>
        <v>2022</v>
      </c>
      <c r="G1072" s="23" t="str">
        <f t="shared" si="116"/>
        <v>2022-12</v>
      </c>
    </row>
    <row r="1073" spans="1:7" x14ac:dyDescent="0.3">
      <c r="A1073" s="18">
        <f t="shared" si="111"/>
        <v>20221205</v>
      </c>
      <c r="B1073" s="19">
        <v>44900</v>
      </c>
      <c r="C1073" s="24" t="str">
        <f t="shared" si="112"/>
        <v>05 December 2022</v>
      </c>
      <c r="D1073" s="21">
        <f t="shared" si="113"/>
        <v>12</v>
      </c>
      <c r="E1073" s="21" t="str">
        <f t="shared" si="114"/>
        <v>December</v>
      </c>
      <c r="F1073" s="22">
        <f t="shared" si="115"/>
        <v>2022</v>
      </c>
      <c r="G1073" s="23" t="str">
        <f t="shared" si="116"/>
        <v>2022-12</v>
      </c>
    </row>
    <row r="1074" spans="1:7" x14ac:dyDescent="0.3">
      <c r="A1074" s="18">
        <f t="shared" si="111"/>
        <v>20221206</v>
      </c>
      <c r="B1074" s="19">
        <v>44901</v>
      </c>
      <c r="C1074" s="24" t="str">
        <f t="shared" si="112"/>
        <v>06 December 2022</v>
      </c>
      <c r="D1074" s="21">
        <f t="shared" si="113"/>
        <v>12</v>
      </c>
      <c r="E1074" s="21" t="str">
        <f t="shared" si="114"/>
        <v>December</v>
      </c>
      <c r="F1074" s="22">
        <f t="shared" si="115"/>
        <v>2022</v>
      </c>
      <c r="G1074" s="23" t="str">
        <f t="shared" si="116"/>
        <v>2022-12</v>
      </c>
    </row>
    <row r="1075" spans="1:7" x14ac:dyDescent="0.3">
      <c r="A1075" s="18">
        <f t="shared" si="111"/>
        <v>20221207</v>
      </c>
      <c r="B1075" s="19">
        <v>44902</v>
      </c>
      <c r="C1075" s="24" t="str">
        <f t="shared" si="112"/>
        <v>07 December 2022</v>
      </c>
      <c r="D1075" s="21">
        <f t="shared" si="113"/>
        <v>12</v>
      </c>
      <c r="E1075" s="21" t="str">
        <f t="shared" si="114"/>
        <v>December</v>
      </c>
      <c r="F1075" s="22">
        <f t="shared" si="115"/>
        <v>2022</v>
      </c>
      <c r="G1075" s="23" t="str">
        <f t="shared" si="116"/>
        <v>2022-12</v>
      </c>
    </row>
    <row r="1076" spans="1:7" x14ac:dyDescent="0.3">
      <c r="A1076" s="18">
        <f t="shared" si="111"/>
        <v>20221208</v>
      </c>
      <c r="B1076" s="19">
        <v>44903</v>
      </c>
      <c r="C1076" s="24" t="str">
        <f t="shared" si="112"/>
        <v>08 December 2022</v>
      </c>
      <c r="D1076" s="21">
        <f t="shared" si="113"/>
        <v>12</v>
      </c>
      <c r="E1076" s="21" t="str">
        <f t="shared" si="114"/>
        <v>December</v>
      </c>
      <c r="F1076" s="22">
        <f t="shared" si="115"/>
        <v>2022</v>
      </c>
      <c r="G1076" s="23" t="str">
        <f t="shared" si="116"/>
        <v>2022-12</v>
      </c>
    </row>
    <row r="1077" spans="1:7" x14ac:dyDescent="0.3">
      <c r="A1077" s="18">
        <f t="shared" si="111"/>
        <v>20221209</v>
      </c>
      <c r="B1077" s="19">
        <v>44904</v>
      </c>
      <c r="C1077" s="24" t="str">
        <f t="shared" si="112"/>
        <v>09 December 2022</v>
      </c>
      <c r="D1077" s="21">
        <f t="shared" si="113"/>
        <v>12</v>
      </c>
      <c r="E1077" s="21" t="str">
        <f t="shared" si="114"/>
        <v>December</v>
      </c>
      <c r="F1077" s="22">
        <f t="shared" si="115"/>
        <v>2022</v>
      </c>
      <c r="G1077" s="23" t="str">
        <f t="shared" si="116"/>
        <v>2022-12</v>
      </c>
    </row>
    <row r="1078" spans="1:7" x14ac:dyDescent="0.3">
      <c r="A1078" s="18">
        <f t="shared" si="111"/>
        <v>20221210</v>
      </c>
      <c r="B1078" s="19">
        <v>44905</v>
      </c>
      <c r="C1078" s="24" t="str">
        <f t="shared" si="112"/>
        <v>10 December 2022</v>
      </c>
      <c r="D1078" s="21">
        <f t="shared" si="113"/>
        <v>12</v>
      </c>
      <c r="E1078" s="21" t="str">
        <f t="shared" si="114"/>
        <v>December</v>
      </c>
      <c r="F1078" s="22">
        <f t="shared" si="115"/>
        <v>2022</v>
      </c>
      <c r="G1078" s="23" t="str">
        <f t="shared" si="116"/>
        <v>2022-12</v>
      </c>
    </row>
    <row r="1079" spans="1:7" x14ac:dyDescent="0.3">
      <c r="A1079" s="18">
        <f t="shared" si="111"/>
        <v>20221211</v>
      </c>
      <c r="B1079" s="19">
        <v>44906</v>
      </c>
      <c r="C1079" s="24" t="str">
        <f t="shared" si="112"/>
        <v>11 December 2022</v>
      </c>
      <c r="D1079" s="21">
        <f t="shared" si="113"/>
        <v>12</v>
      </c>
      <c r="E1079" s="21" t="str">
        <f t="shared" si="114"/>
        <v>December</v>
      </c>
      <c r="F1079" s="22">
        <f t="shared" si="115"/>
        <v>2022</v>
      </c>
      <c r="G1079" s="23" t="str">
        <f t="shared" si="116"/>
        <v>2022-12</v>
      </c>
    </row>
    <row r="1080" spans="1:7" x14ac:dyDescent="0.3">
      <c r="A1080" s="18">
        <f t="shared" si="111"/>
        <v>20221212</v>
      </c>
      <c r="B1080" s="19">
        <v>44907</v>
      </c>
      <c r="C1080" s="24" t="str">
        <f t="shared" si="112"/>
        <v>12 December 2022</v>
      </c>
      <c r="D1080" s="21">
        <f t="shared" si="113"/>
        <v>12</v>
      </c>
      <c r="E1080" s="21" t="str">
        <f t="shared" si="114"/>
        <v>December</v>
      </c>
      <c r="F1080" s="22">
        <f t="shared" si="115"/>
        <v>2022</v>
      </c>
      <c r="G1080" s="23" t="str">
        <f t="shared" si="116"/>
        <v>2022-12</v>
      </c>
    </row>
    <row r="1081" spans="1:7" x14ac:dyDescent="0.3">
      <c r="A1081" s="18">
        <f t="shared" si="111"/>
        <v>20221213</v>
      </c>
      <c r="B1081" s="19">
        <v>44908</v>
      </c>
      <c r="C1081" s="24" t="str">
        <f t="shared" si="112"/>
        <v>13 December 2022</v>
      </c>
      <c r="D1081" s="21">
        <f t="shared" si="113"/>
        <v>12</v>
      </c>
      <c r="E1081" s="21" t="str">
        <f t="shared" si="114"/>
        <v>December</v>
      </c>
      <c r="F1081" s="22">
        <f t="shared" si="115"/>
        <v>2022</v>
      </c>
      <c r="G1081" s="23" t="str">
        <f t="shared" si="116"/>
        <v>2022-12</v>
      </c>
    </row>
    <row r="1082" spans="1:7" x14ac:dyDescent="0.3">
      <c r="A1082" s="18">
        <f t="shared" si="111"/>
        <v>20221214</v>
      </c>
      <c r="B1082" s="19">
        <v>44909</v>
      </c>
      <c r="C1082" s="24" t="str">
        <f t="shared" si="112"/>
        <v>14 December 2022</v>
      </c>
      <c r="D1082" s="21">
        <f t="shared" si="113"/>
        <v>12</v>
      </c>
      <c r="E1082" s="21" t="str">
        <f t="shared" si="114"/>
        <v>December</v>
      </c>
      <c r="F1082" s="22">
        <f t="shared" si="115"/>
        <v>2022</v>
      </c>
      <c r="G1082" s="23" t="str">
        <f t="shared" si="116"/>
        <v>2022-12</v>
      </c>
    </row>
    <row r="1083" spans="1:7" x14ac:dyDescent="0.3">
      <c r="A1083" s="18">
        <f t="shared" si="111"/>
        <v>20221215</v>
      </c>
      <c r="B1083" s="19">
        <v>44910</v>
      </c>
      <c r="C1083" s="24" t="str">
        <f t="shared" si="112"/>
        <v>15 December 2022</v>
      </c>
      <c r="D1083" s="21">
        <f t="shared" si="113"/>
        <v>12</v>
      </c>
      <c r="E1083" s="21" t="str">
        <f t="shared" si="114"/>
        <v>December</v>
      </c>
      <c r="F1083" s="22">
        <f t="shared" si="115"/>
        <v>2022</v>
      </c>
      <c r="G1083" s="23" t="str">
        <f t="shared" si="116"/>
        <v>2022-12</v>
      </c>
    </row>
    <row r="1084" spans="1:7" x14ac:dyDescent="0.3">
      <c r="A1084" s="18">
        <f t="shared" si="111"/>
        <v>20221216</v>
      </c>
      <c r="B1084" s="19">
        <v>44911</v>
      </c>
      <c r="C1084" s="24" t="str">
        <f t="shared" si="112"/>
        <v>16 December 2022</v>
      </c>
      <c r="D1084" s="21">
        <f t="shared" si="113"/>
        <v>12</v>
      </c>
      <c r="E1084" s="21" t="str">
        <f t="shared" si="114"/>
        <v>December</v>
      </c>
      <c r="F1084" s="22">
        <f t="shared" si="115"/>
        <v>2022</v>
      </c>
      <c r="G1084" s="23" t="str">
        <f t="shared" si="116"/>
        <v>2022-12</v>
      </c>
    </row>
    <row r="1085" spans="1:7" x14ac:dyDescent="0.3">
      <c r="A1085" s="18">
        <f t="shared" si="111"/>
        <v>20221217</v>
      </c>
      <c r="B1085" s="19">
        <v>44912</v>
      </c>
      <c r="C1085" s="24" t="str">
        <f t="shared" si="112"/>
        <v>17 December 2022</v>
      </c>
      <c r="D1085" s="21">
        <f t="shared" si="113"/>
        <v>12</v>
      </c>
      <c r="E1085" s="21" t="str">
        <f t="shared" si="114"/>
        <v>December</v>
      </c>
      <c r="F1085" s="22">
        <f t="shared" si="115"/>
        <v>2022</v>
      </c>
      <c r="G1085" s="23" t="str">
        <f t="shared" si="116"/>
        <v>2022-12</v>
      </c>
    </row>
    <row r="1086" spans="1:7" x14ac:dyDescent="0.3">
      <c r="A1086" s="18">
        <f t="shared" ref="A1086:A1099" si="117">YEAR(B1086)*10000+MONTH(B1086)*100+DAY(B1086)</f>
        <v>20221218</v>
      </c>
      <c r="B1086" s="19">
        <v>44913</v>
      </c>
      <c r="C1086" s="24" t="str">
        <f t="shared" si="112"/>
        <v>18 December 2022</v>
      </c>
      <c r="D1086" s="21">
        <f t="shared" si="113"/>
        <v>12</v>
      </c>
      <c r="E1086" s="21" t="str">
        <f t="shared" si="114"/>
        <v>December</v>
      </c>
      <c r="F1086" s="22">
        <f t="shared" si="115"/>
        <v>2022</v>
      </c>
      <c r="G1086" s="23" t="str">
        <f t="shared" si="116"/>
        <v>2022-12</v>
      </c>
    </row>
    <row r="1087" spans="1:7" x14ac:dyDescent="0.3">
      <c r="A1087" s="18">
        <f t="shared" si="117"/>
        <v>20221219</v>
      </c>
      <c r="B1087" s="19">
        <v>44914</v>
      </c>
      <c r="C1087" s="24" t="str">
        <f t="shared" si="112"/>
        <v>19 December 2022</v>
      </c>
      <c r="D1087" s="21">
        <f t="shared" si="113"/>
        <v>12</v>
      </c>
      <c r="E1087" s="21" t="str">
        <f t="shared" si="114"/>
        <v>December</v>
      </c>
      <c r="F1087" s="22">
        <f t="shared" si="115"/>
        <v>2022</v>
      </c>
      <c r="G1087" s="23" t="str">
        <f t="shared" si="116"/>
        <v>2022-12</v>
      </c>
    </row>
    <row r="1088" spans="1:7" x14ac:dyDescent="0.3">
      <c r="A1088" s="18">
        <f t="shared" si="117"/>
        <v>20221220</v>
      </c>
      <c r="B1088" s="19">
        <v>44915</v>
      </c>
      <c r="C1088" s="24" t="str">
        <f t="shared" si="112"/>
        <v>20 December 2022</v>
      </c>
      <c r="D1088" s="21">
        <f t="shared" si="113"/>
        <v>12</v>
      </c>
      <c r="E1088" s="21" t="str">
        <f t="shared" si="114"/>
        <v>December</v>
      </c>
      <c r="F1088" s="22">
        <f t="shared" si="115"/>
        <v>2022</v>
      </c>
      <c r="G1088" s="23" t="str">
        <f t="shared" si="116"/>
        <v>2022-12</v>
      </c>
    </row>
    <row r="1089" spans="1:7" x14ac:dyDescent="0.3">
      <c r="A1089" s="18">
        <f t="shared" si="117"/>
        <v>20221221</v>
      </c>
      <c r="B1089" s="19">
        <v>44916</v>
      </c>
      <c r="C1089" s="24" t="str">
        <f t="shared" si="112"/>
        <v>21 December 2022</v>
      </c>
      <c r="D1089" s="21">
        <f t="shared" si="113"/>
        <v>12</v>
      </c>
      <c r="E1089" s="21" t="str">
        <f t="shared" si="114"/>
        <v>December</v>
      </c>
      <c r="F1089" s="22">
        <f t="shared" si="115"/>
        <v>2022</v>
      </c>
      <c r="G1089" s="23" t="str">
        <f t="shared" si="116"/>
        <v>2022-12</v>
      </c>
    </row>
    <row r="1090" spans="1:7" x14ac:dyDescent="0.3">
      <c r="A1090" s="18">
        <f t="shared" si="117"/>
        <v>20221222</v>
      </c>
      <c r="B1090" s="19">
        <v>44917</v>
      </c>
      <c r="C1090" s="24" t="str">
        <f t="shared" si="112"/>
        <v>22 December 2022</v>
      </c>
      <c r="D1090" s="21">
        <f t="shared" si="113"/>
        <v>12</v>
      </c>
      <c r="E1090" s="21" t="str">
        <f t="shared" si="114"/>
        <v>December</v>
      </c>
      <c r="F1090" s="22">
        <f t="shared" si="115"/>
        <v>2022</v>
      </c>
      <c r="G1090" s="23" t="str">
        <f t="shared" si="116"/>
        <v>2022-12</v>
      </c>
    </row>
    <row r="1091" spans="1:7" x14ac:dyDescent="0.3">
      <c r="A1091" s="18">
        <f t="shared" si="117"/>
        <v>20221223</v>
      </c>
      <c r="B1091" s="19">
        <v>44918</v>
      </c>
      <c r="C1091" s="24" t="str">
        <f t="shared" si="112"/>
        <v>23 December 2022</v>
      </c>
      <c r="D1091" s="21">
        <f t="shared" si="113"/>
        <v>12</v>
      </c>
      <c r="E1091" s="21" t="str">
        <f t="shared" si="114"/>
        <v>December</v>
      </c>
      <c r="F1091" s="22">
        <f t="shared" si="115"/>
        <v>2022</v>
      </c>
      <c r="G1091" s="23" t="str">
        <f t="shared" si="116"/>
        <v>2022-12</v>
      </c>
    </row>
    <row r="1092" spans="1:7" x14ac:dyDescent="0.3">
      <c r="A1092" s="18">
        <f t="shared" si="117"/>
        <v>20221224</v>
      </c>
      <c r="B1092" s="19">
        <v>44919</v>
      </c>
      <c r="C1092" s="24" t="str">
        <f t="shared" si="112"/>
        <v>24 December 2022</v>
      </c>
      <c r="D1092" s="21">
        <f t="shared" si="113"/>
        <v>12</v>
      </c>
      <c r="E1092" s="21" t="str">
        <f t="shared" si="114"/>
        <v>December</v>
      </c>
      <c r="F1092" s="22">
        <f t="shared" si="115"/>
        <v>2022</v>
      </c>
      <c r="G1092" s="23" t="str">
        <f t="shared" si="116"/>
        <v>2022-12</v>
      </c>
    </row>
    <row r="1093" spans="1:7" x14ac:dyDescent="0.3">
      <c r="A1093" s="18">
        <f t="shared" si="117"/>
        <v>20221225</v>
      </c>
      <c r="B1093" s="19">
        <v>44920</v>
      </c>
      <c r="C1093" s="24" t="str">
        <f t="shared" si="112"/>
        <v>25 December 2022</v>
      </c>
      <c r="D1093" s="21">
        <f t="shared" si="113"/>
        <v>12</v>
      </c>
      <c r="E1093" s="21" t="str">
        <f t="shared" si="114"/>
        <v>December</v>
      </c>
      <c r="F1093" s="22">
        <f t="shared" si="115"/>
        <v>2022</v>
      </c>
      <c r="G1093" s="23" t="str">
        <f t="shared" si="116"/>
        <v>2022-12</v>
      </c>
    </row>
    <row r="1094" spans="1:7" x14ac:dyDescent="0.3">
      <c r="A1094" s="18">
        <f t="shared" si="117"/>
        <v>20221226</v>
      </c>
      <c r="B1094" s="19">
        <v>44921</v>
      </c>
      <c r="C1094" s="24" t="str">
        <f t="shared" si="112"/>
        <v>26 December 2022</v>
      </c>
      <c r="D1094" s="21">
        <f t="shared" si="113"/>
        <v>12</v>
      </c>
      <c r="E1094" s="21" t="str">
        <f t="shared" si="114"/>
        <v>December</v>
      </c>
      <c r="F1094" s="22">
        <f t="shared" si="115"/>
        <v>2022</v>
      </c>
      <c r="G1094" s="23" t="str">
        <f t="shared" si="116"/>
        <v>2022-12</v>
      </c>
    </row>
    <row r="1095" spans="1:7" x14ac:dyDescent="0.3">
      <c r="A1095" s="18">
        <f t="shared" si="117"/>
        <v>20221227</v>
      </c>
      <c r="B1095" s="19">
        <v>44922</v>
      </c>
      <c r="C1095" s="24" t="str">
        <f t="shared" si="112"/>
        <v>27 December 2022</v>
      </c>
      <c r="D1095" s="21">
        <f t="shared" si="113"/>
        <v>12</v>
      </c>
      <c r="E1095" s="21" t="str">
        <f t="shared" si="114"/>
        <v>December</v>
      </c>
      <c r="F1095" s="22">
        <f t="shared" si="115"/>
        <v>2022</v>
      </c>
      <c r="G1095" s="23" t="str">
        <f t="shared" si="116"/>
        <v>2022-12</v>
      </c>
    </row>
    <row r="1096" spans="1:7" x14ac:dyDescent="0.3">
      <c r="A1096" s="18">
        <f t="shared" si="117"/>
        <v>20221228</v>
      </c>
      <c r="B1096" s="19">
        <v>44923</v>
      </c>
      <c r="C1096" s="24" t="str">
        <f t="shared" si="112"/>
        <v>28 December 2022</v>
      </c>
      <c r="D1096" s="21">
        <f t="shared" si="113"/>
        <v>12</v>
      </c>
      <c r="E1096" s="21" t="str">
        <f t="shared" si="114"/>
        <v>December</v>
      </c>
      <c r="F1096" s="22">
        <f t="shared" si="115"/>
        <v>2022</v>
      </c>
      <c r="G1096" s="23" t="str">
        <f t="shared" si="116"/>
        <v>2022-12</v>
      </c>
    </row>
    <row r="1097" spans="1:7" x14ac:dyDescent="0.3">
      <c r="A1097" s="18">
        <f t="shared" si="117"/>
        <v>20221229</v>
      </c>
      <c r="B1097" s="19">
        <v>44924</v>
      </c>
      <c r="C1097" s="24" t="str">
        <f t="shared" si="112"/>
        <v>29 December 2022</v>
      </c>
      <c r="D1097" s="21">
        <f t="shared" si="113"/>
        <v>12</v>
      </c>
      <c r="E1097" s="21" t="str">
        <f t="shared" si="114"/>
        <v>December</v>
      </c>
      <c r="F1097" s="22">
        <f t="shared" si="115"/>
        <v>2022</v>
      </c>
      <c r="G1097" s="23" t="str">
        <f t="shared" si="116"/>
        <v>2022-12</v>
      </c>
    </row>
    <row r="1098" spans="1:7" x14ac:dyDescent="0.3">
      <c r="A1098" s="18">
        <f t="shared" si="117"/>
        <v>20221230</v>
      </c>
      <c r="B1098" s="19">
        <v>44925</v>
      </c>
      <c r="C1098" s="24" t="str">
        <f t="shared" si="112"/>
        <v>30 December 2022</v>
      </c>
      <c r="D1098" s="21">
        <f t="shared" si="113"/>
        <v>12</v>
      </c>
      <c r="E1098" s="21" t="str">
        <f t="shared" si="114"/>
        <v>December</v>
      </c>
      <c r="F1098" s="22">
        <f t="shared" si="115"/>
        <v>2022</v>
      </c>
      <c r="G1098" s="23" t="str">
        <f t="shared" si="116"/>
        <v>2022-12</v>
      </c>
    </row>
    <row r="1099" spans="1:7" x14ac:dyDescent="0.3">
      <c r="A1099" s="18">
        <f t="shared" si="117"/>
        <v>20221231</v>
      </c>
      <c r="B1099" s="19">
        <v>44926</v>
      </c>
      <c r="C1099" s="24" t="str">
        <f t="shared" si="112"/>
        <v>31 December 2022</v>
      </c>
      <c r="D1099" s="21">
        <f t="shared" si="113"/>
        <v>12</v>
      </c>
      <c r="E1099" s="21" t="str">
        <f t="shared" si="114"/>
        <v>December</v>
      </c>
      <c r="F1099" s="22">
        <f t="shared" si="115"/>
        <v>2022</v>
      </c>
      <c r="G1099" s="23" t="str">
        <f t="shared" si="116"/>
        <v>2022-12</v>
      </c>
    </row>
    <row r="1100" spans="1:7" x14ac:dyDescent="0.3">
      <c r="A1100" s="18">
        <f t="shared" ref="A1100" si="118">YEAR(B1100)*10000+MONTH(B1100)*100+DAY(B1100)</f>
        <v>99990101</v>
      </c>
      <c r="B1100" s="25">
        <v>2958101</v>
      </c>
      <c r="C1100" s="14" t="s">
        <v>63</v>
      </c>
      <c r="D1100" s="21">
        <f>MONTH(B1100)</f>
        <v>1</v>
      </c>
      <c r="E1100" s="21" t="str">
        <f>TEXT(B1100,"MMMM")</f>
        <v>January</v>
      </c>
      <c r="F1100" s="22">
        <f>YEAR(B1100)</f>
        <v>9999</v>
      </c>
      <c r="G1100" s="23" t="str">
        <f>TEXT(B1100,"YYYY-MM")</f>
        <v>9999-01</v>
      </c>
    </row>
  </sheetData>
  <autoFilter ref="A2:G734" xr:uid="{00000000-0009-0000-0000-00000D000000}"/>
  <hyperlinks>
    <hyperlink ref="A1" location="Index!A1" display="Index" xr:uid="{00000000-0004-0000-0D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I30"/>
  <sheetViews>
    <sheetView zoomScale="96" zoomScaleNormal="96" workbookViewId="0">
      <selection activeCell="C1" sqref="C1"/>
    </sheetView>
  </sheetViews>
  <sheetFormatPr defaultColWidth="20.88671875" defaultRowHeight="14.4" x14ac:dyDescent="0.3"/>
  <cols>
    <col min="1" max="1" width="42.33203125" style="3" customWidth="1"/>
    <col min="2" max="2" width="13.44140625" style="3" bestFit="1" customWidth="1"/>
    <col min="3" max="3" width="41.6640625" style="4" bestFit="1" customWidth="1"/>
    <col min="4" max="4" width="9.88671875" style="3" bestFit="1" customWidth="1"/>
    <col min="5" max="5" width="9.88671875" style="34" bestFit="1" customWidth="1"/>
    <col min="6" max="6" width="13.6640625" style="34" customWidth="1"/>
    <col min="7" max="7" width="13.109375" style="34" customWidth="1"/>
    <col min="8" max="8" width="27.6640625" style="34" bestFit="1" customWidth="1"/>
    <col min="9" max="9" width="40.88671875" style="3" bestFit="1" customWidth="1"/>
    <col min="10" max="10" width="4.33203125" style="3" bestFit="1" customWidth="1"/>
    <col min="11" max="11" width="6.88671875" style="3" bestFit="1" customWidth="1"/>
    <col min="12" max="12" width="5.88671875" style="3" bestFit="1" customWidth="1"/>
    <col min="13" max="13" width="4.44140625" style="3" bestFit="1" customWidth="1"/>
    <col min="14" max="14" width="6.88671875" style="3" bestFit="1" customWidth="1"/>
    <col min="15" max="15" width="2.6640625" style="3" bestFit="1" customWidth="1"/>
    <col min="16" max="16" width="3" style="3" bestFit="1" customWidth="1"/>
    <col min="17" max="18" width="2.6640625" style="3" bestFit="1" customWidth="1"/>
    <col min="19" max="19" width="2" style="3" bestFit="1" customWidth="1"/>
    <col min="20" max="20" width="2.6640625" style="3" bestFit="1" customWidth="1"/>
    <col min="21" max="22" width="10.6640625" style="3" bestFit="1" customWidth="1"/>
    <col min="23" max="23" width="2" style="3" bestFit="1" customWidth="1"/>
    <col min="24" max="24" width="6.109375" style="3" bestFit="1" customWidth="1"/>
    <col min="25" max="16384" width="20.88671875" style="3"/>
  </cols>
  <sheetData>
    <row r="1" spans="1:9" x14ac:dyDescent="0.3">
      <c r="A1" s="5" t="s">
        <v>5</v>
      </c>
      <c r="E1" s="84"/>
      <c r="F1" s="84"/>
      <c r="G1" s="84"/>
      <c r="H1" s="84"/>
    </row>
    <row r="2" spans="1:9" x14ac:dyDescent="0.3">
      <c r="A2" s="6" t="s">
        <v>128</v>
      </c>
      <c r="B2" s="6" t="s">
        <v>122</v>
      </c>
      <c r="C2" s="2" t="s">
        <v>129</v>
      </c>
    </row>
    <row r="3" spans="1:9" x14ac:dyDescent="0.3">
      <c r="A3" s="6" t="s">
        <v>45</v>
      </c>
      <c r="B3" s="130" t="s">
        <v>236</v>
      </c>
      <c r="C3" s="130"/>
      <c r="D3" s="130"/>
      <c r="E3" s="130"/>
      <c r="F3" s="130"/>
      <c r="G3" s="130"/>
      <c r="H3" s="130"/>
      <c r="I3" s="130"/>
    </row>
    <row r="5" spans="1:9" ht="33.75" customHeight="1" x14ac:dyDescent="0.3">
      <c r="A5" s="35" t="s">
        <v>15</v>
      </c>
      <c r="B5" s="35" t="s">
        <v>16</v>
      </c>
      <c r="C5" s="35" t="s">
        <v>7</v>
      </c>
      <c r="D5" s="35" t="s">
        <v>47</v>
      </c>
      <c r="E5" s="35" t="s">
        <v>49</v>
      </c>
      <c r="F5" s="35" t="s">
        <v>50</v>
      </c>
      <c r="G5" s="35" t="s">
        <v>51</v>
      </c>
      <c r="H5" s="35" t="s">
        <v>567</v>
      </c>
      <c r="I5" s="35" t="s">
        <v>52</v>
      </c>
    </row>
    <row r="6" spans="1:9" x14ac:dyDescent="0.3">
      <c r="A6" s="3" t="s">
        <v>237</v>
      </c>
      <c r="B6" s="4" t="s">
        <v>20</v>
      </c>
      <c r="C6" s="4" t="s">
        <v>54</v>
      </c>
      <c r="D6" s="3" t="s">
        <v>55</v>
      </c>
      <c r="E6" s="34" t="s">
        <v>56</v>
      </c>
      <c r="F6" s="36"/>
      <c r="G6" s="36"/>
      <c r="H6" s="75">
        <v>341</v>
      </c>
    </row>
    <row r="7" spans="1:9" s="6" customFormat="1" x14ac:dyDescent="0.3">
      <c r="A7" s="104" t="s">
        <v>130</v>
      </c>
      <c r="B7" s="105" t="s">
        <v>66</v>
      </c>
      <c r="C7" s="105" t="s">
        <v>131</v>
      </c>
      <c r="D7" s="104" t="s">
        <v>132</v>
      </c>
      <c r="E7" s="106" t="s">
        <v>56</v>
      </c>
      <c r="F7" s="107"/>
      <c r="G7" s="107"/>
      <c r="H7" s="106" t="s">
        <v>403</v>
      </c>
      <c r="I7" s="104"/>
    </row>
    <row r="8" spans="1:9" s="45" customFormat="1" ht="28.8" x14ac:dyDescent="0.3">
      <c r="A8" s="45" t="s">
        <v>398</v>
      </c>
      <c r="B8" s="4" t="s">
        <v>61</v>
      </c>
      <c r="C8" s="46" t="s">
        <v>239</v>
      </c>
      <c r="E8" s="58">
        <v>1</v>
      </c>
      <c r="F8" s="47"/>
      <c r="G8" s="47"/>
      <c r="H8" s="75" t="s">
        <v>328</v>
      </c>
    </row>
    <row r="9" spans="1:9" s="45" customFormat="1" x14ac:dyDescent="0.3">
      <c r="A9" s="45" t="s">
        <v>238</v>
      </c>
      <c r="B9" s="4" t="s">
        <v>61</v>
      </c>
      <c r="C9" s="46"/>
      <c r="E9" s="79">
        <v>2</v>
      </c>
      <c r="F9" s="47"/>
      <c r="G9" s="47"/>
      <c r="H9" s="75" t="s">
        <v>328</v>
      </c>
    </row>
    <row r="10" spans="1:9" s="45" customFormat="1" x14ac:dyDescent="0.3">
      <c r="A10" s="45" t="s">
        <v>240</v>
      </c>
      <c r="B10" s="4" t="s">
        <v>61</v>
      </c>
      <c r="C10" s="46" t="s">
        <v>241</v>
      </c>
      <c r="E10" s="79">
        <v>2</v>
      </c>
      <c r="F10" s="47"/>
      <c r="G10" s="47"/>
      <c r="H10" s="75" t="s">
        <v>328</v>
      </c>
    </row>
    <row r="11" spans="1:9" s="45" customFormat="1" ht="43.2" x14ac:dyDescent="0.3">
      <c r="A11" s="45" t="s">
        <v>399</v>
      </c>
      <c r="B11" s="4" t="s">
        <v>335</v>
      </c>
      <c r="C11" s="46" t="s">
        <v>333</v>
      </c>
      <c r="E11" s="58">
        <v>1</v>
      </c>
      <c r="F11" s="47"/>
      <c r="G11" s="47"/>
      <c r="H11" s="75" t="s">
        <v>404</v>
      </c>
      <c r="I11" s="46" t="s">
        <v>334</v>
      </c>
    </row>
    <row r="12" spans="1:9" s="45" customFormat="1" ht="43.2" x14ac:dyDescent="0.3">
      <c r="A12" s="45" t="s">
        <v>134</v>
      </c>
      <c r="B12" s="4" t="s">
        <v>335</v>
      </c>
      <c r="C12" s="46" t="s">
        <v>333</v>
      </c>
      <c r="E12" s="79">
        <v>2</v>
      </c>
      <c r="F12" s="47"/>
      <c r="G12" s="47"/>
      <c r="H12" s="75" t="s">
        <v>404</v>
      </c>
      <c r="I12" s="46" t="s">
        <v>334</v>
      </c>
    </row>
    <row r="13" spans="1:9" ht="28.8" x14ac:dyDescent="0.3">
      <c r="A13" s="3" t="s">
        <v>136</v>
      </c>
      <c r="B13" s="4" t="s">
        <v>36</v>
      </c>
      <c r="C13" s="4" t="s">
        <v>137</v>
      </c>
      <c r="E13" s="79">
        <v>2</v>
      </c>
      <c r="G13" s="40"/>
      <c r="H13" s="75" t="s">
        <v>405</v>
      </c>
      <c r="I13" s="4" t="s">
        <v>336</v>
      </c>
    </row>
    <row r="14" spans="1:9" s="45" customFormat="1" ht="28.8" x14ac:dyDescent="0.3">
      <c r="A14" s="45" t="s">
        <v>242</v>
      </c>
      <c r="B14" s="4" t="s">
        <v>61</v>
      </c>
      <c r="C14" s="46" t="s">
        <v>243</v>
      </c>
      <c r="E14" s="79">
        <v>2</v>
      </c>
      <c r="F14" s="47"/>
      <c r="G14" s="47"/>
      <c r="H14" s="75" t="s">
        <v>406</v>
      </c>
    </row>
    <row r="15" spans="1:9" s="45" customFormat="1" x14ac:dyDescent="0.3">
      <c r="A15" s="45" t="s">
        <v>244</v>
      </c>
      <c r="B15" s="4" t="s">
        <v>61</v>
      </c>
      <c r="C15" s="46" t="s">
        <v>245</v>
      </c>
      <c r="E15" s="79">
        <v>2</v>
      </c>
      <c r="F15" s="47"/>
      <c r="G15" s="47"/>
      <c r="H15" s="75" t="s">
        <v>407</v>
      </c>
    </row>
    <row r="16" spans="1:9" s="45" customFormat="1" x14ac:dyDescent="0.3">
      <c r="A16" s="45" t="s">
        <v>332</v>
      </c>
      <c r="B16" s="4" t="s">
        <v>61</v>
      </c>
      <c r="C16" s="46" t="s">
        <v>246</v>
      </c>
      <c r="E16" s="79">
        <v>2</v>
      </c>
      <c r="F16" s="47"/>
      <c r="G16" s="47"/>
      <c r="H16" s="75" t="s">
        <v>289</v>
      </c>
    </row>
    <row r="17" spans="1:9" s="45" customFormat="1" ht="43.2" x14ac:dyDescent="0.3">
      <c r="A17" s="45" t="s">
        <v>248</v>
      </c>
      <c r="B17" s="4" t="s">
        <v>61</v>
      </c>
      <c r="C17" s="2" t="s">
        <v>247</v>
      </c>
      <c r="E17" s="40" t="s">
        <v>133</v>
      </c>
      <c r="F17" s="47"/>
      <c r="G17" s="47"/>
      <c r="H17" s="75" t="s">
        <v>408</v>
      </c>
    </row>
    <row r="18" spans="1:9" s="45" customFormat="1" ht="43.2" x14ac:dyDescent="0.3">
      <c r="A18" s="45" t="s">
        <v>249</v>
      </c>
      <c r="B18" s="4" t="s">
        <v>250</v>
      </c>
      <c r="C18" s="46" t="s">
        <v>251</v>
      </c>
      <c r="E18" s="40" t="s">
        <v>133</v>
      </c>
      <c r="F18" s="47"/>
      <c r="G18" s="47"/>
      <c r="H18" s="75" t="s">
        <v>226</v>
      </c>
    </row>
    <row r="19" spans="1:9" s="45" customFormat="1" x14ac:dyDescent="0.3">
      <c r="A19" s="45" t="s">
        <v>252</v>
      </c>
      <c r="B19" s="4" t="s">
        <v>61</v>
      </c>
      <c r="C19" s="46" t="s">
        <v>253</v>
      </c>
      <c r="E19" s="40" t="s">
        <v>133</v>
      </c>
      <c r="F19" s="47"/>
      <c r="G19" s="47"/>
      <c r="H19" s="75" t="s">
        <v>289</v>
      </c>
    </row>
    <row r="20" spans="1:9" s="45" customFormat="1" x14ac:dyDescent="0.3">
      <c r="A20" t="s">
        <v>337</v>
      </c>
      <c r="B20" t="s">
        <v>301</v>
      </c>
      <c r="C20" s="2" t="s">
        <v>302</v>
      </c>
      <c r="E20" s="40" t="s">
        <v>133</v>
      </c>
      <c r="F20" s="47"/>
      <c r="G20" s="47"/>
      <c r="H20" s="75">
        <v>-1</v>
      </c>
    </row>
    <row r="21" spans="1:9" s="45" customFormat="1" x14ac:dyDescent="0.3">
      <c r="A21" t="s">
        <v>338</v>
      </c>
      <c r="B21" t="s">
        <v>301</v>
      </c>
      <c r="C21" s="2" t="s">
        <v>304</v>
      </c>
      <c r="E21" s="40" t="s">
        <v>133</v>
      </c>
      <c r="F21" s="47"/>
      <c r="G21" s="47"/>
      <c r="H21" s="75">
        <v>30</v>
      </c>
    </row>
    <row r="22" spans="1:9" s="45" customFormat="1" x14ac:dyDescent="0.3">
      <c r="A22" t="s">
        <v>339</v>
      </c>
      <c r="B22" t="s">
        <v>301</v>
      </c>
      <c r="C22" s="2" t="s">
        <v>306</v>
      </c>
      <c r="E22" s="40" t="s">
        <v>133</v>
      </c>
      <c r="F22" s="47"/>
      <c r="G22" s="47"/>
      <c r="H22" s="75">
        <v>-1</v>
      </c>
    </row>
    <row r="23" spans="1:9" s="45" customFormat="1" x14ac:dyDescent="0.3">
      <c r="A23" t="s">
        <v>342</v>
      </c>
      <c r="B23" t="s">
        <v>301</v>
      </c>
      <c r="C23" s="2" t="s">
        <v>308</v>
      </c>
      <c r="E23" s="40" t="s">
        <v>133</v>
      </c>
      <c r="F23" s="47"/>
      <c r="G23" s="47"/>
      <c r="H23" s="75">
        <v>-1</v>
      </c>
    </row>
    <row r="24" spans="1:9" s="45" customFormat="1" x14ac:dyDescent="0.3">
      <c r="A24" t="s">
        <v>343</v>
      </c>
      <c r="B24" t="s">
        <v>301</v>
      </c>
      <c r="C24" s="2" t="s">
        <v>310</v>
      </c>
      <c r="E24" s="40" t="s">
        <v>133</v>
      </c>
      <c r="F24" s="47"/>
      <c r="G24" s="47"/>
      <c r="H24" s="75">
        <v>5</v>
      </c>
    </row>
    <row r="25" spans="1:9" s="45" customFormat="1" ht="28.8" x14ac:dyDescent="0.3">
      <c r="A25" s="45" t="s">
        <v>344</v>
      </c>
      <c r="B25" s="4" t="s">
        <v>66</v>
      </c>
      <c r="C25" s="46" t="s">
        <v>318</v>
      </c>
      <c r="E25" s="40" t="s">
        <v>133</v>
      </c>
      <c r="F25" s="47"/>
      <c r="G25" s="47"/>
      <c r="H25" s="75" t="s">
        <v>409</v>
      </c>
    </row>
    <row r="26" spans="1:9" s="41" customFormat="1" x14ac:dyDescent="0.3">
      <c r="A26" s="41" t="s">
        <v>140</v>
      </c>
      <c r="B26" s="41" t="s">
        <v>57</v>
      </c>
      <c r="C26" s="42" t="s">
        <v>141</v>
      </c>
      <c r="E26" s="43" t="s">
        <v>56</v>
      </c>
      <c r="F26" s="44">
        <v>1</v>
      </c>
      <c r="G26" s="44">
        <v>1</v>
      </c>
      <c r="H26" s="82">
        <v>43101</v>
      </c>
      <c r="I26" s="41" t="s">
        <v>142</v>
      </c>
    </row>
    <row r="27" spans="1:9" s="41" customFormat="1" x14ac:dyDescent="0.3">
      <c r="A27" s="41" t="s">
        <v>143</v>
      </c>
      <c r="B27" s="41" t="s">
        <v>57</v>
      </c>
      <c r="C27" s="42" t="s">
        <v>144</v>
      </c>
      <c r="E27" s="43" t="s">
        <v>56</v>
      </c>
      <c r="F27" s="44">
        <v>401768</v>
      </c>
      <c r="G27" s="44">
        <v>401768</v>
      </c>
      <c r="H27" s="82">
        <v>401404</v>
      </c>
      <c r="I27" s="41" t="s">
        <v>142</v>
      </c>
    </row>
    <row r="28" spans="1:9" s="41" customFormat="1" x14ac:dyDescent="0.3">
      <c r="A28" s="41" t="s">
        <v>145</v>
      </c>
      <c r="B28" s="41" t="s">
        <v>146</v>
      </c>
      <c r="C28" s="42" t="s">
        <v>147</v>
      </c>
      <c r="E28" s="43" t="s">
        <v>56</v>
      </c>
      <c r="F28" s="43">
        <v>1</v>
      </c>
      <c r="G28" s="43">
        <v>1</v>
      </c>
      <c r="H28" s="75">
        <v>1</v>
      </c>
      <c r="I28" s="41" t="s">
        <v>142</v>
      </c>
    </row>
    <row r="29" spans="1:9" s="41" customFormat="1" ht="28.8" x14ac:dyDescent="0.3">
      <c r="A29" s="41" t="s">
        <v>149</v>
      </c>
      <c r="B29" s="41" t="s">
        <v>66</v>
      </c>
      <c r="C29" s="42" t="s">
        <v>150</v>
      </c>
      <c r="E29" s="43" t="s">
        <v>56</v>
      </c>
      <c r="F29" s="43" t="s">
        <v>151</v>
      </c>
      <c r="G29" s="43" t="s">
        <v>151</v>
      </c>
      <c r="H29" s="75" t="s">
        <v>151</v>
      </c>
      <c r="I29" s="41" t="s">
        <v>142</v>
      </c>
    </row>
    <row r="30" spans="1:9" s="41" customFormat="1" x14ac:dyDescent="0.3">
      <c r="A30" s="41" t="s">
        <v>19</v>
      </c>
      <c r="B30" s="41" t="s">
        <v>20</v>
      </c>
      <c r="C30" s="42" t="s">
        <v>148</v>
      </c>
      <c r="D30" s="41" t="s">
        <v>98</v>
      </c>
      <c r="E30" s="43" t="s">
        <v>56</v>
      </c>
      <c r="F30" s="43">
        <v>0</v>
      </c>
      <c r="G30" s="43">
        <v>0</v>
      </c>
      <c r="H30" s="43">
        <v>1</v>
      </c>
      <c r="I30" s="109" t="s">
        <v>574</v>
      </c>
    </row>
  </sheetData>
  <mergeCells count="1">
    <mergeCell ref="B3:I3"/>
  </mergeCells>
  <hyperlinks>
    <hyperlink ref="A1" location="Index!A1" display="Index" xr:uid="{00000000-0004-0000-0E00-000000000000}"/>
    <hyperlink ref="I30" location="'Process Metadata'!A25" display="Import_Batch_Process_Task" xr:uid="{00000000-0004-0000-0E00-000001000000}"/>
  </hyperlinks>
  <pageMargins left="0.7" right="0.7" top="0.75" bottom="0.75" header="0.3" footer="0.3"/>
  <pageSetup paperSize="9" orientation="portrait" horizontalDpi="4294967293" vertic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I18"/>
  <sheetViews>
    <sheetView zoomScaleNormal="100" workbookViewId="0">
      <selection activeCell="B1" sqref="B1"/>
    </sheetView>
  </sheetViews>
  <sheetFormatPr defaultColWidth="20.88671875" defaultRowHeight="14.4" x14ac:dyDescent="0.3"/>
  <cols>
    <col min="1" max="1" width="31.88671875" style="3" customWidth="1"/>
    <col min="2" max="2" width="20.88671875" style="3" bestFit="1" customWidth="1"/>
    <col min="3" max="3" width="42" style="3" customWidth="1"/>
    <col min="4" max="4" width="14.6640625" style="3" customWidth="1"/>
    <col min="5" max="5" width="9.109375" style="75" bestFit="1" customWidth="1"/>
    <col min="6" max="6" width="10.5546875" style="75" customWidth="1"/>
    <col min="7" max="7" width="11.6640625" style="75" customWidth="1"/>
    <col min="8" max="8" width="22.109375" style="75" customWidth="1"/>
    <col min="9" max="9" width="44.6640625" style="3" customWidth="1"/>
    <col min="10" max="16384" width="20.88671875" style="3"/>
  </cols>
  <sheetData>
    <row r="1" spans="1:9" x14ac:dyDescent="0.3">
      <c r="A1" s="5" t="s">
        <v>5</v>
      </c>
      <c r="E1" s="84"/>
      <c r="F1" s="84"/>
      <c r="G1" s="84"/>
      <c r="H1" s="84"/>
    </row>
    <row r="2" spans="1:9" x14ac:dyDescent="0.3">
      <c r="A2" s="6" t="s">
        <v>128</v>
      </c>
      <c r="B2" s="6" t="s">
        <v>400</v>
      </c>
      <c r="C2" t="s">
        <v>129</v>
      </c>
    </row>
    <row r="3" spans="1:9" x14ac:dyDescent="0.3">
      <c r="A3" s="6" t="s">
        <v>45</v>
      </c>
      <c r="B3" s="130" t="s">
        <v>410</v>
      </c>
      <c r="C3" s="130"/>
      <c r="D3" s="130"/>
      <c r="E3" s="130"/>
      <c r="F3" s="130"/>
      <c r="G3" s="130"/>
      <c r="H3" s="130"/>
      <c r="I3" s="130"/>
    </row>
    <row r="5" spans="1:9" ht="28.8" x14ac:dyDescent="0.3">
      <c r="A5" s="35" t="s">
        <v>15</v>
      </c>
      <c r="B5" s="35" t="s">
        <v>16</v>
      </c>
      <c r="C5" s="35" t="s">
        <v>7</v>
      </c>
      <c r="D5" s="35" t="s">
        <v>47</v>
      </c>
      <c r="E5" s="35" t="s">
        <v>49</v>
      </c>
      <c r="F5" s="35" t="s">
        <v>50</v>
      </c>
      <c r="G5" s="35" t="s">
        <v>51</v>
      </c>
      <c r="H5" s="35" t="s">
        <v>567</v>
      </c>
      <c r="I5" s="35" t="s">
        <v>52</v>
      </c>
    </row>
    <row r="6" spans="1:9" x14ac:dyDescent="0.3">
      <c r="A6" s="3" t="s">
        <v>411</v>
      </c>
      <c r="B6" s="4" t="s">
        <v>20</v>
      </c>
      <c r="C6" s="3" t="s">
        <v>54</v>
      </c>
      <c r="D6" s="3" t="s">
        <v>55</v>
      </c>
      <c r="E6" s="75" t="s">
        <v>56</v>
      </c>
      <c r="F6" s="36"/>
      <c r="G6" s="36"/>
      <c r="H6" s="84">
        <v>8</v>
      </c>
    </row>
    <row r="7" spans="1:9" x14ac:dyDescent="0.3">
      <c r="A7" s="37" t="s">
        <v>413</v>
      </c>
      <c r="B7" s="38" t="s">
        <v>36</v>
      </c>
      <c r="C7" s="38" t="s">
        <v>419</v>
      </c>
      <c r="D7" s="37" t="s">
        <v>443</v>
      </c>
      <c r="E7" s="75" t="s">
        <v>56</v>
      </c>
      <c r="F7" s="39"/>
      <c r="G7" s="39"/>
      <c r="H7" s="84" t="s">
        <v>571</v>
      </c>
      <c r="I7" s="37"/>
    </row>
    <row r="8" spans="1:9" x14ac:dyDescent="0.3">
      <c r="A8" s="37" t="s">
        <v>423</v>
      </c>
      <c r="B8" s="38" t="s">
        <v>36</v>
      </c>
      <c r="C8" s="38" t="s">
        <v>419</v>
      </c>
      <c r="D8" s="37" t="s">
        <v>444</v>
      </c>
      <c r="E8" s="80" t="s">
        <v>56</v>
      </c>
      <c r="F8" s="39"/>
      <c r="G8" s="39"/>
      <c r="H8" s="84" t="s">
        <v>544</v>
      </c>
      <c r="I8" s="37"/>
    </row>
    <row r="9" spans="1:9" x14ac:dyDescent="0.3">
      <c r="A9" s="37" t="s">
        <v>428</v>
      </c>
      <c r="B9" s="38" t="s">
        <v>36</v>
      </c>
      <c r="C9" s="38" t="s">
        <v>419</v>
      </c>
      <c r="D9" s="37" t="s">
        <v>445</v>
      </c>
      <c r="E9" s="80" t="s">
        <v>56</v>
      </c>
      <c r="F9" s="39"/>
      <c r="G9" s="39"/>
      <c r="H9" s="84" t="s">
        <v>572</v>
      </c>
      <c r="I9" s="37"/>
    </row>
    <row r="10" spans="1:9" x14ac:dyDescent="0.3">
      <c r="A10" s="37" t="s">
        <v>441</v>
      </c>
      <c r="B10" s="38" t="s">
        <v>36</v>
      </c>
      <c r="C10" s="38" t="s">
        <v>419</v>
      </c>
      <c r="D10" s="37" t="s">
        <v>446</v>
      </c>
      <c r="E10" s="80" t="s">
        <v>56</v>
      </c>
      <c r="F10" s="39"/>
      <c r="G10" s="39"/>
      <c r="H10" s="84" t="s">
        <v>546</v>
      </c>
      <c r="I10" s="37"/>
    </row>
    <row r="11" spans="1:9" x14ac:dyDescent="0.3">
      <c r="A11" s="37" t="s">
        <v>433</v>
      </c>
      <c r="B11" s="38" t="s">
        <v>36</v>
      </c>
      <c r="C11" s="38" t="s">
        <v>419</v>
      </c>
      <c r="D11" s="37" t="s">
        <v>447</v>
      </c>
      <c r="E11" s="80" t="s">
        <v>56</v>
      </c>
      <c r="F11" s="39"/>
      <c r="G11" s="39"/>
      <c r="H11" s="84" t="s">
        <v>547</v>
      </c>
      <c r="I11" s="37"/>
    </row>
    <row r="12" spans="1:9" x14ac:dyDescent="0.3">
      <c r="A12" s="37" t="s">
        <v>436</v>
      </c>
      <c r="B12" s="38" t="s">
        <v>36</v>
      </c>
      <c r="C12" s="38" t="s">
        <v>419</v>
      </c>
      <c r="D12" s="37" t="s">
        <v>448</v>
      </c>
      <c r="E12" s="80" t="s">
        <v>56</v>
      </c>
      <c r="F12" s="39"/>
      <c r="G12" s="39"/>
      <c r="H12" s="84" t="s">
        <v>548</v>
      </c>
      <c r="I12" s="37"/>
    </row>
    <row r="13" spans="1:9" x14ac:dyDescent="0.3">
      <c r="A13" s="37" t="s">
        <v>352</v>
      </c>
      <c r="B13" s="38" t="s">
        <v>61</v>
      </c>
      <c r="C13" s="38" t="s">
        <v>419</v>
      </c>
      <c r="D13" s="37" t="s">
        <v>449</v>
      </c>
      <c r="E13" s="80" t="s">
        <v>56</v>
      </c>
      <c r="F13" s="39"/>
      <c r="G13" s="39"/>
      <c r="H13" s="108">
        <v>0.14000000000000001</v>
      </c>
      <c r="I13" s="37"/>
    </row>
    <row r="14" spans="1:9" s="41" customFormat="1" x14ac:dyDescent="0.3">
      <c r="A14" s="41" t="s">
        <v>140</v>
      </c>
      <c r="B14" s="41" t="s">
        <v>57</v>
      </c>
      <c r="C14" s="42" t="s">
        <v>141</v>
      </c>
      <c r="E14" s="43" t="s">
        <v>56</v>
      </c>
      <c r="F14" s="44"/>
      <c r="G14" s="44"/>
      <c r="H14" s="82">
        <v>43435</v>
      </c>
      <c r="I14" s="41" t="s">
        <v>142</v>
      </c>
    </row>
    <row r="15" spans="1:9" s="41" customFormat="1" ht="28.8" x14ac:dyDescent="0.3">
      <c r="A15" s="41" t="s">
        <v>149</v>
      </c>
      <c r="B15" s="41" t="s">
        <v>66</v>
      </c>
      <c r="C15" s="42" t="s">
        <v>150</v>
      </c>
      <c r="E15" s="43" t="s">
        <v>56</v>
      </c>
      <c r="F15" s="43" t="s">
        <v>151</v>
      </c>
      <c r="G15" s="43" t="s">
        <v>151</v>
      </c>
      <c r="H15" s="84" t="s">
        <v>151</v>
      </c>
      <c r="I15" s="41" t="s">
        <v>142</v>
      </c>
    </row>
    <row r="16" spans="1:9" s="41" customFormat="1" x14ac:dyDescent="0.3">
      <c r="A16" s="41" t="s">
        <v>19</v>
      </c>
      <c r="B16" s="41" t="s">
        <v>20</v>
      </c>
      <c r="C16" s="42" t="s">
        <v>148</v>
      </c>
      <c r="D16" s="41" t="s">
        <v>98</v>
      </c>
      <c r="E16" s="43" t="s">
        <v>56</v>
      </c>
      <c r="F16" s="43">
        <v>0</v>
      </c>
      <c r="G16" s="43">
        <v>0</v>
      </c>
      <c r="H16" s="84">
        <v>3</v>
      </c>
      <c r="I16" s="109" t="s">
        <v>574</v>
      </c>
    </row>
    <row r="18" spans="1:1" x14ac:dyDescent="0.3">
      <c r="A18" s="1"/>
    </row>
  </sheetData>
  <mergeCells count="1">
    <mergeCell ref="B3:I3"/>
  </mergeCells>
  <hyperlinks>
    <hyperlink ref="A1" location="Index!A1" display="Index" xr:uid="{00000000-0004-0000-0F00-000000000000}"/>
    <hyperlink ref="I16" location="'Process Metadata'!A25" display="Import_Batch_Process_Task" xr:uid="{00000000-0004-0000-0F00-000001000000}"/>
  </hyperlinks>
  <pageMargins left="0.7" right="0.7" top="0.75" bottom="0.75" header="0.3" footer="0.3"/>
  <pageSetup paperSize="9" orientation="portrait" horizontalDpi="4294967293" vertic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E3"/>
  <sheetViews>
    <sheetView workbookViewId="0"/>
  </sheetViews>
  <sheetFormatPr defaultColWidth="8.88671875" defaultRowHeight="14.4" x14ac:dyDescent="0.3"/>
  <cols>
    <col min="1" max="1" width="22.5546875" style="3" bestFit="1" customWidth="1"/>
    <col min="2" max="2" width="24.109375" style="3" customWidth="1"/>
    <col min="3" max="3" width="31.44140625" style="4" customWidth="1"/>
    <col min="4" max="4" width="63.5546875" style="3" customWidth="1"/>
    <col min="5" max="5" width="52.6640625" style="3" bestFit="1" customWidth="1"/>
    <col min="6" max="16384" width="8.88671875" style="3"/>
  </cols>
  <sheetData>
    <row r="1" spans="1:5" x14ac:dyDescent="0.3">
      <c r="A1" s="5" t="s">
        <v>5</v>
      </c>
    </row>
    <row r="2" spans="1:5" s="6" customFormat="1" x14ac:dyDescent="0.3">
      <c r="A2" s="6" t="s">
        <v>269</v>
      </c>
      <c r="B2" s="6" t="s">
        <v>1</v>
      </c>
      <c r="C2" s="6" t="s">
        <v>2</v>
      </c>
      <c r="D2" s="7" t="s">
        <v>3</v>
      </c>
      <c r="E2" s="6" t="s">
        <v>4</v>
      </c>
    </row>
    <row r="3" spans="1:5" ht="28.8" x14ac:dyDescent="0.3">
      <c r="A3" s="5" t="s">
        <v>270</v>
      </c>
      <c r="B3" s="3" t="s">
        <v>457</v>
      </c>
      <c r="C3" s="4" t="s">
        <v>161</v>
      </c>
      <c r="D3" s="4" t="s">
        <v>163</v>
      </c>
      <c r="E3" s="4" t="s">
        <v>162</v>
      </c>
    </row>
  </sheetData>
  <hyperlinks>
    <hyperlink ref="A1" location="Index!A1" display="Index" xr:uid="{00000000-0004-0000-0300-000000000000}"/>
    <hyperlink ref="A3" location="SF_MM_Stock_Take!A1" display="SF_MM_Stock_Take" xr:uid="{00000000-0004-0000-0300-000001000000}"/>
  </hyperlinks>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0DFF6-73AE-4410-A3B3-B0C98A244754}">
  <sheetPr>
    <tabColor rgb="FF92D050"/>
  </sheetPr>
  <dimension ref="A1:I10"/>
  <sheetViews>
    <sheetView workbookViewId="0">
      <selection activeCell="J16" sqref="J16"/>
    </sheetView>
  </sheetViews>
  <sheetFormatPr defaultRowHeight="14.4" x14ac:dyDescent="0.3"/>
  <cols>
    <col min="1" max="1" width="17.33203125" bestFit="1" customWidth="1"/>
    <col min="8" max="8" width="10.77734375" bestFit="1" customWidth="1"/>
  </cols>
  <sheetData>
    <row r="1" spans="1:9" x14ac:dyDescent="0.3">
      <c r="A1" s="5" t="s">
        <v>5</v>
      </c>
    </row>
    <row r="2" spans="1:9" ht="57.6" x14ac:dyDescent="0.3">
      <c r="A2" s="10" t="s">
        <v>18</v>
      </c>
      <c r="B2" s="10" t="s">
        <v>208</v>
      </c>
      <c r="C2" s="10" t="s">
        <v>7</v>
      </c>
      <c r="D2" s="10" t="s">
        <v>10</v>
      </c>
      <c r="E2" s="10" t="s">
        <v>635</v>
      </c>
      <c r="F2" s="10" t="s">
        <v>645</v>
      </c>
      <c r="G2" s="10" t="s">
        <v>8</v>
      </c>
      <c r="H2" s="10" t="s">
        <v>9</v>
      </c>
      <c r="I2" s="10" t="s">
        <v>219</v>
      </c>
    </row>
    <row r="3" spans="1:9" x14ac:dyDescent="0.3">
      <c r="A3" s="9" t="s">
        <v>666</v>
      </c>
      <c r="B3" t="s">
        <v>210</v>
      </c>
      <c r="C3" s="2"/>
      <c r="D3" t="s">
        <v>346</v>
      </c>
      <c r="E3" t="s">
        <v>156</v>
      </c>
      <c r="F3" t="s">
        <v>156</v>
      </c>
      <c r="G3" s="85" t="s">
        <v>669</v>
      </c>
      <c r="H3" s="85" t="s">
        <v>671</v>
      </c>
    </row>
    <row r="4" spans="1:9" x14ac:dyDescent="0.3">
      <c r="A4" s="9" t="s">
        <v>667</v>
      </c>
      <c r="B4" t="s">
        <v>211</v>
      </c>
      <c r="C4" s="2"/>
      <c r="E4" t="s">
        <v>156</v>
      </c>
      <c r="F4" t="s">
        <v>156</v>
      </c>
      <c r="G4" s="85" t="s">
        <v>670</v>
      </c>
      <c r="H4" s="85" t="s">
        <v>673</v>
      </c>
    </row>
    <row r="5" spans="1:9" x14ac:dyDescent="0.3">
      <c r="A5" s="9" t="s">
        <v>668</v>
      </c>
      <c r="B5" t="s">
        <v>211</v>
      </c>
      <c r="C5" s="2"/>
      <c r="E5" t="s">
        <v>156</v>
      </c>
      <c r="F5" t="s">
        <v>156</v>
      </c>
      <c r="G5" s="85" t="s">
        <v>670</v>
      </c>
      <c r="H5" s="85" t="s">
        <v>672</v>
      </c>
    </row>
    <row r="6" spans="1:9" x14ac:dyDescent="0.3">
      <c r="A6" s="9"/>
      <c r="C6" s="2"/>
      <c r="G6" s="85"/>
      <c r="H6" s="85"/>
    </row>
    <row r="7" spans="1:9" x14ac:dyDescent="0.3">
      <c r="A7" s="9"/>
      <c r="C7" s="2"/>
      <c r="G7" s="85"/>
      <c r="H7" s="85"/>
    </row>
    <row r="8" spans="1:9" x14ac:dyDescent="0.3">
      <c r="A8" s="9"/>
      <c r="C8" s="2"/>
      <c r="G8" s="85"/>
      <c r="H8" s="85"/>
    </row>
    <row r="9" spans="1:9" x14ac:dyDescent="0.3">
      <c r="A9" s="9"/>
      <c r="C9" s="2"/>
      <c r="G9" s="85"/>
      <c r="H9" s="85"/>
    </row>
    <row r="10" spans="1:9" x14ac:dyDescent="0.3">
      <c r="A10" s="9"/>
      <c r="C10" s="2"/>
      <c r="G10" s="85"/>
      <c r="H10" s="85"/>
    </row>
  </sheetData>
  <hyperlinks>
    <hyperlink ref="A1" location="Index!A1" display="Index" xr:uid="{0D96CDD1-52CE-412C-96D4-A0425EC863E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E21A5-B6E4-4680-9E24-FF14F02DA555}">
  <sheetPr>
    <tabColor rgb="FF92D050"/>
  </sheetPr>
  <dimension ref="A1:I8"/>
  <sheetViews>
    <sheetView workbookViewId="0"/>
  </sheetViews>
  <sheetFormatPr defaultRowHeight="14.4" x14ac:dyDescent="0.3"/>
  <cols>
    <col min="1" max="1" width="17.33203125" bestFit="1" customWidth="1"/>
    <col min="2" max="2" width="10.88671875" bestFit="1" customWidth="1"/>
    <col min="3" max="3" width="16.88671875" customWidth="1"/>
    <col min="7" max="8" width="10.5546875" bestFit="1" customWidth="1"/>
  </cols>
  <sheetData>
    <row r="1" spans="1:9" x14ac:dyDescent="0.3">
      <c r="A1" s="5" t="s">
        <v>5</v>
      </c>
    </row>
    <row r="2" spans="1:9" ht="57.6" x14ac:dyDescent="0.3">
      <c r="A2" s="10" t="s">
        <v>18</v>
      </c>
      <c r="B2" s="10" t="s">
        <v>208</v>
      </c>
      <c r="C2" s="10" t="s">
        <v>7</v>
      </c>
      <c r="D2" s="10" t="s">
        <v>10</v>
      </c>
      <c r="E2" s="10" t="s">
        <v>635</v>
      </c>
      <c r="F2" s="10" t="s">
        <v>645</v>
      </c>
      <c r="G2" s="10" t="s">
        <v>8</v>
      </c>
      <c r="H2" s="10" t="s">
        <v>9</v>
      </c>
      <c r="I2" s="10" t="s">
        <v>219</v>
      </c>
    </row>
    <row r="3" spans="1:9" x14ac:dyDescent="0.3">
      <c r="A3" s="9" t="s">
        <v>689</v>
      </c>
      <c r="B3" t="s">
        <v>20</v>
      </c>
      <c r="C3" s="2"/>
      <c r="D3" t="s">
        <v>346</v>
      </c>
      <c r="E3" t="s">
        <v>156</v>
      </c>
      <c r="F3" t="s">
        <v>156</v>
      </c>
      <c r="G3" s="85">
        <v>2019</v>
      </c>
      <c r="H3" s="85">
        <v>2019</v>
      </c>
    </row>
    <row r="4" spans="1:9" x14ac:dyDescent="0.3">
      <c r="A4" s="9" t="s">
        <v>690</v>
      </c>
      <c r="B4" t="s">
        <v>20</v>
      </c>
      <c r="C4" s="2"/>
      <c r="E4" t="s">
        <v>156</v>
      </c>
      <c r="F4" t="s">
        <v>346</v>
      </c>
      <c r="G4" s="85">
        <v>36</v>
      </c>
      <c r="H4" s="85">
        <v>47</v>
      </c>
    </row>
    <row r="5" spans="1:9" x14ac:dyDescent="0.3">
      <c r="A5" s="9" t="s">
        <v>691</v>
      </c>
      <c r="B5" t="s">
        <v>57</v>
      </c>
      <c r="C5" s="2"/>
      <c r="D5" t="s">
        <v>346</v>
      </c>
      <c r="E5" t="s">
        <v>156</v>
      </c>
      <c r="F5" t="s">
        <v>346</v>
      </c>
      <c r="G5" s="133">
        <v>43714</v>
      </c>
      <c r="H5" s="133">
        <v>43791</v>
      </c>
    </row>
    <row r="6" spans="1:9" x14ac:dyDescent="0.3">
      <c r="A6" s="9" t="s">
        <v>692</v>
      </c>
      <c r="B6" t="s">
        <v>679</v>
      </c>
      <c r="D6" t="s">
        <v>346</v>
      </c>
      <c r="E6" t="s">
        <v>156</v>
      </c>
      <c r="F6" t="s">
        <v>346</v>
      </c>
      <c r="G6" t="s">
        <v>681</v>
      </c>
      <c r="H6" t="s">
        <v>682</v>
      </c>
    </row>
    <row r="7" spans="1:9" x14ac:dyDescent="0.3">
      <c r="A7" s="9" t="s">
        <v>693</v>
      </c>
      <c r="B7" t="s">
        <v>210</v>
      </c>
      <c r="D7" t="s">
        <v>346</v>
      </c>
      <c r="E7" t="s">
        <v>346</v>
      </c>
      <c r="F7" t="s">
        <v>346</v>
      </c>
      <c r="G7" t="s">
        <v>683</v>
      </c>
      <c r="H7" t="s">
        <v>684</v>
      </c>
    </row>
    <row r="8" spans="1:9" x14ac:dyDescent="0.3">
      <c r="A8" s="9" t="s">
        <v>694</v>
      </c>
      <c r="B8" t="s">
        <v>680</v>
      </c>
      <c r="E8" t="s">
        <v>346</v>
      </c>
      <c r="F8" t="s">
        <v>346</v>
      </c>
      <c r="G8">
        <v>0.5</v>
      </c>
      <c r="H8">
        <v>6</v>
      </c>
    </row>
  </sheetData>
  <hyperlinks>
    <hyperlink ref="A1" location="Index!A1" display="Index" xr:uid="{451DFA97-1CE8-4EBD-A577-C4E35E03F4FF}"/>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C277F-228F-421C-A910-8AD0DAF7FF4C}">
  <sheetPr>
    <tabColor rgb="FF92D050"/>
  </sheetPr>
  <dimension ref="A1:I26"/>
  <sheetViews>
    <sheetView workbookViewId="0">
      <selection activeCell="E11" sqref="E11"/>
    </sheetView>
  </sheetViews>
  <sheetFormatPr defaultRowHeight="14.4" x14ac:dyDescent="0.3"/>
  <cols>
    <col min="1" max="1" width="28.88671875" bestFit="1" customWidth="1"/>
    <col min="2" max="2" width="12.5546875" bestFit="1" customWidth="1"/>
    <col min="3" max="3" width="20.109375" customWidth="1"/>
    <col min="4" max="4" width="8.109375" bestFit="1" customWidth="1"/>
    <col min="5" max="5" width="8.77734375" bestFit="1" customWidth="1"/>
    <col min="6" max="6" width="8.6640625" bestFit="1" customWidth="1"/>
    <col min="7" max="7" width="16.5546875" bestFit="1" customWidth="1"/>
    <col min="8" max="8" width="14.33203125" bestFit="1" customWidth="1"/>
    <col min="9" max="9" width="8.44140625" bestFit="1" customWidth="1"/>
  </cols>
  <sheetData>
    <row r="1" spans="1:9" x14ac:dyDescent="0.3">
      <c r="A1" s="5" t="s">
        <v>5</v>
      </c>
    </row>
    <row r="2" spans="1:9" ht="57.6" x14ac:dyDescent="0.3">
      <c r="A2" s="10" t="s">
        <v>18</v>
      </c>
      <c r="B2" s="10" t="s">
        <v>208</v>
      </c>
      <c r="C2" s="10" t="s">
        <v>7</v>
      </c>
      <c r="D2" s="10" t="s">
        <v>10</v>
      </c>
      <c r="E2" s="10" t="s">
        <v>635</v>
      </c>
      <c r="F2" s="10" t="s">
        <v>645</v>
      </c>
      <c r="G2" s="10" t="s">
        <v>8</v>
      </c>
      <c r="H2" s="10" t="s">
        <v>9</v>
      </c>
      <c r="I2" s="10" t="s">
        <v>219</v>
      </c>
    </row>
    <row r="3" spans="1:9" ht="17.399999999999999" customHeight="1" x14ac:dyDescent="0.3">
      <c r="A3" s="9" t="s">
        <v>695</v>
      </c>
      <c r="B3" t="s">
        <v>210</v>
      </c>
      <c r="C3" s="2"/>
      <c r="D3" t="s">
        <v>346</v>
      </c>
      <c r="E3" t="s">
        <v>156</v>
      </c>
      <c r="F3" t="s">
        <v>156</v>
      </c>
      <c r="G3" s="85" t="s">
        <v>636</v>
      </c>
      <c r="H3" s="85" t="s">
        <v>642</v>
      </c>
    </row>
    <row r="4" spans="1:9" ht="19.8" customHeight="1" x14ac:dyDescent="0.3">
      <c r="A4" s="9" t="s">
        <v>696</v>
      </c>
      <c r="B4" t="s">
        <v>210</v>
      </c>
      <c r="C4" s="2"/>
      <c r="E4" t="s">
        <v>156</v>
      </c>
      <c r="F4" t="s">
        <v>156</v>
      </c>
      <c r="G4" s="85" t="s">
        <v>637</v>
      </c>
      <c r="H4" s="85" t="s">
        <v>643</v>
      </c>
    </row>
    <row r="5" spans="1:9" ht="15" customHeight="1" x14ac:dyDescent="0.3">
      <c r="A5" s="9" t="s">
        <v>697</v>
      </c>
      <c r="B5" t="s">
        <v>633</v>
      </c>
      <c r="C5" s="2"/>
      <c r="E5" t="s">
        <v>156</v>
      </c>
      <c r="F5" t="s">
        <v>346</v>
      </c>
      <c r="G5" s="85" t="s">
        <v>638</v>
      </c>
      <c r="H5" s="85" t="s">
        <v>644</v>
      </c>
    </row>
    <row r="6" spans="1:9" ht="18" customHeight="1" x14ac:dyDescent="0.3">
      <c r="A6" s="9" t="s">
        <v>698</v>
      </c>
      <c r="B6" t="s">
        <v>211</v>
      </c>
      <c r="C6" s="2"/>
      <c r="E6" t="s">
        <v>156</v>
      </c>
      <c r="F6" t="s">
        <v>346</v>
      </c>
      <c r="G6" s="85" t="s">
        <v>639</v>
      </c>
      <c r="H6" s="85" t="s">
        <v>644</v>
      </c>
    </row>
    <row r="7" spans="1:9" ht="18" customHeight="1" x14ac:dyDescent="0.3">
      <c r="A7" s="9" t="s">
        <v>699</v>
      </c>
      <c r="B7" t="s">
        <v>633</v>
      </c>
      <c r="C7" s="2"/>
      <c r="E7" t="s">
        <v>346</v>
      </c>
      <c r="F7" t="s">
        <v>346</v>
      </c>
      <c r="G7" s="85" t="s">
        <v>640</v>
      </c>
      <c r="H7" s="85"/>
    </row>
    <row r="8" spans="1:9" ht="15.6" customHeight="1" x14ac:dyDescent="0.3">
      <c r="A8" s="9" t="s">
        <v>700</v>
      </c>
      <c r="B8" t="s">
        <v>633</v>
      </c>
      <c r="C8" s="2"/>
      <c r="E8" t="s">
        <v>346</v>
      </c>
      <c r="F8" t="s">
        <v>346</v>
      </c>
      <c r="G8" s="85"/>
      <c r="H8" s="85"/>
    </row>
    <row r="9" spans="1:9" ht="18" customHeight="1" x14ac:dyDescent="0.3">
      <c r="A9" s="9" t="s">
        <v>701</v>
      </c>
      <c r="B9" t="s">
        <v>211</v>
      </c>
      <c r="C9" s="2"/>
      <c r="E9" t="s">
        <v>346</v>
      </c>
      <c r="F9" t="s">
        <v>346</v>
      </c>
      <c r="G9" s="85" t="s">
        <v>641</v>
      </c>
      <c r="H9" s="85"/>
    </row>
    <row r="10" spans="1:9" ht="17.399999999999999" customHeight="1" x14ac:dyDescent="0.3">
      <c r="A10" s="9" t="s">
        <v>702</v>
      </c>
      <c r="B10" t="s">
        <v>634</v>
      </c>
      <c r="C10" s="2"/>
      <c r="E10" t="s">
        <v>346</v>
      </c>
      <c r="F10" t="s">
        <v>346</v>
      </c>
      <c r="G10" s="85">
        <v>1200</v>
      </c>
      <c r="H10" s="85"/>
    </row>
    <row r="11" spans="1:9" ht="37.799999999999997" customHeight="1" x14ac:dyDescent="0.3">
      <c r="A11" s="9"/>
      <c r="C11" s="2"/>
      <c r="G11" s="85"/>
      <c r="H11" s="85"/>
    </row>
    <row r="12" spans="1:9" ht="19.8" customHeight="1" x14ac:dyDescent="0.3">
      <c r="A12" s="9"/>
      <c r="C12" s="2"/>
      <c r="G12" s="85"/>
      <c r="H12" s="85"/>
    </row>
    <row r="13" spans="1:9" ht="19.2" customHeight="1" x14ac:dyDescent="0.3">
      <c r="A13" s="9"/>
      <c r="C13" s="2"/>
      <c r="G13" s="85"/>
      <c r="H13" s="85"/>
    </row>
    <row r="14" spans="1:9" ht="18.600000000000001" customHeight="1" x14ac:dyDescent="0.3">
      <c r="A14" s="9"/>
      <c r="C14" s="2"/>
      <c r="G14" s="85"/>
      <c r="H14" s="85"/>
    </row>
    <row r="15" spans="1:9" ht="22.8" customHeight="1" x14ac:dyDescent="0.3">
      <c r="A15" s="9"/>
      <c r="C15" s="2"/>
      <c r="G15" s="85"/>
      <c r="H15" s="85"/>
    </row>
    <row r="16" spans="1:9" ht="22.2" customHeight="1" x14ac:dyDescent="0.3">
      <c r="C16" s="2"/>
      <c r="G16" s="85"/>
      <c r="H16" s="85"/>
    </row>
    <row r="17" spans="1:8" ht="23.4" customHeight="1" x14ac:dyDescent="0.3">
      <c r="C17" s="2"/>
      <c r="G17" s="85"/>
      <c r="H17" s="85"/>
    </row>
    <row r="18" spans="1:8" ht="24.6" customHeight="1" x14ac:dyDescent="0.3">
      <c r="C18" s="2"/>
      <c r="G18" s="85"/>
      <c r="H18" s="85"/>
    </row>
    <row r="19" spans="1:8" ht="25.8" customHeight="1" x14ac:dyDescent="0.3">
      <c r="C19" s="2"/>
      <c r="G19" s="85"/>
      <c r="H19" s="85"/>
    </row>
    <row r="20" spans="1:8" ht="32.4" customHeight="1" x14ac:dyDescent="0.3">
      <c r="C20" s="2"/>
      <c r="G20" s="85"/>
      <c r="H20" s="85"/>
    </row>
    <row r="21" spans="1:8" x14ac:dyDescent="0.3">
      <c r="C21" s="2"/>
      <c r="G21" s="85"/>
      <c r="H21" s="85"/>
    </row>
    <row r="22" spans="1:8" x14ac:dyDescent="0.3">
      <c r="C22" s="2"/>
      <c r="G22" s="85"/>
      <c r="H22" s="85"/>
    </row>
    <row r="23" spans="1:8" x14ac:dyDescent="0.3">
      <c r="C23" s="2"/>
      <c r="G23" s="85"/>
      <c r="H23" s="85"/>
    </row>
    <row r="24" spans="1:8" x14ac:dyDescent="0.3">
      <c r="C24" s="2"/>
      <c r="G24" s="85"/>
      <c r="H24" s="85"/>
    </row>
    <row r="25" spans="1:8" x14ac:dyDescent="0.3">
      <c r="C25" s="2"/>
      <c r="G25" s="85"/>
      <c r="H25" s="85"/>
    </row>
    <row r="26" spans="1:8" x14ac:dyDescent="0.3">
      <c r="A26" s="2"/>
      <c r="C26" s="2"/>
      <c r="G26" s="85"/>
      <c r="H26" s="85"/>
    </row>
  </sheetData>
  <phoneticPr fontId="19" type="noConversion"/>
  <hyperlinks>
    <hyperlink ref="A1" location="Index!A1" display="Index" xr:uid="{C385C651-9972-4265-A67A-F3115BE7F2E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H25"/>
  <sheetViews>
    <sheetView workbookViewId="0">
      <selection activeCell="A3" sqref="A3"/>
    </sheetView>
  </sheetViews>
  <sheetFormatPr defaultRowHeight="14.4" x14ac:dyDescent="0.3"/>
  <cols>
    <col min="1" max="1" width="36.6640625" customWidth="1"/>
    <col min="2" max="2" width="27.44140625" bestFit="1" customWidth="1"/>
    <col min="3" max="3" width="59.44140625" customWidth="1"/>
    <col min="4" max="4" width="11.6640625" bestFit="1" customWidth="1"/>
    <col min="5" max="5" width="44.33203125" bestFit="1" customWidth="1"/>
    <col min="6" max="6" width="15.33203125" customWidth="1"/>
    <col min="7" max="7" width="15.5546875" customWidth="1"/>
    <col min="8" max="8" width="16" bestFit="1" customWidth="1"/>
  </cols>
  <sheetData>
    <row r="1" spans="1:8" x14ac:dyDescent="0.3">
      <c r="A1" s="5" t="s">
        <v>5</v>
      </c>
    </row>
    <row r="2" spans="1:8" s="8" customFormat="1" ht="28.8" x14ac:dyDescent="0.3">
      <c r="A2" s="10" t="s">
        <v>18</v>
      </c>
      <c r="B2" s="10" t="s">
        <v>208</v>
      </c>
      <c r="C2" s="10" t="s">
        <v>7</v>
      </c>
      <c r="D2" s="10" t="s">
        <v>10</v>
      </c>
      <c r="E2" s="10" t="s">
        <v>218</v>
      </c>
      <c r="F2" s="10" t="s">
        <v>8</v>
      </c>
      <c r="G2" s="10" t="s">
        <v>9</v>
      </c>
      <c r="H2" s="10" t="s">
        <v>219</v>
      </c>
    </row>
    <row r="3" spans="1:8" ht="28.8" x14ac:dyDescent="0.3">
      <c r="A3" s="9" t="s">
        <v>74</v>
      </c>
      <c r="B3" t="s">
        <v>213</v>
      </c>
      <c r="C3" s="2" t="s">
        <v>185</v>
      </c>
      <c r="E3" t="s">
        <v>220</v>
      </c>
      <c r="F3" s="28">
        <v>2019</v>
      </c>
      <c r="G3" s="28">
        <v>2019</v>
      </c>
    </row>
    <row r="4" spans="1:8" x14ac:dyDescent="0.3">
      <c r="A4" s="9" t="s">
        <v>164</v>
      </c>
      <c r="B4" t="s">
        <v>209</v>
      </c>
      <c r="C4" s="2" t="s">
        <v>186</v>
      </c>
      <c r="D4" t="s">
        <v>11</v>
      </c>
      <c r="E4" t="s">
        <v>220</v>
      </c>
      <c r="F4" s="28" t="s">
        <v>223</v>
      </c>
      <c r="G4" s="28" t="s">
        <v>228</v>
      </c>
    </row>
    <row r="5" spans="1:8" ht="43.2" x14ac:dyDescent="0.3">
      <c r="A5" s="9" t="s">
        <v>122</v>
      </c>
      <c r="B5" t="s">
        <v>210</v>
      </c>
      <c r="C5" s="2" t="s">
        <v>187</v>
      </c>
      <c r="E5" t="s">
        <v>220</v>
      </c>
      <c r="F5" s="28" t="s">
        <v>224</v>
      </c>
      <c r="G5" s="28" t="s">
        <v>229</v>
      </c>
    </row>
    <row r="6" spans="1:8" x14ac:dyDescent="0.3">
      <c r="A6" s="9" t="s">
        <v>165</v>
      </c>
      <c r="B6" t="s">
        <v>210</v>
      </c>
      <c r="C6" s="2" t="s">
        <v>188</v>
      </c>
      <c r="E6" t="s">
        <v>220</v>
      </c>
      <c r="F6" s="28" t="s">
        <v>138</v>
      </c>
      <c r="G6" s="28" t="s">
        <v>230</v>
      </c>
    </row>
    <row r="7" spans="1:8" ht="28.8" x14ac:dyDescent="0.3">
      <c r="A7" s="9" t="s">
        <v>166</v>
      </c>
      <c r="B7" t="s">
        <v>210</v>
      </c>
      <c r="C7" s="2" t="s">
        <v>189</v>
      </c>
      <c r="E7" t="s">
        <v>221</v>
      </c>
      <c r="F7" s="28"/>
      <c r="G7" s="28" t="s">
        <v>231</v>
      </c>
    </row>
    <row r="8" spans="1:8" ht="28.8" x14ac:dyDescent="0.3">
      <c r="A8" s="9" t="s">
        <v>167</v>
      </c>
      <c r="B8" t="s">
        <v>210</v>
      </c>
      <c r="C8" s="2" t="s">
        <v>190</v>
      </c>
      <c r="E8" t="s">
        <v>221</v>
      </c>
      <c r="F8" s="28"/>
      <c r="G8" s="28" t="s">
        <v>232</v>
      </c>
    </row>
    <row r="9" spans="1:8" ht="28.8" x14ac:dyDescent="0.3">
      <c r="A9" s="9" t="s">
        <v>168</v>
      </c>
      <c r="B9" t="s">
        <v>210</v>
      </c>
      <c r="C9" s="2" t="s">
        <v>191</v>
      </c>
      <c r="E9" t="s">
        <v>220</v>
      </c>
      <c r="F9" s="28" t="s">
        <v>225</v>
      </c>
      <c r="G9" s="28" t="s">
        <v>233</v>
      </c>
    </row>
    <row r="10" spans="1:8" ht="28.8" x14ac:dyDescent="0.3">
      <c r="A10" s="9" t="s">
        <v>169</v>
      </c>
      <c r="B10" t="s">
        <v>216</v>
      </c>
      <c r="C10" s="2" t="s">
        <v>192</v>
      </c>
      <c r="E10" t="s">
        <v>221</v>
      </c>
      <c r="F10" s="28" t="s">
        <v>226</v>
      </c>
      <c r="G10" s="28" t="s">
        <v>226</v>
      </c>
    </row>
    <row r="11" spans="1:8" x14ac:dyDescent="0.3">
      <c r="A11" s="9" t="s">
        <v>170</v>
      </c>
      <c r="B11" t="s">
        <v>210</v>
      </c>
      <c r="C11" s="2" t="s">
        <v>193</v>
      </c>
      <c r="E11" t="s">
        <v>221</v>
      </c>
      <c r="F11" s="28"/>
      <c r="G11" s="28" t="s">
        <v>234</v>
      </c>
    </row>
    <row r="12" spans="1:8" x14ac:dyDescent="0.3">
      <c r="A12" s="9" t="s">
        <v>171</v>
      </c>
      <c r="B12" t="s">
        <v>211</v>
      </c>
      <c r="C12" s="2" t="s">
        <v>194</v>
      </c>
      <c r="E12" t="s">
        <v>221</v>
      </c>
      <c r="F12" s="28"/>
      <c r="G12" s="28"/>
    </row>
    <row r="13" spans="1:8" x14ac:dyDescent="0.3">
      <c r="A13" s="9" t="s">
        <v>172</v>
      </c>
      <c r="B13" t="s">
        <v>214</v>
      </c>
      <c r="C13" s="2" t="s">
        <v>195</v>
      </c>
      <c r="E13" t="s">
        <v>221</v>
      </c>
      <c r="F13" s="28">
        <v>1200</v>
      </c>
      <c r="G13" s="28"/>
    </row>
    <row r="14" spans="1:8" ht="28.8" x14ac:dyDescent="0.3">
      <c r="A14" s="9" t="s">
        <v>173</v>
      </c>
      <c r="B14" t="s">
        <v>214</v>
      </c>
      <c r="C14" s="2" t="s">
        <v>196</v>
      </c>
      <c r="E14" t="s">
        <v>221</v>
      </c>
      <c r="F14" s="28">
        <v>1200</v>
      </c>
      <c r="G14" s="28"/>
    </row>
    <row r="15" spans="1:8" x14ac:dyDescent="0.3">
      <c r="A15" t="s">
        <v>174</v>
      </c>
      <c r="B15" t="s">
        <v>214</v>
      </c>
      <c r="C15" s="2" t="s">
        <v>197</v>
      </c>
      <c r="E15" t="s">
        <v>221</v>
      </c>
      <c r="F15" s="28"/>
      <c r="G15" s="28"/>
    </row>
    <row r="16" spans="1:8" x14ac:dyDescent="0.3">
      <c r="A16" t="s">
        <v>175</v>
      </c>
      <c r="B16" t="s">
        <v>214</v>
      </c>
      <c r="C16" s="2" t="s">
        <v>198</v>
      </c>
      <c r="E16" t="s">
        <v>221</v>
      </c>
      <c r="F16" s="28"/>
      <c r="G16" s="28"/>
    </row>
    <row r="17" spans="1:7" ht="28.8" x14ac:dyDescent="0.3">
      <c r="A17" t="s">
        <v>176</v>
      </c>
      <c r="B17" t="s">
        <v>214</v>
      </c>
      <c r="C17" s="2" t="s">
        <v>199</v>
      </c>
      <c r="E17" t="s">
        <v>221</v>
      </c>
      <c r="F17" s="28">
        <v>16</v>
      </c>
      <c r="G17" s="28"/>
    </row>
    <row r="18" spans="1:7" ht="28.8" x14ac:dyDescent="0.3">
      <c r="A18" t="s">
        <v>177</v>
      </c>
      <c r="B18" t="s">
        <v>215</v>
      </c>
      <c r="C18" s="2" t="s">
        <v>200</v>
      </c>
      <c r="E18" t="s">
        <v>221</v>
      </c>
      <c r="F18" s="28">
        <v>0.11</v>
      </c>
      <c r="G18" s="28"/>
    </row>
    <row r="19" spans="1:7" ht="28.8" x14ac:dyDescent="0.3">
      <c r="A19" t="s">
        <v>178</v>
      </c>
      <c r="B19" t="s">
        <v>215</v>
      </c>
      <c r="C19" s="2" t="s">
        <v>201</v>
      </c>
      <c r="E19" t="s">
        <v>221</v>
      </c>
      <c r="F19" s="28">
        <v>0.15</v>
      </c>
      <c r="G19" s="28"/>
    </row>
    <row r="20" spans="1:7" ht="57.6" x14ac:dyDescent="0.3">
      <c r="A20" t="s">
        <v>179</v>
      </c>
      <c r="B20" t="s">
        <v>212</v>
      </c>
      <c r="C20" s="2" t="s">
        <v>202</v>
      </c>
      <c r="E20" t="s">
        <v>221</v>
      </c>
      <c r="F20" s="28"/>
      <c r="G20" s="28">
        <v>3</v>
      </c>
    </row>
    <row r="21" spans="1:7" x14ac:dyDescent="0.3">
      <c r="A21" t="s">
        <v>180</v>
      </c>
      <c r="B21" t="s">
        <v>217</v>
      </c>
      <c r="C21" s="2" t="s">
        <v>203</v>
      </c>
      <c r="E21" t="s">
        <v>220</v>
      </c>
      <c r="F21" s="28" t="s">
        <v>227</v>
      </c>
      <c r="G21" s="28" t="s">
        <v>235</v>
      </c>
    </row>
    <row r="22" spans="1:7" ht="28.8" x14ac:dyDescent="0.3">
      <c r="A22" t="s">
        <v>181</v>
      </c>
      <c r="B22" t="s">
        <v>139</v>
      </c>
      <c r="C22" s="2" t="s">
        <v>204</v>
      </c>
      <c r="E22" t="s">
        <v>221</v>
      </c>
      <c r="F22" s="28">
        <v>1.6500000000000001E-2</v>
      </c>
      <c r="G22" s="28"/>
    </row>
    <row r="23" spans="1:7" ht="28.8" x14ac:dyDescent="0.3">
      <c r="A23" t="s">
        <v>182</v>
      </c>
      <c r="B23" t="s">
        <v>214</v>
      </c>
      <c r="C23" s="2" t="s">
        <v>205</v>
      </c>
      <c r="E23" t="s">
        <v>222</v>
      </c>
      <c r="F23" s="28">
        <v>0</v>
      </c>
      <c r="G23" s="28">
        <v>621.59</v>
      </c>
    </row>
    <row r="24" spans="1:7" ht="28.8" x14ac:dyDescent="0.3">
      <c r="A24" t="s">
        <v>183</v>
      </c>
      <c r="B24" t="s">
        <v>214</v>
      </c>
      <c r="C24" s="2" t="s">
        <v>206</v>
      </c>
      <c r="E24" t="s">
        <v>220</v>
      </c>
      <c r="F24" s="28">
        <v>0.14000000000000001</v>
      </c>
      <c r="G24" s="28">
        <v>0.14000000000000001</v>
      </c>
    </row>
    <row r="25" spans="1:7" ht="72" x14ac:dyDescent="0.3">
      <c r="A25" s="2" t="s">
        <v>184</v>
      </c>
      <c r="B25" t="s">
        <v>139</v>
      </c>
      <c r="C25" s="2" t="s">
        <v>207</v>
      </c>
      <c r="E25" t="s">
        <v>220</v>
      </c>
      <c r="F25" s="28">
        <v>0</v>
      </c>
      <c r="G25" s="28">
        <v>1635.7631578947</v>
      </c>
    </row>
  </sheetData>
  <hyperlinks>
    <hyperlink ref="A1" location="Index!A1" display="Index" xr:uid="{00000000-0004-0000-04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F25"/>
  <sheetViews>
    <sheetView workbookViewId="0"/>
  </sheetViews>
  <sheetFormatPr defaultRowHeight="14.4" x14ac:dyDescent="0.3"/>
  <cols>
    <col min="1" max="1" width="27.33203125" customWidth="1"/>
    <col min="2" max="2" width="69.109375" bestFit="1" customWidth="1"/>
    <col min="3" max="3" width="29.88671875" customWidth="1"/>
    <col min="4" max="4" width="11.44140625" bestFit="1" customWidth="1"/>
    <col min="5" max="5" width="20.88671875" bestFit="1" customWidth="1"/>
    <col min="6" max="6" width="12.5546875" bestFit="1" customWidth="1"/>
  </cols>
  <sheetData>
    <row r="1" spans="1:6" x14ac:dyDescent="0.3">
      <c r="A1" s="5" t="s">
        <v>5</v>
      </c>
    </row>
    <row r="2" spans="1:6" x14ac:dyDescent="0.3">
      <c r="A2" t="s">
        <v>12</v>
      </c>
    </row>
    <row r="3" spans="1:6" x14ac:dyDescent="0.3">
      <c r="A3" t="s">
        <v>460</v>
      </c>
    </row>
    <row r="4" spans="1:6" x14ac:dyDescent="0.3">
      <c r="A4" t="s">
        <v>13</v>
      </c>
    </row>
    <row r="5" spans="1:6" x14ac:dyDescent="0.3">
      <c r="A5" t="s">
        <v>461</v>
      </c>
    </row>
    <row r="8" spans="1:6" x14ac:dyDescent="0.3">
      <c r="A8" s="128" t="s">
        <v>14</v>
      </c>
      <c r="B8" s="128"/>
      <c r="C8" s="128"/>
      <c r="D8" s="128"/>
      <c r="E8" s="128"/>
      <c r="F8" s="128"/>
    </row>
    <row r="9" spans="1:6" x14ac:dyDescent="0.3">
      <c r="A9" s="12" t="s">
        <v>21</v>
      </c>
      <c r="B9" s="12" t="s">
        <v>7</v>
      </c>
      <c r="C9" s="12" t="s">
        <v>2</v>
      </c>
      <c r="D9" s="12" t="s">
        <v>22</v>
      </c>
      <c r="E9" s="6" t="s">
        <v>462</v>
      </c>
      <c r="F9" s="12" t="s">
        <v>23</v>
      </c>
    </row>
    <row r="10" spans="1:6" x14ac:dyDescent="0.3">
      <c r="A10" s="1" t="s">
        <v>271</v>
      </c>
      <c r="B10" t="s">
        <v>254</v>
      </c>
      <c r="C10" t="s">
        <v>274</v>
      </c>
      <c r="D10" t="s">
        <v>35</v>
      </c>
      <c r="E10" s="5" t="s">
        <v>270</v>
      </c>
      <c r="F10" t="s">
        <v>273</v>
      </c>
    </row>
    <row r="12" spans="1:6" ht="15" thickBot="1" x14ac:dyDescent="0.35">
      <c r="A12" s="128" t="s">
        <v>486</v>
      </c>
      <c r="B12" s="128"/>
      <c r="C12" s="128"/>
      <c r="D12" s="128"/>
      <c r="E12" s="128"/>
      <c r="F12" s="128"/>
    </row>
    <row r="13" spans="1:6" ht="15" thickTop="1" x14ac:dyDescent="0.3">
      <c r="A13" s="12" t="s">
        <v>21</v>
      </c>
      <c r="B13" s="12" t="s">
        <v>7</v>
      </c>
      <c r="C13" s="127" t="s">
        <v>471</v>
      </c>
      <c r="D13" s="127"/>
      <c r="E13" s="127"/>
      <c r="F13" s="12"/>
    </row>
    <row r="14" spans="1:6" ht="28.8" x14ac:dyDescent="0.3">
      <c r="A14" t="s">
        <v>473</v>
      </c>
      <c r="B14" s="2" t="s">
        <v>534</v>
      </c>
      <c r="C14" t="s">
        <v>271</v>
      </c>
    </row>
    <row r="15" spans="1:6" ht="28.8" x14ac:dyDescent="0.3">
      <c r="A15" t="s">
        <v>474</v>
      </c>
      <c r="B15" s="2" t="s">
        <v>535</v>
      </c>
      <c r="C15" t="s">
        <v>271</v>
      </c>
    </row>
    <row r="17" spans="1:6" ht="15" thickBot="1" x14ac:dyDescent="0.35">
      <c r="A17" s="129" t="s">
        <v>24</v>
      </c>
      <c r="B17" s="129"/>
      <c r="C17" s="129"/>
      <c r="D17" s="129"/>
      <c r="E17" s="129"/>
      <c r="F17" s="129"/>
    </row>
    <row r="18" spans="1:6" ht="15" thickTop="1" x14ac:dyDescent="0.3">
      <c r="A18" s="8" t="s">
        <v>21</v>
      </c>
      <c r="B18" s="8" t="s">
        <v>7</v>
      </c>
      <c r="C18" s="127" t="s">
        <v>483</v>
      </c>
      <c r="D18" s="127"/>
      <c r="E18" s="127"/>
      <c r="F18" s="8" t="s">
        <v>23</v>
      </c>
    </row>
    <row r="19" spans="1:6" x14ac:dyDescent="0.3">
      <c r="A19" s="1" t="s">
        <v>25</v>
      </c>
      <c r="B19" t="s">
        <v>33</v>
      </c>
      <c r="C19" t="s">
        <v>34</v>
      </c>
      <c r="F19" t="s">
        <v>26</v>
      </c>
    </row>
    <row r="20" spans="1:6" ht="28.8" x14ac:dyDescent="0.3">
      <c r="A20" s="1" t="s">
        <v>27</v>
      </c>
      <c r="B20" t="s">
        <v>28</v>
      </c>
      <c r="C20" s="2" t="s">
        <v>481</v>
      </c>
      <c r="F20" t="s">
        <v>29</v>
      </c>
    </row>
    <row r="21" spans="1:6" ht="28.8" x14ac:dyDescent="0.3">
      <c r="A21" s="1" t="s">
        <v>30</v>
      </c>
      <c r="B21" t="s">
        <v>31</v>
      </c>
      <c r="C21" s="2" t="s">
        <v>482</v>
      </c>
      <c r="F21" t="s">
        <v>32</v>
      </c>
    </row>
    <row r="23" spans="1:6" ht="15" thickBot="1" x14ac:dyDescent="0.35">
      <c r="A23" s="129" t="s">
        <v>469</v>
      </c>
      <c r="B23" s="129"/>
      <c r="C23" s="129"/>
      <c r="D23" s="129"/>
      <c r="E23" s="129"/>
      <c r="F23" s="129"/>
    </row>
    <row r="24" spans="1:6" ht="15" thickTop="1" x14ac:dyDescent="0.3">
      <c r="A24" s="8" t="s">
        <v>21</v>
      </c>
      <c r="B24" s="8" t="s">
        <v>7</v>
      </c>
      <c r="C24" s="127" t="s">
        <v>471</v>
      </c>
      <c r="D24" s="127"/>
      <c r="E24" s="127"/>
      <c r="F24" s="8"/>
    </row>
    <row r="25" spans="1:6" x14ac:dyDescent="0.3">
      <c r="A25" s="1" t="s">
        <v>467</v>
      </c>
      <c r="B25" t="s">
        <v>470</v>
      </c>
      <c r="C25" t="s">
        <v>25</v>
      </c>
    </row>
  </sheetData>
  <mergeCells count="7">
    <mergeCell ref="C24:E24"/>
    <mergeCell ref="C13:E13"/>
    <mergeCell ref="A8:F8"/>
    <mergeCell ref="A17:F17"/>
    <mergeCell ref="C18:E18"/>
    <mergeCell ref="A23:F23"/>
    <mergeCell ref="A12:F12"/>
  </mergeCells>
  <hyperlinks>
    <hyperlink ref="A1" location="Index!A1" display="Index" xr:uid="{00000000-0004-0000-0500-000000000000}"/>
    <hyperlink ref="A19" location="'Process Metadata'!A5" display="Import_Batch" xr:uid="{00000000-0004-0000-0500-000001000000}"/>
    <hyperlink ref="A20" location="'Process Metadata'!A16" display="Import_Batch_Process" xr:uid="{00000000-0004-0000-0500-000002000000}"/>
    <hyperlink ref="A21" location="'Process Metadata'!A25" display="Import_Batch_Process_Task" xr:uid="{00000000-0004-0000-0500-000003000000}"/>
    <hyperlink ref="A10" location="S1_MM_Stock_Take!A1" display="S1_MM_Stock_Take!A1" xr:uid="{00000000-0004-0000-0500-000004000000}"/>
    <hyperlink ref="E10" location="SF_MM_Stock_Take!A1" display="SF_MM_Stock_Take" xr:uid="{00000000-0004-0000-0500-000005000000}"/>
    <hyperlink ref="A25" location="'Process Metadata'!J5" display="V_IB_Latest" xr:uid="{00000000-0004-0000-0500-000006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04981-0DC2-43F3-B849-F24063E5DB8D}">
  <sheetPr>
    <tabColor rgb="FF92D050"/>
  </sheetPr>
  <dimension ref="A1:G10"/>
  <sheetViews>
    <sheetView workbookViewId="0"/>
  </sheetViews>
  <sheetFormatPr defaultRowHeight="14.4" x14ac:dyDescent="0.3"/>
  <cols>
    <col min="1" max="1" width="17.33203125" bestFit="1" customWidth="1"/>
    <col min="2" max="2" width="11.21875" bestFit="1" customWidth="1"/>
    <col min="3" max="3" width="9.5546875" bestFit="1" customWidth="1"/>
    <col min="4" max="4" width="26.21875" bestFit="1" customWidth="1"/>
    <col min="5" max="5" width="14.109375" customWidth="1"/>
    <col min="6" max="6" width="13.6640625" customWidth="1"/>
    <col min="7" max="7" width="76.21875" bestFit="1" customWidth="1"/>
  </cols>
  <sheetData>
    <row r="1" spans="1:7" x14ac:dyDescent="0.3">
      <c r="A1" s="5" t="s">
        <v>5</v>
      </c>
      <c r="C1" s="85"/>
      <c r="D1" s="2"/>
    </row>
    <row r="2" spans="1:7" x14ac:dyDescent="0.3">
      <c r="C2" s="85"/>
      <c r="D2" s="2"/>
    </row>
    <row r="3" spans="1:7" ht="57.6" x14ac:dyDescent="0.3">
      <c r="A3" s="10" t="s">
        <v>15</v>
      </c>
      <c r="B3" s="10" t="s">
        <v>16</v>
      </c>
      <c r="C3" s="10" t="s">
        <v>495</v>
      </c>
      <c r="D3" s="10" t="s">
        <v>651</v>
      </c>
      <c r="E3" s="10" t="s">
        <v>17</v>
      </c>
      <c r="F3" s="10" t="s">
        <v>256</v>
      </c>
      <c r="G3" s="10" t="s">
        <v>257</v>
      </c>
    </row>
    <row r="4" spans="1:7" x14ac:dyDescent="0.3">
      <c r="A4" s="9" t="s">
        <v>689</v>
      </c>
      <c r="B4" t="s">
        <v>20</v>
      </c>
      <c r="C4" s="2"/>
      <c r="D4" t="s">
        <v>652</v>
      </c>
      <c r="E4" s="85">
        <v>2019</v>
      </c>
      <c r="F4" s="85">
        <v>2019</v>
      </c>
      <c r="G4" s="126" t="s">
        <v>662</v>
      </c>
    </row>
    <row r="5" spans="1:7" x14ac:dyDescent="0.3">
      <c r="A5" s="9" t="s">
        <v>690</v>
      </c>
      <c r="B5" t="s">
        <v>20</v>
      </c>
      <c r="C5" s="2"/>
      <c r="D5">
        <v>0</v>
      </c>
      <c r="E5" s="85">
        <v>36</v>
      </c>
      <c r="F5" s="85">
        <v>47</v>
      </c>
      <c r="G5" s="89"/>
    </row>
    <row r="6" spans="1:7" x14ac:dyDescent="0.3">
      <c r="A6" s="9" t="s">
        <v>691</v>
      </c>
      <c r="B6" t="s">
        <v>57</v>
      </c>
      <c r="C6" s="2"/>
      <c r="D6" t="s">
        <v>687</v>
      </c>
      <c r="E6" s="133">
        <v>43714</v>
      </c>
      <c r="F6" s="133">
        <v>43791</v>
      </c>
    </row>
    <row r="7" spans="1:7" x14ac:dyDescent="0.3">
      <c r="A7" s="9" t="s">
        <v>692</v>
      </c>
      <c r="B7" t="s">
        <v>685</v>
      </c>
      <c r="C7" s="85"/>
      <c r="D7" s="2" t="s">
        <v>686</v>
      </c>
      <c r="E7" t="s">
        <v>681</v>
      </c>
      <c r="F7" t="s">
        <v>682</v>
      </c>
    </row>
    <row r="8" spans="1:7" x14ac:dyDescent="0.3">
      <c r="A8" s="9" t="s">
        <v>693</v>
      </c>
      <c r="B8" t="s">
        <v>61</v>
      </c>
      <c r="D8" t="s">
        <v>688</v>
      </c>
      <c r="E8" t="s">
        <v>683</v>
      </c>
      <c r="F8" t="s">
        <v>684</v>
      </c>
    </row>
    <row r="9" spans="1:7" x14ac:dyDescent="0.3">
      <c r="A9" s="9" t="s">
        <v>694</v>
      </c>
      <c r="B9" t="s">
        <v>680</v>
      </c>
      <c r="D9">
        <v>0</v>
      </c>
      <c r="E9">
        <v>0.5</v>
      </c>
      <c r="F9">
        <v>6</v>
      </c>
    </row>
    <row r="10" spans="1:7" x14ac:dyDescent="0.3">
      <c r="A10" s="9" t="s">
        <v>661</v>
      </c>
      <c r="B10" t="s">
        <v>20</v>
      </c>
      <c r="C10" s="85" t="s">
        <v>650</v>
      </c>
      <c r="D10" s="2"/>
      <c r="E10" s="85">
        <v>1</v>
      </c>
      <c r="F10" s="85">
        <v>1</v>
      </c>
      <c r="G10" t="s">
        <v>660</v>
      </c>
    </row>
  </sheetData>
  <hyperlinks>
    <hyperlink ref="A1" location="Index!A1" display="Index" xr:uid="{F3F523B8-054E-452A-BFA1-AC4EDB775A9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20795-922C-4A52-B05D-1C10DFFEFDC1}">
  <sheetPr>
    <tabColor rgb="FF92D050"/>
  </sheetPr>
  <dimension ref="A1:G12"/>
  <sheetViews>
    <sheetView workbookViewId="0">
      <selection activeCell="B7" sqref="A7:B7"/>
    </sheetView>
  </sheetViews>
  <sheetFormatPr defaultRowHeight="14.4" x14ac:dyDescent="0.3"/>
  <cols>
    <col min="1" max="1" width="17.33203125" bestFit="1" customWidth="1"/>
    <col min="2" max="2" width="11.21875" bestFit="1" customWidth="1"/>
    <col min="3" max="3" width="9.5546875" bestFit="1" customWidth="1"/>
    <col min="4" max="4" width="26.21875" bestFit="1" customWidth="1"/>
    <col min="5" max="5" width="16.5546875" bestFit="1" customWidth="1"/>
    <col min="6" max="6" width="22.109375" bestFit="1" customWidth="1"/>
    <col min="7" max="7" width="76.21875" bestFit="1" customWidth="1"/>
  </cols>
  <sheetData>
    <row r="1" spans="1:7" x14ac:dyDescent="0.3">
      <c r="A1" s="5" t="s">
        <v>5</v>
      </c>
      <c r="C1" s="85"/>
      <c r="D1" s="2"/>
    </row>
    <row r="2" spans="1:7" x14ac:dyDescent="0.3">
      <c r="C2" s="85"/>
      <c r="D2" s="2"/>
    </row>
    <row r="3" spans="1:7" ht="57.6" x14ac:dyDescent="0.3">
      <c r="A3" s="10" t="s">
        <v>15</v>
      </c>
      <c r="B3" s="10" t="s">
        <v>16</v>
      </c>
      <c r="C3" s="10" t="s">
        <v>495</v>
      </c>
      <c r="D3" s="10" t="s">
        <v>651</v>
      </c>
      <c r="E3" s="10" t="s">
        <v>17</v>
      </c>
      <c r="F3" s="10" t="s">
        <v>256</v>
      </c>
      <c r="G3" s="10" t="s">
        <v>257</v>
      </c>
    </row>
    <row r="4" spans="1:7" x14ac:dyDescent="0.3">
      <c r="A4" s="9" t="s">
        <v>666</v>
      </c>
      <c r="B4" t="s">
        <v>61</v>
      </c>
      <c r="C4" s="2"/>
      <c r="D4" t="s">
        <v>652</v>
      </c>
      <c r="E4" s="85" t="s">
        <v>669</v>
      </c>
      <c r="F4" s="85" t="s">
        <v>671</v>
      </c>
      <c r="G4" s="126" t="s">
        <v>662</v>
      </c>
    </row>
    <row r="5" spans="1:7" x14ac:dyDescent="0.3">
      <c r="A5" s="9" t="s">
        <v>667</v>
      </c>
      <c r="B5" t="s">
        <v>36</v>
      </c>
      <c r="C5" s="2"/>
      <c r="D5" t="s">
        <v>674</v>
      </c>
      <c r="E5" s="85" t="s">
        <v>670</v>
      </c>
      <c r="F5" s="85" t="s">
        <v>673</v>
      </c>
      <c r="G5" s="89"/>
    </row>
    <row r="6" spans="1:7" x14ac:dyDescent="0.3">
      <c r="A6" s="9" t="s">
        <v>668</v>
      </c>
      <c r="B6" t="s">
        <v>36</v>
      </c>
      <c r="C6" s="2"/>
      <c r="D6" t="s">
        <v>675</v>
      </c>
      <c r="E6" s="85" t="s">
        <v>670</v>
      </c>
      <c r="F6" s="85" t="s">
        <v>672</v>
      </c>
      <c r="G6" t="s">
        <v>676</v>
      </c>
    </row>
    <row r="7" spans="1:7" x14ac:dyDescent="0.3">
      <c r="A7" s="9" t="s">
        <v>661</v>
      </c>
      <c r="B7" t="s">
        <v>20</v>
      </c>
      <c r="C7" s="85" t="s">
        <v>650</v>
      </c>
      <c r="D7" s="2"/>
      <c r="E7" s="85">
        <v>1</v>
      </c>
      <c r="F7" s="85">
        <v>1</v>
      </c>
      <c r="G7" t="s">
        <v>660</v>
      </c>
    </row>
    <row r="8" spans="1:7" x14ac:dyDescent="0.3">
      <c r="A8" s="9"/>
      <c r="C8" s="2"/>
      <c r="E8" s="85"/>
    </row>
    <row r="9" spans="1:7" x14ac:dyDescent="0.3">
      <c r="A9" s="9"/>
      <c r="C9" s="2"/>
      <c r="E9" s="85"/>
    </row>
    <row r="10" spans="1:7" x14ac:dyDescent="0.3">
      <c r="A10" s="9"/>
      <c r="C10" s="2"/>
      <c r="E10" s="85"/>
    </row>
    <row r="11" spans="1:7" x14ac:dyDescent="0.3">
      <c r="A11" s="9"/>
      <c r="C11" s="2"/>
      <c r="E11" s="85"/>
      <c r="F11" s="85"/>
    </row>
    <row r="12" spans="1:7" x14ac:dyDescent="0.3">
      <c r="A12" s="9"/>
      <c r="C12" s="85"/>
      <c r="D12" s="2"/>
      <c r="E12" s="85"/>
      <c r="F12" s="85"/>
    </row>
  </sheetData>
  <hyperlinks>
    <hyperlink ref="A1" location="Index!A1" display="Index" xr:uid="{504A2B88-7B52-4549-BDB0-2B4F5258480F}"/>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8A2A2-2559-4ECF-B52E-691BC8880E6E}">
  <sheetPr>
    <tabColor rgb="FF92D050"/>
  </sheetPr>
  <dimension ref="A1:G22"/>
  <sheetViews>
    <sheetView workbookViewId="0">
      <selection activeCell="G9" sqref="G9"/>
    </sheetView>
  </sheetViews>
  <sheetFormatPr defaultRowHeight="14.4" x14ac:dyDescent="0.3"/>
  <cols>
    <col min="1" max="1" width="45.77734375" bestFit="1" customWidth="1"/>
    <col min="2" max="2" width="12.109375" bestFit="1" customWidth="1"/>
    <col min="3" max="3" width="9.5546875" bestFit="1" customWidth="1"/>
    <col min="4" max="4" width="23.33203125" bestFit="1" customWidth="1"/>
    <col min="5" max="5" width="16.5546875" bestFit="1" customWidth="1"/>
    <col min="6" max="6" width="22.109375" bestFit="1" customWidth="1"/>
    <col min="7" max="7" width="65.6640625" bestFit="1" customWidth="1"/>
  </cols>
  <sheetData>
    <row r="1" spans="1:7" x14ac:dyDescent="0.3">
      <c r="A1" s="5" t="s">
        <v>5</v>
      </c>
      <c r="C1" s="85"/>
      <c r="D1" s="2"/>
    </row>
    <row r="2" spans="1:7" x14ac:dyDescent="0.3">
      <c r="C2" s="85"/>
      <c r="D2" s="2"/>
    </row>
    <row r="3" spans="1:7" ht="28.8" x14ac:dyDescent="0.3">
      <c r="A3" s="10" t="s">
        <v>15</v>
      </c>
      <c r="B3" s="10" t="s">
        <v>16</v>
      </c>
      <c r="C3" s="10" t="s">
        <v>495</v>
      </c>
      <c r="D3" s="10" t="s">
        <v>651</v>
      </c>
      <c r="E3" s="10" t="s">
        <v>17</v>
      </c>
      <c r="F3" s="10" t="s">
        <v>256</v>
      </c>
      <c r="G3" s="10" t="s">
        <v>257</v>
      </c>
    </row>
    <row r="4" spans="1:7" x14ac:dyDescent="0.3">
      <c r="A4" s="9" t="s">
        <v>625</v>
      </c>
      <c r="B4" t="s">
        <v>646</v>
      </c>
      <c r="C4" s="2"/>
      <c r="D4" t="s">
        <v>652</v>
      </c>
      <c r="E4" s="85" t="s">
        <v>636</v>
      </c>
      <c r="F4" s="85" t="s">
        <v>642</v>
      </c>
      <c r="G4" s="126" t="s">
        <v>662</v>
      </c>
    </row>
    <row r="5" spans="1:7" x14ac:dyDescent="0.3">
      <c r="A5" s="9" t="s">
        <v>626</v>
      </c>
      <c r="B5" t="s">
        <v>646</v>
      </c>
      <c r="C5" s="2"/>
      <c r="D5" t="s">
        <v>135</v>
      </c>
      <c r="E5" s="85" t="s">
        <v>637</v>
      </c>
      <c r="F5" s="85" t="s">
        <v>643</v>
      </c>
      <c r="G5" s="89"/>
    </row>
    <row r="6" spans="1:7" x14ac:dyDescent="0.3">
      <c r="A6" s="9" t="s">
        <v>627</v>
      </c>
      <c r="B6" t="s">
        <v>647</v>
      </c>
      <c r="C6" s="2"/>
      <c r="D6" t="s">
        <v>654</v>
      </c>
      <c r="E6" s="85" t="s">
        <v>638</v>
      </c>
      <c r="F6" s="85" t="s">
        <v>644</v>
      </c>
    </row>
    <row r="7" spans="1:7" x14ac:dyDescent="0.3">
      <c r="A7" s="9" t="s">
        <v>628</v>
      </c>
      <c r="B7" t="s">
        <v>648</v>
      </c>
      <c r="C7" s="2"/>
      <c r="D7" t="s">
        <v>655</v>
      </c>
      <c r="E7" s="85" t="s">
        <v>639</v>
      </c>
      <c r="F7" s="85" t="s">
        <v>644</v>
      </c>
    </row>
    <row r="8" spans="1:7" x14ac:dyDescent="0.3">
      <c r="A8" s="9" t="s">
        <v>629</v>
      </c>
      <c r="B8" t="s">
        <v>647</v>
      </c>
      <c r="C8" s="2"/>
      <c r="D8" t="s">
        <v>656</v>
      </c>
      <c r="E8" s="85" t="s">
        <v>640</v>
      </c>
      <c r="F8" t="s">
        <v>656</v>
      </c>
    </row>
    <row r="9" spans="1:7" x14ac:dyDescent="0.3">
      <c r="A9" s="9" t="s">
        <v>630</v>
      </c>
      <c r="B9" t="s">
        <v>647</v>
      </c>
      <c r="C9" s="2"/>
      <c r="D9" t="s">
        <v>657</v>
      </c>
      <c r="E9" s="85" t="s">
        <v>659</v>
      </c>
      <c r="F9" t="s">
        <v>657</v>
      </c>
      <c r="G9" t="s">
        <v>663</v>
      </c>
    </row>
    <row r="10" spans="1:7" x14ac:dyDescent="0.3">
      <c r="A10" s="9" t="s">
        <v>631</v>
      </c>
      <c r="B10" t="s">
        <v>648</v>
      </c>
      <c r="C10" s="2"/>
      <c r="D10" t="s">
        <v>658</v>
      </c>
      <c r="E10" s="85" t="s">
        <v>641</v>
      </c>
      <c r="F10" t="s">
        <v>658</v>
      </c>
    </row>
    <row r="11" spans="1:7" x14ac:dyDescent="0.3">
      <c r="A11" s="9" t="s">
        <v>632</v>
      </c>
      <c r="B11" t="s">
        <v>649</v>
      </c>
      <c r="C11" s="2"/>
      <c r="D11" t="s">
        <v>653</v>
      </c>
      <c r="E11" s="85">
        <v>1200</v>
      </c>
      <c r="F11" s="85" t="s">
        <v>653</v>
      </c>
    </row>
    <row r="12" spans="1:7" x14ac:dyDescent="0.3">
      <c r="A12" s="9" t="s">
        <v>661</v>
      </c>
      <c r="B12" t="s">
        <v>20</v>
      </c>
      <c r="C12" s="85" t="s">
        <v>650</v>
      </c>
      <c r="D12" s="2"/>
      <c r="E12" s="85">
        <v>1</v>
      </c>
      <c r="F12" s="85">
        <v>1</v>
      </c>
      <c r="G12" t="s">
        <v>660</v>
      </c>
    </row>
    <row r="13" spans="1:7" x14ac:dyDescent="0.3">
      <c r="C13" s="85"/>
      <c r="D13" s="2"/>
      <c r="E13" s="85"/>
      <c r="F13" s="85"/>
    </row>
    <row r="14" spans="1:7" x14ac:dyDescent="0.3">
      <c r="C14" s="85"/>
      <c r="D14" s="2"/>
      <c r="E14" s="85"/>
      <c r="F14" s="85"/>
    </row>
    <row r="15" spans="1:7" x14ac:dyDescent="0.3">
      <c r="C15" s="85"/>
      <c r="D15" s="2"/>
      <c r="E15" s="85"/>
      <c r="F15" s="85"/>
    </row>
    <row r="16" spans="1:7" x14ac:dyDescent="0.3">
      <c r="C16" s="85"/>
      <c r="D16" s="2"/>
      <c r="E16" s="85"/>
      <c r="F16" s="85"/>
    </row>
    <row r="17" spans="1:7" x14ac:dyDescent="0.3">
      <c r="C17" s="85"/>
      <c r="D17" s="2"/>
      <c r="E17" s="85"/>
      <c r="F17" s="85"/>
    </row>
    <row r="18" spans="1:7" x14ac:dyDescent="0.3">
      <c r="C18" s="85"/>
      <c r="D18" s="2"/>
      <c r="E18" s="85"/>
      <c r="F18" s="85"/>
    </row>
    <row r="19" spans="1:7" x14ac:dyDescent="0.3">
      <c r="C19" s="85"/>
      <c r="D19" s="2"/>
      <c r="E19" s="85"/>
      <c r="F19" s="85"/>
    </row>
    <row r="20" spans="1:7" x14ac:dyDescent="0.3">
      <c r="A20" s="49"/>
      <c r="B20" s="49"/>
      <c r="C20" s="49"/>
      <c r="D20" s="54"/>
      <c r="E20" s="85"/>
      <c r="F20" s="85"/>
      <c r="G20" s="50"/>
    </row>
    <row r="21" spans="1:7" x14ac:dyDescent="0.3">
      <c r="C21" s="85"/>
      <c r="D21" s="2"/>
    </row>
    <row r="22" spans="1:7" x14ac:dyDescent="0.3">
      <c r="C22" s="85"/>
      <c r="D22" s="2"/>
    </row>
  </sheetData>
  <hyperlinks>
    <hyperlink ref="A1" location="Index!A1" display="Index" xr:uid="{0C163DE4-A04C-46FF-94A9-6B2A674F015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H28"/>
  <sheetViews>
    <sheetView zoomScaleNormal="100" workbookViewId="0"/>
  </sheetViews>
  <sheetFormatPr defaultColWidth="21.33203125" defaultRowHeight="14.4" x14ac:dyDescent="0.3"/>
  <cols>
    <col min="1" max="1" width="45.109375" bestFit="1" customWidth="1"/>
    <col min="2" max="2" width="16.109375" customWidth="1"/>
    <col min="3" max="3" width="14.44140625" customWidth="1"/>
    <col min="4" max="4" width="41.88671875" style="2" customWidth="1"/>
    <col min="5" max="5" width="34.5546875" style="48" bestFit="1" customWidth="1"/>
    <col min="6" max="6" width="17.6640625" customWidth="1"/>
    <col min="7" max="7" width="20.6640625" customWidth="1"/>
    <col min="8" max="8" width="30.6640625" bestFit="1" customWidth="1"/>
  </cols>
  <sheetData>
    <row r="1" spans="1:8" x14ac:dyDescent="0.3">
      <c r="A1" s="5" t="s">
        <v>5</v>
      </c>
    </row>
    <row r="3" spans="1:8" x14ac:dyDescent="0.3">
      <c r="A3" s="10" t="s">
        <v>15</v>
      </c>
      <c r="B3" s="10" t="s">
        <v>16</v>
      </c>
      <c r="C3" s="10" t="s">
        <v>465</v>
      </c>
      <c r="D3" s="10" t="s">
        <v>7</v>
      </c>
      <c r="E3" s="10" t="s">
        <v>255</v>
      </c>
      <c r="F3" s="10" t="s">
        <v>17</v>
      </c>
      <c r="G3" s="10" t="s">
        <v>256</v>
      </c>
      <c r="H3" s="10" t="s">
        <v>257</v>
      </c>
    </row>
    <row r="4" spans="1:8" x14ac:dyDescent="0.3">
      <c r="A4" t="s">
        <v>272</v>
      </c>
      <c r="B4" t="s">
        <v>67</v>
      </c>
      <c r="D4" s="2" t="s">
        <v>284</v>
      </c>
      <c r="F4" s="83">
        <v>2018</v>
      </c>
      <c r="G4" s="83">
        <v>2019</v>
      </c>
      <c r="H4" s="55" t="s">
        <v>288</v>
      </c>
    </row>
    <row r="5" spans="1:8" x14ac:dyDescent="0.3">
      <c r="A5" t="s">
        <v>275</v>
      </c>
      <c r="B5" t="s">
        <v>66</v>
      </c>
      <c r="D5" s="2" t="s">
        <v>285</v>
      </c>
      <c r="F5" s="83" t="s">
        <v>327</v>
      </c>
      <c r="G5" s="83" t="s">
        <v>330</v>
      </c>
      <c r="H5" s="55" t="s">
        <v>288</v>
      </c>
    </row>
    <row r="6" spans="1:8" x14ac:dyDescent="0.3">
      <c r="A6" t="s">
        <v>276</v>
      </c>
      <c r="B6" t="s">
        <v>61</v>
      </c>
      <c r="D6" s="2" t="s">
        <v>286</v>
      </c>
      <c r="E6" s="48" t="s">
        <v>135</v>
      </c>
      <c r="F6" s="57" t="s">
        <v>328</v>
      </c>
      <c r="G6" s="57" t="s">
        <v>229</v>
      </c>
      <c r="H6" s="83"/>
    </row>
    <row r="7" spans="1:8" x14ac:dyDescent="0.3">
      <c r="A7" t="s">
        <v>277</v>
      </c>
      <c r="B7" t="s">
        <v>61</v>
      </c>
      <c r="D7" s="2" t="s">
        <v>292</v>
      </c>
      <c r="E7" s="51" t="s">
        <v>135</v>
      </c>
      <c r="F7" s="83" t="s">
        <v>138</v>
      </c>
      <c r="G7" s="83" t="s">
        <v>230</v>
      </c>
      <c r="H7" s="83"/>
    </row>
    <row r="8" spans="1:8" x14ac:dyDescent="0.3">
      <c r="A8" t="s">
        <v>278</v>
      </c>
      <c r="B8" t="s">
        <v>61</v>
      </c>
      <c r="D8" s="2" t="s">
        <v>293</v>
      </c>
      <c r="E8" s="51" t="s">
        <v>289</v>
      </c>
      <c r="F8" s="83" t="s">
        <v>329</v>
      </c>
      <c r="G8" s="83" t="s">
        <v>331</v>
      </c>
      <c r="H8" s="83"/>
    </row>
    <row r="9" spans="1:8" x14ac:dyDescent="0.3">
      <c r="A9" t="s">
        <v>279</v>
      </c>
      <c r="B9" t="s">
        <v>61</v>
      </c>
      <c r="D9" s="2" t="s">
        <v>294</v>
      </c>
      <c r="E9" s="51" t="s">
        <v>289</v>
      </c>
      <c r="F9" s="83" t="s">
        <v>289</v>
      </c>
      <c r="G9" s="83" t="s">
        <v>232</v>
      </c>
      <c r="H9" s="83"/>
    </row>
    <row r="10" spans="1:8" x14ac:dyDescent="0.3">
      <c r="A10" t="s">
        <v>280</v>
      </c>
      <c r="B10" t="s">
        <v>61</v>
      </c>
      <c r="D10" s="2" t="s">
        <v>295</v>
      </c>
      <c r="E10" s="51" t="s">
        <v>135</v>
      </c>
      <c r="F10" s="83">
        <v>0.5</v>
      </c>
      <c r="G10" s="83" t="s">
        <v>233</v>
      </c>
      <c r="H10" s="83"/>
    </row>
    <row r="11" spans="1:8" x14ac:dyDescent="0.3">
      <c r="A11" t="s">
        <v>296</v>
      </c>
      <c r="B11" t="s">
        <v>250</v>
      </c>
      <c r="D11" s="2" t="s">
        <v>287</v>
      </c>
      <c r="E11" s="51" t="s">
        <v>289</v>
      </c>
      <c r="F11" s="83" t="s">
        <v>226</v>
      </c>
      <c r="G11" s="83" t="s">
        <v>226</v>
      </c>
      <c r="H11" s="83"/>
    </row>
    <row r="12" spans="1:8" x14ac:dyDescent="0.3">
      <c r="A12" t="s">
        <v>297</v>
      </c>
      <c r="B12" t="s">
        <v>61</v>
      </c>
      <c r="D12" s="2" t="s">
        <v>298</v>
      </c>
      <c r="E12" s="51" t="s">
        <v>289</v>
      </c>
      <c r="F12" s="83" t="s">
        <v>289</v>
      </c>
      <c r="G12" s="83" t="s">
        <v>234</v>
      </c>
      <c r="H12" s="83"/>
    </row>
    <row r="13" spans="1:8" x14ac:dyDescent="0.3">
      <c r="A13" t="s">
        <v>299</v>
      </c>
      <c r="B13" t="s">
        <v>36</v>
      </c>
      <c r="D13" s="2" t="s">
        <v>300</v>
      </c>
      <c r="E13" s="51" t="s">
        <v>289</v>
      </c>
      <c r="F13" s="83" t="s">
        <v>289</v>
      </c>
      <c r="G13" s="83" t="s">
        <v>289</v>
      </c>
      <c r="H13" s="83"/>
    </row>
    <row r="14" spans="1:8" x14ac:dyDescent="0.3">
      <c r="A14" t="s">
        <v>303</v>
      </c>
      <c r="B14" t="s">
        <v>301</v>
      </c>
      <c r="D14" s="2" t="s">
        <v>302</v>
      </c>
      <c r="E14" s="48">
        <v>-1</v>
      </c>
      <c r="F14" s="83">
        <v>2450</v>
      </c>
      <c r="G14" s="83">
        <v>-1</v>
      </c>
      <c r="H14" s="83"/>
    </row>
    <row r="15" spans="1:8" x14ac:dyDescent="0.3">
      <c r="A15" t="s">
        <v>340</v>
      </c>
      <c r="B15" t="s">
        <v>301</v>
      </c>
      <c r="D15" s="2" t="s">
        <v>304</v>
      </c>
      <c r="E15" s="51">
        <v>-1</v>
      </c>
      <c r="F15" s="83">
        <v>1225</v>
      </c>
      <c r="G15" s="83">
        <v>-1</v>
      </c>
      <c r="H15" s="83"/>
    </row>
    <row r="16" spans="1:8" x14ac:dyDescent="0.3">
      <c r="A16" t="s">
        <v>305</v>
      </c>
      <c r="B16" t="s">
        <v>301</v>
      </c>
      <c r="D16" s="2" t="s">
        <v>306</v>
      </c>
      <c r="E16" s="51">
        <v>-1</v>
      </c>
      <c r="F16" s="83">
        <v>-1</v>
      </c>
      <c r="G16" s="83">
        <v>-1</v>
      </c>
      <c r="H16" s="83"/>
    </row>
    <row r="17" spans="1:8" x14ac:dyDescent="0.3">
      <c r="A17" t="s">
        <v>307</v>
      </c>
      <c r="B17" t="s">
        <v>301</v>
      </c>
      <c r="D17" s="2" t="s">
        <v>308</v>
      </c>
      <c r="E17" s="51">
        <v>-1</v>
      </c>
      <c r="F17" s="83">
        <v>-1</v>
      </c>
      <c r="G17" s="83">
        <v>-1</v>
      </c>
      <c r="H17" s="83"/>
    </row>
    <row r="18" spans="1:8" x14ac:dyDescent="0.3">
      <c r="A18" t="s">
        <v>309</v>
      </c>
      <c r="B18" t="s">
        <v>301</v>
      </c>
      <c r="D18" s="2" t="s">
        <v>310</v>
      </c>
      <c r="E18" s="51">
        <v>-1</v>
      </c>
      <c r="F18" s="83">
        <v>0.5</v>
      </c>
      <c r="G18" s="83">
        <v>-1</v>
      </c>
      <c r="H18" s="83"/>
    </row>
    <row r="19" spans="1:8" ht="28.8" x14ac:dyDescent="0.3">
      <c r="A19" t="s">
        <v>281</v>
      </c>
      <c r="B19" t="s">
        <v>311</v>
      </c>
      <c r="C19" t="s">
        <v>11</v>
      </c>
      <c r="D19" s="2" t="s">
        <v>312</v>
      </c>
      <c r="E19" s="48" t="s">
        <v>290</v>
      </c>
      <c r="F19" s="83">
        <v>1.8049999999999999</v>
      </c>
      <c r="G19" s="83" t="s">
        <v>326</v>
      </c>
      <c r="H19" s="83" t="s">
        <v>313</v>
      </c>
    </row>
    <row r="20" spans="1:8" ht="28.8" x14ac:dyDescent="0.3">
      <c r="A20" t="s">
        <v>282</v>
      </c>
      <c r="B20" t="s">
        <v>311</v>
      </c>
      <c r="C20" t="s">
        <v>11</v>
      </c>
      <c r="D20" s="2" t="s">
        <v>314</v>
      </c>
      <c r="E20" s="51" t="s">
        <v>290</v>
      </c>
      <c r="F20" s="83">
        <v>0.93</v>
      </c>
      <c r="G20" s="83" t="s">
        <v>326</v>
      </c>
      <c r="H20" s="83" t="s">
        <v>313</v>
      </c>
    </row>
    <row r="21" spans="1:8" x14ac:dyDescent="0.3">
      <c r="A21" t="s">
        <v>315</v>
      </c>
      <c r="B21" t="s">
        <v>67</v>
      </c>
      <c r="C21" t="s">
        <v>11</v>
      </c>
      <c r="D21" s="2" t="s">
        <v>316</v>
      </c>
      <c r="E21" s="51" t="s">
        <v>290</v>
      </c>
      <c r="F21" s="83" t="s">
        <v>326</v>
      </c>
      <c r="G21" s="83">
        <v>4</v>
      </c>
      <c r="H21" s="83"/>
    </row>
    <row r="22" spans="1:8" ht="28.8" x14ac:dyDescent="0.3">
      <c r="A22" t="s">
        <v>317</v>
      </c>
      <c r="B22" t="s">
        <v>66</v>
      </c>
      <c r="D22" s="2" t="s">
        <v>318</v>
      </c>
      <c r="E22" s="51" t="s">
        <v>135</v>
      </c>
      <c r="F22" s="83" t="s">
        <v>227</v>
      </c>
      <c r="G22" s="83" t="s">
        <v>235</v>
      </c>
      <c r="H22" s="83"/>
    </row>
    <row r="23" spans="1:8" ht="28.8" x14ac:dyDescent="0.3">
      <c r="A23" t="s">
        <v>341</v>
      </c>
      <c r="B23" t="s">
        <v>139</v>
      </c>
      <c r="C23" t="s">
        <v>11</v>
      </c>
      <c r="D23" s="2" t="s">
        <v>319</v>
      </c>
      <c r="E23" s="51" t="s">
        <v>290</v>
      </c>
      <c r="F23" s="83" t="s">
        <v>326</v>
      </c>
      <c r="G23" s="83" t="s">
        <v>326</v>
      </c>
      <c r="H23" s="83"/>
    </row>
    <row r="24" spans="1:8" ht="28.8" x14ac:dyDescent="0.3">
      <c r="A24" t="s">
        <v>320</v>
      </c>
      <c r="B24" t="s">
        <v>301</v>
      </c>
      <c r="C24" t="s">
        <v>11</v>
      </c>
      <c r="D24" s="2" t="s">
        <v>321</v>
      </c>
      <c r="E24" s="51" t="s">
        <v>290</v>
      </c>
      <c r="F24" s="83">
        <v>62.37</v>
      </c>
      <c r="G24" s="83">
        <v>584.72</v>
      </c>
      <c r="H24" s="83"/>
    </row>
    <row r="25" spans="1:8" ht="28.8" x14ac:dyDescent="0.3">
      <c r="A25" t="s">
        <v>283</v>
      </c>
      <c r="B25" t="s">
        <v>301</v>
      </c>
      <c r="D25" s="2" t="s">
        <v>322</v>
      </c>
      <c r="E25" s="86" t="s">
        <v>325</v>
      </c>
      <c r="F25" s="83">
        <v>0.14000000000000001</v>
      </c>
      <c r="G25" s="83">
        <v>0.14000000000000001</v>
      </c>
      <c r="H25" s="83"/>
    </row>
    <row r="26" spans="1:8" ht="28.8" x14ac:dyDescent="0.3">
      <c r="A26" t="s">
        <v>323</v>
      </c>
      <c r="B26" t="s">
        <v>139</v>
      </c>
      <c r="D26" s="2" t="s">
        <v>324</v>
      </c>
      <c r="E26" s="86">
        <v>0</v>
      </c>
      <c r="F26" s="83">
        <v>91.839825000000005</v>
      </c>
      <c r="G26" s="83">
        <v>2051.6491230000001</v>
      </c>
      <c r="H26" s="83"/>
    </row>
    <row r="27" spans="1:8" x14ac:dyDescent="0.3">
      <c r="A27" t="s">
        <v>416</v>
      </c>
      <c r="B27" t="s">
        <v>61</v>
      </c>
      <c r="D27" s="2" t="s">
        <v>415</v>
      </c>
      <c r="E27" s="86"/>
      <c r="F27" s="83"/>
      <c r="G27" s="83"/>
      <c r="H27" s="83"/>
    </row>
    <row r="28" spans="1:8" s="49" customFormat="1" x14ac:dyDescent="0.3">
      <c r="A28" s="49" t="s">
        <v>19</v>
      </c>
      <c r="B28" s="49" t="s">
        <v>20</v>
      </c>
      <c r="D28" s="54" t="s">
        <v>258</v>
      </c>
      <c r="E28" s="50"/>
      <c r="F28" s="83">
        <v>1</v>
      </c>
      <c r="G28" s="83">
        <v>1</v>
      </c>
      <c r="H28" s="50" t="s">
        <v>259</v>
      </c>
    </row>
  </sheetData>
  <hyperlinks>
    <hyperlink ref="A1" location="Index!A1" display="Index" xr:uid="{00000000-0004-0000-06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F28"/>
  <sheetViews>
    <sheetView workbookViewId="0">
      <selection activeCell="B1" sqref="B1"/>
    </sheetView>
  </sheetViews>
  <sheetFormatPr defaultRowHeight="14.4" x14ac:dyDescent="0.3"/>
  <cols>
    <col min="1" max="1" width="31.44140625" customWidth="1"/>
    <col min="2" max="2" width="69.109375" bestFit="1" customWidth="1"/>
    <col min="3" max="3" width="30.6640625" customWidth="1"/>
    <col min="4" max="4" width="11.44140625" bestFit="1" customWidth="1"/>
    <col min="5" max="5" width="23" bestFit="1" customWidth="1"/>
    <col min="6" max="6" width="12.5546875" bestFit="1" customWidth="1"/>
  </cols>
  <sheetData>
    <row r="1" spans="1:6" x14ac:dyDescent="0.3">
      <c r="A1" s="5" t="s">
        <v>5</v>
      </c>
    </row>
    <row r="2" spans="1:6" x14ac:dyDescent="0.3">
      <c r="A2" t="s">
        <v>478</v>
      </c>
    </row>
    <row r="3" spans="1:6" x14ac:dyDescent="0.3">
      <c r="A3" t="s">
        <v>479</v>
      </c>
    </row>
    <row r="4" spans="1:6" x14ac:dyDescent="0.3">
      <c r="A4" t="s">
        <v>480</v>
      </c>
    </row>
    <row r="5" spans="1:6" x14ac:dyDescent="0.3">
      <c r="A5" t="s">
        <v>558</v>
      </c>
    </row>
    <row r="8" spans="1:6" x14ac:dyDescent="0.3">
      <c r="A8" s="128" t="s">
        <v>14</v>
      </c>
      <c r="B8" s="128"/>
      <c r="C8" s="128"/>
      <c r="D8" s="128"/>
      <c r="E8" s="128"/>
      <c r="F8" s="128"/>
    </row>
    <row r="9" spans="1:6" x14ac:dyDescent="0.3">
      <c r="A9" s="12" t="s">
        <v>21</v>
      </c>
      <c r="B9" s="12" t="s">
        <v>7</v>
      </c>
      <c r="C9" s="12" t="s">
        <v>2</v>
      </c>
      <c r="D9" s="12" t="s">
        <v>22</v>
      </c>
      <c r="E9" s="6" t="s">
        <v>6</v>
      </c>
      <c r="F9" s="12" t="s">
        <v>23</v>
      </c>
    </row>
    <row r="10" spans="1:6" x14ac:dyDescent="0.3">
      <c r="A10" s="1" t="s">
        <v>493</v>
      </c>
      <c r="B10" t="s">
        <v>379</v>
      </c>
      <c r="C10" t="s">
        <v>489</v>
      </c>
      <c r="D10" t="s">
        <v>35</v>
      </c>
      <c r="E10" s="5" t="s">
        <v>498</v>
      </c>
      <c r="F10" t="s">
        <v>492</v>
      </c>
    </row>
    <row r="11" spans="1:6" x14ac:dyDescent="0.3">
      <c r="A11" s="1" t="s">
        <v>494</v>
      </c>
      <c r="B11" t="s">
        <v>496</v>
      </c>
      <c r="C11" t="s">
        <v>263</v>
      </c>
      <c r="D11" t="s">
        <v>497</v>
      </c>
      <c r="E11" s="1" t="s">
        <v>271</v>
      </c>
      <c r="F11" t="s">
        <v>499</v>
      </c>
    </row>
    <row r="12" spans="1:6" x14ac:dyDescent="0.3">
      <c r="A12" s="1" t="s">
        <v>516</v>
      </c>
      <c r="B12" t="s">
        <v>517</v>
      </c>
      <c r="C12" t="s">
        <v>263</v>
      </c>
      <c r="D12" t="s">
        <v>497</v>
      </c>
      <c r="E12" s="1" t="s">
        <v>271</v>
      </c>
      <c r="F12" t="s">
        <v>273</v>
      </c>
    </row>
    <row r="14" spans="1:6" ht="15" thickBot="1" x14ac:dyDescent="0.35">
      <c r="A14" s="128" t="s">
        <v>486</v>
      </c>
      <c r="B14" s="128"/>
      <c r="C14" s="128"/>
      <c r="D14" s="128"/>
      <c r="E14" s="128"/>
      <c r="F14" s="128"/>
    </row>
    <row r="15" spans="1:6" ht="15" thickTop="1" x14ac:dyDescent="0.3">
      <c r="A15" s="12" t="s">
        <v>21</v>
      </c>
      <c r="B15" s="12" t="s">
        <v>7</v>
      </c>
      <c r="C15" s="127" t="s">
        <v>471</v>
      </c>
      <c r="D15" s="127"/>
      <c r="E15" s="127"/>
      <c r="F15" s="12"/>
    </row>
    <row r="16" spans="1:6" x14ac:dyDescent="0.3">
      <c r="A16" t="s">
        <v>532</v>
      </c>
      <c r="B16" t="s">
        <v>533</v>
      </c>
      <c r="C16" t="s">
        <v>516</v>
      </c>
    </row>
    <row r="20" spans="1:6" ht="15" thickBot="1" x14ac:dyDescent="0.35">
      <c r="A20" s="129" t="s">
        <v>24</v>
      </c>
      <c r="B20" s="129"/>
      <c r="C20" s="129"/>
      <c r="D20" s="129"/>
      <c r="E20" s="129"/>
      <c r="F20" s="129"/>
    </row>
    <row r="21" spans="1:6" ht="15" thickTop="1" x14ac:dyDescent="0.3">
      <c r="A21" s="8" t="s">
        <v>21</v>
      </c>
      <c r="B21" s="8" t="s">
        <v>7</v>
      </c>
      <c r="C21" s="127" t="s">
        <v>483</v>
      </c>
      <c r="D21" s="127"/>
      <c r="E21" s="127"/>
      <c r="F21" s="8" t="s">
        <v>23</v>
      </c>
    </row>
    <row r="22" spans="1:6" x14ac:dyDescent="0.3">
      <c r="A22" s="1" t="s">
        <v>25</v>
      </c>
      <c r="B22" t="s">
        <v>33</v>
      </c>
      <c r="C22" t="s">
        <v>559</v>
      </c>
      <c r="F22" t="s">
        <v>26</v>
      </c>
    </row>
    <row r="23" spans="1:6" ht="28.8" x14ac:dyDescent="0.3">
      <c r="A23" s="1" t="s">
        <v>27</v>
      </c>
      <c r="B23" t="s">
        <v>28</v>
      </c>
      <c r="C23" s="2" t="s">
        <v>560</v>
      </c>
      <c r="F23" t="s">
        <v>29</v>
      </c>
    </row>
    <row r="24" spans="1:6" ht="43.2" x14ac:dyDescent="0.3">
      <c r="A24" s="1" t="s">
        <v>30</v>
      </c>
      <c r="B24" t="s">
        <v>31</v>
      </c>
      <c r="C24" s="2" t="s">
        <v>561</v>
      </c>
      <c r="F24" t="s">
        <v>32</v>
      </c>
    </row>
    <row r="26" spans="1:6" ht="15" thickBot="1" x14ac:dyDescent="0.35">
      <c r="A26" s="129" t="s">
        <v>469</v>
      </c>
      <c r="B26" s="129"/>
      <c r="C26" s="129"/>
      <c r="D26" s="129"/>
      <c r="E26" s="129"/>
      <c r="F26" s="129"/>
    </row>
    <row r="27" spans="1:6" ht="15" thickTop="1" x14ac:dyDescent="0.3">
      <c r="A27" s="8" t="s">
        <v>21</v>
      </c>
      <c r="B27" s="8" t="s">
        <v>7</v>
      </c>
      <c r="C27" s="127" t="s">
        <v>471</v>
      </c>
      <c r="D27" s="127"/>
      <c r="E27" s="127"/>
      <c r="F27" s="8"/>
    </row>
    <row r="28" spans="1:6" x14ac:dyDescent="0.3">
      <c r="A28" s="1" t="s">
        <v>467</v>
      </c>
      <c r="B28" t="s">
        <v>470</v>
      </c>
      <c r="C28" t="s">
        <v>25</v>
      </c>
    </row>
  </sheetData>
  <mergeCells count="7">
    <mergeCell ref="A26:F26"/>
    <mergeCell ref="C27:E27"/>
    <mergeCell ref="A14:F14"/>
    <mergeCell ref="C15:E15"/>
    <mergeCell ref="A8:F8"/>
    <mergeCell ref="A20:F20"/>
    <mergeCell ref="C21:E21"/>
  </mergeCells>
  <hyperlinks>
    <hyperlink ref="A1" location="Index!A1" display="Index" xr:uid="{00000000-0004-0000-0700-000000000000}"/>
    <hyperlink ref="A22" location="'Process Metadata'!A5" display="Import_Batch" xr:uid="{00000000-0004-0000-0700-000001000000}"/>
    <hyperlink ref="A23" location="'Process Metadata'!A16" display="Import_Batch_Process" xr:uid="{00000000-0004-0000-0700-000002000000}"/>
    <hyperlink ref="A24" location="'Process Metadata'!A25" display="Import_Batch_Process_Task" xr:uid="{00000000-0004-0000-0700-000003000000}"/>
    <hyperlink ref="A28" location="'Process Metadata'!J5" display="V_IB_Latest" xr:uid="{00000000-0004-0000-0700-000004000000}"/>
    <hyperlink ref="A10" location="S2_MM_Material_Group_Lookup!A1" display="S2_MM_Material_Group_Lookup" xr:uid="{00000000-0004-0000-0700-000005000000}"/>
    <hyperlink ref="E10" location="S2_MM_Material_Group_Lookup!A10" display="MM_Material_Group.csv" xr:uid="{00000000-0004-0000-0700-000006000000}"/>
    <hyperlink ref="A11" location="S2_MM_Material!A1" display="S2_MM_Material" xr:uid="{00000000-0004-0000-0700-000007000000}"/>
    <hyperlink ref="E11" location="S1_MM_Stock_Take!A1" display="S1_MM_Stock_Take" xr:uid="{00000000-0004-0000-0700-000008000000}"/>
    <hyperlink ref="A12" location="S2_MM_Stock_Take!A1" display="S2_MM_Stock_Take!A1" xr:uid="{00000000-0004-0000-0700-000009000000}"/>
    <hyperlink ref="E12" location="S1_MM_Stock_Take!A1" display="S1_MM_Stock_Take" xr:uid="{00000000-0004-0000-0700-00000A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H30"/>
  <sheetViews>
    <sheetView zoomScaleNormal="100" workbookViewId="0">
      <selection activeCell="B1" sqref="B1"/>
    </sheetView>
  </sheetViews>
  <sheetFormatPr defaultColWidth="21.33203125" defaultRowHeight="14.4" x14ac:dyDescent="0.3"/>
  <cols>
    <col min="1" max="1" width="19.109375" bestFit="1" customWidth="1"/>
    <col min="2" max="2" width="19.5546875" customWidth="1"/>
    <col min="3" max="3" width="11" style="53" bestFit="1" customWidth="1"/>
    <col min="4" max="4" width="50.5546875" style="2" customWidth="1"/>
    <col min="5" max="5" width="8.88671875" style="2" customWidth="1"/>
    <col min="6" max="6" width="17.6640625" customWidth="1"/>
    <col min="7" max="7" width="20.6640625" customWidth="1"/>
    <col min="8" max="8" width="30.6640625" bestFit="1" customWidth="1"/>
  </cols>
  <sheetData>
    <row r="1" spans="1:8" x14ac:dyDescent="0.3">
      <c r="A1" s="5" t="s">
        <v>5</v>
      </c>
    </row>
    <row r="3" spans="1:8" x14ac:dyDescent="0.3">
      <c r="A3" s="10" t="s">
        <v>15</v>
      </c>
      <c r="B3" s="10" t="s">
        <v>16</v>
      </c>
      <c r="C3" s="10" t="s">
        <v>97</v>
      </c>
      <c r="D3" s="10" t="s">
        <v>7</v>
      </c>
      <c r="E3" s="10" t="s">
        <v>55</v>
      </c>
      <c r="F3" s="10" t="s">
        <v>17</v>
      </c>
      <c r="G3" s="10" t="s">
        <v>256</v>
      </c>
      <c r="H3" s="10" t="s">
        <v>257</v>
      </c>
    </row>
    <row r="4" spans="1:8" x14ac:dyDescent="0.3">
      <c r="A4" t="s">
        <v>490</v>
      </c>
      <c r="B4" t="s">
        <v>61</v>
      </c>
      <c r="D4" s="2" t="s">
        <v>487</v>
      </c>
      <c r="E4" s="2" t="s">
        <v>55</v>
      </c>
      <c r="F4" s="53"/>
    </row>
    <row r="5" spans="1:8" x14ac:dyDescent="0.3">
      <c r="A5" t="s">
        <v>491</v>
      </c>
      <c r="B5" t="s">
        <v>61</v>
      </c>
      <c r="D5" s="2" t="s">
        <v>488</v>
      </c>
      <c r="F5" s="53"/>
    </row>
    <row r="10" spans="1:8" x14ac:dyDescent="0.3">
      <c r="A10" s="131" t="s">
        <v>498</v>
      </c>
      <c r="B10" s="131"/>
    </row>
    <row r="11" spans="1:8" x14ac:dyDescent="0.3">
      <c r="A11" s="8" t="s">
        <v>240</v>
      </c>
      <c r="B11" s="8" t="s">
        <v>238</v>
      </c>
    </row>
    <row r="12" spans="1:8" x14ac:dyDescent="0.3">
      <c r="A12" s="77" t="s">
        <v>380</v>
      </c>
      <c r="B12" s="77" t="s">
        <v>380</v>
      </c>
    </row>
    <row r="13" spans="1:8" x14ac:dyDescent="0.3">
      <c r="A13" s="77" t="s">
        <v>381</v>
      </c>
      <c r="B13" s="77" t="s">
        <v>381</v>
      </c>
    </row>
    <row r="14" spans="1:8" x14ac:dyDescent="0.3">
      <c r="A14" s="77" t="s">
        <v>382</v>
      </c>
      <c r="B14" s="77" t="s">
        <v>382</v>
      </c>
    </row>
    <row r="15" spans="1:8" x14ac:dyDescent="0.3">
      <c r="A15" s="77" t="s">
        <v>383</v>
      </c>
      <c r="B15" s="77" t="s">
        <v>396</v>
      </c>
    </row>
    <row r="16" spans="1:8" x14ac:dyDescent="0.3">
      <c r="A16" s="77" t="s">
        <v>384</v>
      </c>
      <c r="B16" s="77" t="s">
        <v>396</v>
      </c>
    </row>
    <row r="17" spans="1:2" x14ac:dyDescent="0.3">
      <c r="A17" s="77" t="s">
        <v>385</v>
      </c>
      <c r="B17" s="77" t="s">
        <v>396</v>
      </c>
    </row>
    <row r="18" spans="1:2" x14ac:dyDescent="0.3">
      <c r="A18" s="77" t="s">
        <v>386</v>
      </c>
      <c r="B18" s="77" t="s">
        <v>396</v>
      </c>
    </row>
    <row r="19" spans="1:2" x14ac:dyDescent="0.3">
      <c r="A19" s="77" t="s">
        <v>387</v>
      </c>
      <c r="B19" s="77" t="s">
        <v>396</v>
      </c>
    </row>
    <row r="20" spans="1:2" x14ac:dyDescent="0.3">
      <c r="A20" s="77" t="s">
        <v>229</v>
      </c>
      <c r="B20" s="77" t="s">
        <v>229</v>
      </c>
    </row>
    <row r="21" spans="1:2" x14ac:dyDescent="0.3">
      <c r="A21" s="77" t="s">
        <v>328</v>
      </c>
      <c r="B21" s="77" t="s">
        <v>328</v>
      </c>
    </row>
    <row r="22" spans="1:2" x14ac:dyDescent="0.3">
      <c r="A22" s="77" t="s">
        <v>388</v>
      </c>
      <c r="B22" s="77" t="s">
        <v>388</v>
      </c>
    </row>
    <row r="23" spans="1:2" x14ac:dyDescent="0.3">
      <c r="A23" s="77" t="s">
        <v>389</v>
      </c>
      <c r="B23" s="77" t="s">
        <v>388</v>
      </c>
    </row>
    <row r="24" spans="1:2" x14ac:dyDescent="0.3">
      <c r="A24" s="77" t="s">
        <v>390</v>
      </c>
      <c r="B24" s="77" t="s">
        <v>390</v>
      </c>
    </row>
    <row r="25" spans="1:2" x14ac:dyDescent="0.3">
      <c r="A25" s="77" t="s">
        <v>391</v>
      </c>
      <c r="B25" s="78" t="s">
        <v>392</v>
      </c>
    </row>
    <row r="26" spans="1:2" x14ac:dyDescent="0.3">
      <c r="A26" s="77" t="s">
        <v>392</v>
      </c>
      <c r="B26" s="78" t="s">
        <v>392</v>
      </c>
    </row>
    <row r="27" spans="1:2" x14ac:dyDescent="0.3">
      <c r="A27" s="77" t="s">
        <v>393</v>
      </c>
      <c r="B27" s="77" t="s">
        <v>393</v>
      </c>
    </row>
    <row r="28" spans="1:2" x14ac:dyDescent="0.3">
      <c r="A28" s="77" t="s">
        <v>394</v>
      </c>
      <c r="B28" s="77" t="s">
        <v>394</v>
      </c>
    </row>
    <row r="29" spans="1:2" x14ac:dyDescent="0.3">
      <c r="A29" s="77" t="s">
        <v>224</v>
      </c>
      <c r="B29" s="77" t="s">
        <v>397</v>
      </c>
    </row>
    <row r="30" spans="1:2" x14ac:dyDescent="0.3">
      <c r="A30" s="77" t="s">
        <v>395</v>
      </c>
      <c r="B30" s="77" t="s">
        <v>397</v>
      </c>
    </row>
  </sheetData>
  <mergeCells count="1">
    <mergeCell ref="A10:B10"/>
  </mergeCells>
  <hyperlinks>
    <hyperlink ref="A1" location="Index!A1" display="Index" xr:uid="{00000000-0004-0000-0800-000000000000}"/>
  </hyperlinks>
  <pageMargins left="0.7" right="0.7" top="0.75" bottom="0.75" header="0.3" footer="0.3"/>
  <pageSetup paperSize="9" orientation="portrait" horizontalDpi="4294967293" verticalDpi="4294967293"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I20"/>
  <sheetViews>
    <sheetView topLeftCell="B1" zoomScaleNormal="100" workbookViewId="0">
      <selection sqref="A1:I22"/>
    </sheetView>
  </sheetViews>
  <sheetFormatPr defaultColWidth="21.33203125" defaultRowHeight="14.4" x14ac:dyDescent="0.3"/>
  <cols>
    <col min="1" max="1" width="46.6640625" bestFit="1" customWidth="1"/>
    <col min="2" max="2" width="16.109375" customWidth="1"/>
    <col min="3" max="3" width="15.33203125" style="53" customWidth="1"/>
    <col min="4" max="4" width="41.6640625" style="2" bestFit="1" customWidth="1"/>
    <col min="5" max="5" width="9.109375" style="2" customWidth="1"/>
    <col min="6" max="6" width="26.5546875" style="2" bestFit="1" customWidth="1"/>
    <col min="7" max="7" width="17.6640625" customWidth="1"/>
    <col min="8" max="8" width="20.6640625" customWidth="1"/>
    <col min="9" max="9" width="30.6640625" bestFit="1" customWidth="1"/>
  </cols>
  <sheetData>
    <row r="1" spans="1:9" x14ac:dyDescent="0.3">
      <c r="A1" s="5" t="s">
        <v>5</v>
      </c>
    </row>
    <row r="3" spans="1:9" x14ac:dyDescent="0.3">
      <c r="A3" s="10" t="s">
        <v>15</v>
      </c>
      <c r="B3" s="10" t="s">
        <v>16</v>
      </c>
      <c r="C3" s="10" t="s">
        <v>495</v>
      </c>
      <c r="D3" s="10" t="s">
        <v>7</v>
      </c>
      <c r="E3" s="10" t="s">
        <v>55</v>
      </c>
      <c r="F3" s="10" t="s">
        <v>98</v>
      </c>
      <c r="G3" s="10" t="s">
        <v>17</v>
      </c>
      <c r="H3" s="10" t="s">
        <v>256</v>
      </c>
      <c r="I3" s="10" t="s">
        <v>257</v>
      </c>
    </row>
    <row r="4" spans="1:9" x14ac:dyDescent="0.3">
      <c r="A4" s="89" t="s">
        <v>500</v>
      </c>
      <c r="B4" s="89" t="s">
        <v>20</v>
      </c>
      <c r="C4" s="90"/>
      <c r="D4" s="91" t="s">
        <v>412</v>
      </c>
      <c r="E4" s="91" t="s">
        <v>155</v>
      </c>
      <c r="F4" s="91"/>
      <c r="G4" s="85">
        <v>2018</v>
      </c>
      <c r="H4" s="85">
        <v>2018</v>
      </c>
      <c r="I4" s="89"/>
    </row>
    <row r="5" spans="1:9" x14ac:dyDescent="0.3">
      <c r="A5" s="89" t="s">
        <v>501</v>
      </c>
      <c r="B5" s="89" t="s">
        <v>66</v>
      </c>
      <c r="C5" s="90"/>
      <c r="D5" s="91" t="s">
        <v>131</v>
      </c>
      <c r="E5" s="91" t="s">
        <v>158</v>
      </c>
      <c r="F5" s="91"/>
      <c r="G5" s="85" t="s">
        <v>536</v>
      </c>
      <c r="H5" s="85" t="s">
        <v>539</v>
      </c>
      <c r="I5" s="89"/>
    </row>
    <row r="6" spans="1:9" ht="28.8" x14ac:dyDescent="0.3">
      <c r="A6" t="s">
        <v>502</v>
      </c>
      <c r="B6" t="s">
        <v>61</v>
      </c>
      <c r="D6" s="2" t="s">
        <v>239</v>
      </c>
      <c r="G6" s="85" t="s">
        <v>380</v>
      </c>
      <c r="H6" s="85" t="s">
        <v>388</v>
      </c>
    </row>
    <row r="7" spans="1:9" x14ac:dyDescent="0.3">
      <c r="A7" t="s">
        <v>503</v>
      </c>
      <c r="B7" t="s">
        <v>61</v>
      </c>
      <c r="D7" s="2" t="s">
        <v>241</v>
      </c>
      <c r="G7" s="57" t="s">
        <v>380</v>
      </c>
      <c r="H7" s="57" t="s">
        <v>388</v>
      </c>
    </row>
    <row r="8" spans="1:9" ht="28.8" x14ac:dyDescent="0.3">
      <c r="A8" t="s">
        <v>504</v>
      </c>
      <c r="B8" t="s">
        <v>61</v>
      </c>
      <c r="D8" s="2" t="s">
        <v>243</v>
      </c>
      <c r="G8" s="57" t="s">
        <v>537</v>
      </c>
      <c r="H8" s="57" t="s">
        <v>138</v>
      </c>
    </row>
    <row r="9" spans="1:9" x14ac:dyDescent="0.3">
      <c r="A9" t="s">
        <v>505</v>
      </c>
      <c r="B9" t="s">
        <v>61</v>
      </c>
      <c r="D9" s="2" t="s">
        <v>245</v>
      </c>
      <c r="G9" s="57" t="s">
        <v>289</v>
      </c>
      <c r="H9" s="57" t="s">
        <v>540</v>
      </c>
    </row>
    <row r="10" spans="1:9" x14ac:dyDescent="0.3">
      <c r="A10" t="s">
        <v>506</v>
      </c>
      <c r="B10" t="s">
        <v>61</v>
      </c>
      <c r="D10" s="2" t="s">
        <v>246</v>
      </c>
      <c r="G10" s="85" t="s">
        <v>289</v>
      </c>
      <c r="H10" s="85" t="s">
        <v>289</v>
      </c>
    </row>
    <row r="11" spans="1:9" ht="43.2" x14ac:dyDescent="0.3">
      <c r="A11" t="s">
        <v>507</v>
      </c>
      <c r="B11" t="s">
        <v>61</v>
      </c>
      <c r="D11" s="2" t="s">
        <v>247</v>
      </c>
      <c r="G11" s="85" t="s">
        <v>538</v>
      </c>
      <c r="H11" s="85">
        <v>3</v>
      </c>
    </row>
    <row r="12" spans="1:9" ht="43.2" x14ac:dyDescent="0.3">
      <c r="A12" t="s">
        <v>508</v>
      </c>
      <c r="B12" t="s">
        <v>250</v>
      </c>
      <c r="D12" s="2" t="s">
        <v>251</v>
      </c>
      <c r="G12" s="85" t="s">
        <v>226</v>
      </c>
      <c r="H12" s="85" t="s">
        <v>226</v>
      </c>
    </row>
    <row r="13" spans="1:9" x14ac:dyDescent="0.3">
      <c r="A13" t="s">
        <v>509</v>
      </c>
      <c r="B13" t="s">
        <v>61</v>
      </c>
      <c r="D13" s="2" t="s">
        <v>253</v>
      </c>
      <c r="G13" s="85" t="s">
        <v>289</v>
      </c>
      <c r="H13" s="85" t="s">
        <v>289</v>
      </c>
    </row>
    <row r="14" spans="1:9" x14ac:dyDescent="0.3">
      <c r="A14" t="s">
        <v>510</v>
      </c>
      <c r="B14" t="s">
        <v>301</v>
      </c>
      <c r="D14" s="2" t="s">
        <v>302</v>
      </c>
      <c r="G14" s="85">
        <v>-1</v>
      </c>
      <c r="H14" s="85">
        <v>3050</v>
      </c>
    </row>
    <row r="15" spans="1:9" x14ac:dyDescent="0.3">
      <c r="A15" t="s">
        <v>511</v>
      </c>
      <c r="B15" t="s">
        <v>301</v>
      </c>
      <c r="D15" s="2" t="s">
        <v>304</v>
      </c>
      <c r="G15" s="85">
        <v>25</v>
      </c>
      <c r="H15" s="85">
        <v>2030</v>
      </c>
    </row>
    <row r="16" spans="1:9" x14ac:dyDescent="0.3">
      <c r="A16" t="s">
        <v>512</v>
      </c>
      <c r="B16" t="s">
        <v>301</v>
      </c>
      <c r="D16" s="2" t="s">
        <v>306</v>
      </c>
      <c r="G16" s="85">
        <v>25</v>
      </c>
      <c r="H16" s="85">
        <v>-1</v>
      </c>
    </row>
    <row r="17" spans="1:9" x14ac:dyDescent="0.3">
      <c r="A17" t="s">
        <v>513</v>
      </c>
      <c r="B17" t="s">
        <v>301</v>
      </c>
      <c r="D17" s="2" t="s">
        <v>308</v>
      </c>
      <c r="G17" s="85">
        <v>-1</v>
      </c>
      <c r="H17" s="85">
        <v>-1</v>
      </c>
    </row>
    <row r="18" spans="1:9" x14ac:dyDescent="0.3">
      <c r="A18" t="s">
        <v>514</v>
      </c>
      <c r="B18" t="s">
        <v>301</v>
      </c>
      <c r="D18" s="2" t="s">
        <v>310</v>
      </c>
      <c r="G18" s="85">
        <v>2.2000000000000002</v>
      </c>
      <c r="H18" s="85">
        <v>3</v>
      </c>
    </row>
    <row r="19" spans="1:9" ht="28.8" x14ac:dyDescent="0.3">
      <c r="A19" t="s">
        <v>515</v>
      </c>
      <c r="B19" t="s">
        <v>66</v>
      </c>
      <c r="D19" s="2" t="s">
        <v>318</v>
      </c>
      <c r="G19" s="85" t="s">
        <v>409</v>
      </c>
      <c r="H19" s="85" t="s">
        <v>227</v>
      </c>
    </row>
    <row r="20" spans="1:9" x14ac:dyDescent="0.3">
      <c r="A20" s="49" t="s">
        <v>19</v>
      </c>
      <c r="B20" s="49" t="s">
        <v>20</v>
      </c>
      <c r="C20" s="49"/>
      <c r="D20" s="54" t="s">
        <v>258</v>
      </c>
      <c r="E20" s="50"/>
      <c r="F20" s="94" t="s">
        <v>30</v>
      </c>
      <c r="G20" s="85">
        <v>2</v>
      </c>
      <c r="H20" s="85">
        <v>2</v>
      </c>
      <c r="I20" s="50"/>
    </row>
  </sheetData>
  <hyperlinks>
    <hyperlink ref="A1" location="Index!A1" display="Index" xr:uid="{00000000-0004-0000-0900-000000000000}"/>
    <hyperlink ref="F20" location="'Process Metadata'!A1" display="Import_Batch_Process_Task" xr:uid="{00000000-0004-0000-0900-000001000000}"/>
  </hyperlinks>
  <pageMargins left="0.7" right="0.7" top="0.75" bottom="0.75" header="0.3" footer="0.3"/>
  <pageSetup paperSize="9" orientation="portrait" horizontalDpi="4294967293" verticalDpi="4294967293"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I21"/>
  <sheetViews>
    <sheetView zoomScaleNormal="100" workbookViewId="0"/>
  </sheetViews>
  <sheetFormatPr defaultColWidth="21.33203125" defaultRowHeight="14.4" x14ac:dyDescent="0.3"/>
  <cols>
    <col min="1" max="1" width="32.109375" customWidth="1"/>
    <col min="2" max="2" width="16.109375" customWidth="1"/>
    <col min="3" max="3" width="10" style="76" customWidth="1"/>
    <col min="4" max="4" width="55.109375" style="2" customWidth="1"/>
    <col min="5" max="5" width="8.88671875" style="2" customWidth="1"/>
    <col min="6" max="6" width="20.6640625" style="2" customWidth="1"/>
    <col min="7" max="7" width="20.109375" bestFit="1" customWidth="1"/>
    <col min="8" max="8" width="38.44140625" bestFit="1" customWidth="1"/>
    <col min="9" max="9" width="57" style="2" customWidth="1"/>
  </cols>
  <sheetData>
    <row r="1" spans="1:9" x14ac:dyDescent="0.3">
      <c r="A1" s="5" t="s">
        <v>5</v>
      </c>
      <c r="B1" t="s">
        <v>414</v>
      </c>
      <c r="D1" s="92" t="s">
        <v>417</v>
      </c>
    </row>
    <row r="3" spans="1:9" s="2" customFormat="1" ht="28.8" x14ac:dyDescent="0.3">
      <c r="A3" s="10" t="s">
        <v>15</v>
      </c>
      <c r="B3" s="10" t="s">
        <v>16</v>
      </c>
      <c r="C3" s="10" t="s">
        <v>495</v>
      </c>
      <c r="D3" s="10" t="s">
        <v>7</v>
      </c>
      <c r="E3" s="10" t="s">
        <v>55</v>
      </c>
      <c r="F3" s="10" t="s">
        <v>98</v>
      </c>
      <c r="G3" s="10" t="s">
        <v>17</v>
      </c>
      <c r="H3" s="10" t="s">
        <v>256</v>
      </c>
      <c r="I3" s="10" t="s">
        <v>257</v>
      </c>
    </row>
    <row r="4" spans="1:9" ht="43.2" x14ac:dyDescent="0.3">
      <c r="A4" s="89" t="s">
        <v>416</v>
      </c>
      <c r="B4" s="89" t="s">
        <v>61</v>
      </c>
      <c r="C4" s="90"/>
      <c r="D4" s="91" t="s">
        <v>420</v>
      </c>
      <c r="E4" s="91" t="s">
        <v>55</v>
      </c>
      <c r="F4" s="91"/>
      <c r="G4" s="85" t="s">
        <v>542</v>
      </c>
      <c r="H4" s="85" t="s">
        <v>549</v>
      </c>
      <c r="I4" s="91" t="s">
        <v>417</v>
      </c>
    </row>
    <row r="5" spans="1:9" x14ac:dyDescent="0.3">
      <c r="A5" t="s">
        <v>272</v>
      </c>
      <c r="B5" t="s">
        <v>20</v>
      </c>
      <c r="C5" s="81"/>
      <c r="D5" s="2" t="s">
        <v>442</v>
      </c>
      <c r="F5" s="93" t="s">
        <v>494</v>
      </c>
      <c r="G5" s="85">
        <v>2018</v>
      </c>
      <c r="H5" s="85">
        <v>2018</v>
      </c>
    </row>
    <row r="6" spans="1:9" x14ac:dyDescent="0.3">
      <c r="A6" t="s">
        <v>518</v>
      </c>
      <c r="B6" t="s">
        <v>66</v>
      </c>
      <c r="D6" s="2" t="s">
        <v>421</v>
      </c>
      <c r="F6" s="93" t="s">
        <v>494</v>
      </c>
      <c r="G6" s="85" t="s">
        <v>543</v>
      </c>
      <c r="H6" s="85" t="s">
        <v>550</v>
      </c>
    </row>
    <row r="7" spans="1:9" x14ac:dyDescent="0.3">
      <c r="A7" t="s">
        <v>519</v>
      </c>
      <c r="B7" t="s">
        <v>36</v>
      </c>
      <c r="D7" s="2" t="s">
        <v>422</v>
      </c>
      <c r="G7" s="57" t="s">
        <v>289</v>
      </c>
      <c r="H7" s="85" t="s">
        <v>551</v>
      </c>
    </row>
    <row r="8" spans="1:9" x14ac:dyDescent="0.3">
      <c r="A8" t="s">
        <v>520</v>
      </c>
      <c r="B8" t="s">
        <v>311</v>
      </c>
      <c r="C8" s="76" t="s">
        <v>11</v>
      </c>
      <c r="D8" s="2" t="s">
        <v>425</v>
      </c>
      <c r="G8" s="57">
        <v>0</v>
      </c>
      <c r="H8" s="85" t="s">
        <v>326</v>
      </c>
    </row>
    <row r="9" spans="1:9" ht="28.8" x14ac:dyDescent="0.3">
      <c r="A9" t="s">
        <v>521</v>
      </c>
      <c r="B9" t="s">
        <v>36</v>
      </c>
      <c r="D9" s="2" t="s">
        <v>424</v>
      </c>
      <c r="G9" s="57" t="s">
        <v>544</v>
      </c>
      <c r="H9" s="85" t="s">
        <v>552</v>
      </c>
      <c r="I9" s="2" t="s">
        <v>427</v>
      </c>
    </row>
    <row r="10" spans="1:9" x14ac:dyDescent="0.3">
      <c r="A10" t="s">
        <v>522</v>
      </c>
      <c r="B10" t="s">
        <v>311</v>
      </c>
      <c r="C10" s="85" t="s">
        <v>11</v>
      </c>
      <c r="D10" s="2" t="s">
        <v>426</v>
      </c>
      <c r="G10" s="85" t="s">
        <v>326</v>
      </c>
      <c r="H10" s="85" t="s">
        <v>326</v>
      </c>
    </row>
    <row r="11" spans="1:9" ht="28.8" x14ac:dyDescent="0.3">
      <c r="A11" t="s">
        <v>523</v>
      </c>
      <c r="B11" t="s">
        <v>36</v>
      </c>
      <c r="C11" s="81"/>
      <c r="D11" s="2" t="s">
        <v>429</v>
      </c>
      <c r="G11" s="85" t="s">
        <v>545</v>
      </c>
      <c r="H11" s="85" t="s">
        <v>545</v>
      </c>
      <c r="I11" s="2" t="s">
        <v>430</v>
      </c>
    </row>
    <row r="12" spans="1:9" x14ac:dyDescent="0.3">
      <c r="A12" t="s">
        <v>524</v>
      </c>
      <c r="B12" t="s">
        <v>67</v>
      </c>
      <c r="C12" s="85" t="s">
        <v>11</v>
      </c>
      <c r="D12" s="2" t="s">
        <v>316</v>
      </c>
      <c r="G12" s="57" t="s">
        <v>326</v>
      </c>
      <c r="H12" s="85">
        <v>18</v>
      </c>
    </row>
    <row r="13" spans="1:9" ht="28.8" x14ac:dyDescent="0.3">
      <c r="A13" t="s">
        <v>525</v>
      </c>
      <c r="B13" t="s">
        <v>36</v>
      </c>
      <c r="D13" s="2" t="s">
        <v>431</v>
      </c>
      <c r="G13" s="85" t="s">
        <v>546</v>
      </c>
      <c r="H13" s="85" t="s">
        <v>553</v>
      </c>
      <c r="I13" s="2" t="s">
        <v>432</v>
      </c>
    </row>
    <row r="14" spans="1:9" x14ac:dyDescent="0.3">
      <c r="A14" t="s">
        <v>526</v>
      </c>
      <c r="B14" t="s">
        <v>139</v>
      </c>
      <c r="C14" s="85" t="s">
        <v>11</v>
      </c>
      <c r="D14" s="2" t="s">
        <v>319</v>
      </c>
      <c r="G14" s="85" t="s">
        <v>326</v>
      </c>
      <c r="H14" s="85" t="s">
        <v>326</v>
      </c>
    </row>
    <row r="15" spans="1:9" ht="28.8" x14ac:dyDescent="0.3">
      <c r="A15" t="s">
        <v>527</v>
      </c>
      <c r="B15" t="s">
        <v>36</v>
      </c>
      <c r="D15" s="2" t="s">
        <v>434</v>
      </c>
      <c r="G15" s="85" t="s">
        <v>547</v>
      </c>
      <c r="H15" s="85" t="s">
        <v>547</v>
      </c>
      <c r="I15" s="2" t="s">
        <v>435</v>
      </c>
    </row>
    <row r="16" spans="1:9" x14ac:dyDescent="0.3">
      <c r="A16" t="s">
        <v>528</v>
      </c>
      <c r="B16" t="s">
        <v>301</v>
      </c>
      <c r="C16" s="85" t="s">
        <v>11</v>
      </c>
      <c r="D16" s="2" t="s">
        <v>321</v>
      </c>
      <c r="G16" s="85">
        <v>43.83</v>
      </c>
      <c r="H16" s="85">
        <v>28.75</v>
      </c>
    </row>
    <row r="17" spans="1:9" ht="28.8" x14ac:dyDescent="0.3">
      <c r="A17" t="s">
        <v>529</v>
      </c>
      <c r="B17" t="s">
        <v>36</v>
      </c>
      <c r="D17" s="2" t="s">
        <v>437</v>
      </c>
      <c r="G17" s="85" t="s">
        <v>548</v>
      </c>
      <c r="H17" s="85" t="s">
        <v>548</v>
      </c>
      <c r="I17" s="2" t="s">
        <v>438</v>
      </c>
    </row>
    <row r="18" spans="1:9" x14ac:dyDescent="0.3">
      <c r="A18" t="s">
        <v>541</v>
      </c>
      <c r="B18" t="s">
        <v>301</v>
      </c>
      <c r="D18" s="2" t="s">
        <v>322</v>
      </c>
      <c r="G18" s="85">
        <v>0.14000000000000001</v>
      </c>
      <c r="H18" s="85">
        <v>0.14000000000000001</v>
      </c>
    </row>
    <row r="19" spans="1:9" x14ac:dyDescent="0.3">
      <c r="A19" t="s">
        <v>530</v>
      </c>
      <c r="B19" t="s">
        <v>61</v>
      </c>
      <c r="D19" s="2" t="s">
        <v>439</v>
      </c>
      <c r="G19" s="95">
        <v>0.14000000000000001</v>
      </c>
      <c r="H19" s="95">
        <v>0.14000000000000001</v>
      </c>
      <c r="I19" s="2" t="s">
        <v>440</v>
      </c>
    </row>
    <row r="20" spans="1:9" ht="28.8" x14ac:dyDescent="0.3">
      <c r="A20" s="2" t="s">
        <v>531</v>
      </c>
      <c r="B20" t="s">
        <v>139</v>
      </c>
      <c r="D20" s="2" t="s">
        <v>324</v>
      </c>
      <c r="G20" s="85">
        <v>0</v>
      </c>
      <c r="H20" s="85">
        <v>453.94736840000002</v>
      </c>
    </row>
    <row r="21" spans="1:9" x14ac:dyDescent="0.3">
      <c r="A21" s="49" t="s">
        <v>19</v>
      </c>
      <c r="B21" s="49" t="s">
        <v>20</v>
      </c>
      <c r="C21" s="49"/>
      <c r="D21" s="54" t="s">
        <v>258</v>
      </c>
      <c r="E21" s="50"/>
      <c r="F21" s="94" t="s">
        <v>30</v>
      </c>
      <c r="G21" s="85">
        <v>2</v>
      </c>
      <c r="H21" s="85">
        <v>2</v>
      </c>
    </row>
  </sheetData>
  <hyperlinks>
    <hyperlink ref="A1" location="Index!A1" display="Index" xr:uid="{00000000-0004-0000-0A00-000000000000}"/>
    <hyperlink ref="F5" location="S2_MM_Material!A1" display="S2_MM_Material!A1" xr:uid="{00000000-0004-0000-0A00-000001000000}"/>
    <hyperlink ref="F6" location="S2_MM_Material!A1" display="S2_MM_Material!A1" xr:uid="{00000000-0004-0000-0A00-000002000000}"/>
    <hyperlink ref="F21" location="'Process Metadata'!A1" display="Import_Batch_Process_Task" xr:uid="{00000000-0004-0000-0A00-000003000000}"/>
  </hyperlinks>
  <pageMargins left="0.7" right="0.7" top="0.75" bottom="0.75" header="0.3" footer="0.3"/>
  <pageSetup paperSize="9" orientation="portrait" horizontalDpi="4294967293" verticalDpi="4294967293"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J40"/>
  <sheetViews>
    <sheetView workbookViewId="0"/>
  </sheetViews>
  <sheetFormatPr defaultRowHeight="14.4" x14ac:dyDescent="0.3"/>
  <cols>
    <col min="1" max="1" width="25.88671875" customWidth="1"/>
    <col min="2" max="2" width="12" bestFit="1" customWidth="1"/>
    <col min="3" max="3" width="11" bestFit="1" customWidth="1"/>
    <col min="4" max="4" width="3.33203125" bestFit="1" customWidth="1"/>
    <col min="5" max="5" width="3.109375" bestFit="1" customWidth="1"/>
    <col min="6" max="6" width="54.5546875" customWidth="1"/>
    <col min="10" max="10" width="106.109375" customWidth="1"/>
  </cols>
  <sheetData>
    <row r="1" spans="1:10" x14ac:dyDescent="0.3">
      <c r="A1" s="1" t="s">
        <v>5</v>
      </c>
    </row>
    <row r="3" spans="1:10" x14ac:dyDescent="0.3">
      <c r="A3" t="s">
        <v>466</v>
      </c>
    </row>
    <row r="5" spans="1:10" x14ac:dyDescent="0.3">
      <c r="A5" s="122" t="s">
        <v>25</v>
      </c>
      <c r="F5" s="122" t="s">
        <v>606</v>
      </c>
      <c r="J5" s="8" t="s">
        <v>467</v>
      </c>
    </row>
    <row r="6" spans="1:10" ht="15.75" customHeight="1" x14ac:dyDescent="0.3">
      <c r="A6" s="26" t="s">
        <v>15</v>
      </c>
      <c r="B6" s="26" t="s">
        <v>16</v>
      </c>
      <c r="C6" s="26" t="s">
        <v>97</v>
      </c>
      <c r="D6" s="26" t="s">
        <v>55</v>
      </c>
      <c r="E6" s="26" t="s">
        <v>98</v>
      </c>
      <c r="F6" s="26" t="s">
        <v>7</v>
      </c>
      <c r="J6" s="132" t="s">
        <v>468</v>
      </c>
    </row>
    <row r="7" spans="1:10" x14ac:dyDescent="0.3">
      <c r="A7" t="s">
        <v>96</v>
      </c>
      <c r="B7" t="s">
        <v>20</v>
      </c>
      <c r="D7" t="s">
        <v>11</v>
      </c>
      <c r="F7" t="s">
        <v>95</v>
      </c>
      <c r="J7" s="132"/>
    </row>
    <row r="8" spans="1:10" x14ac:dyDescent="0.3">
      <c r="A8" t="s">
        <v>94</v>
      </c>
      <c r="B8" t="s">
        <v>36</v>
      </c>
      <c r="F8" t="s">
        <v>93</v>
      </c>
      <c r="J8" s="132"/>
    </row>
    <row r="9" spans="1:10" x14ac:dyDescent="0.3">
      <c r="A9" t="s">
        <v>92</v>
      </c>
      <c r="B9" t="s">
        <v>67</v>
      </c>
      <c r="F9" t="s">
        <v>463</v>
      </c>
      <c r="J9" s="132"/>
    </row>
    <row r="10" spans="1:10" x14ac:dyDescent="0.3">
      <c r="A10" t="s">
        <v>91</v>
      </c>
      <c r="B10" t="s">
        <v>67</v>
      </c>
      <c r="F10" t="s">
        <v>464</v>
      </c>
      <c r="J10" s="132"/>
    </row>
    <row r="11" spans="1:10" x14ac:dyDescent="0.3">
      <c r="A11" t="s">
        <v>90</v>
      </c>
      <c r="B11" t="s">
        <v>87</v>
      </c>
      <c r="F11" t="s">
        <v>89</v>
      </c>
      <c r="J11" s="132"/>
    </row>
    <row r="12" spans="1:10" x14ac:dyDescent="0.3">
      <c r="A12" t="s">
        <v>88</v>
      </c>
      <c r="B12" t="s">
        <v>87</v>
      </c>
      <c r="C12" t="s">
        <v>11</v>
      </c>
      <c r="F12" t="s">
        <v>86</v>
      </c>
      <c r="J12" s="132"/>
    </row>
    <row r="13" spans="1:10" x14ac:dyDescent="0.3">
      <c r="A13" t="s">
        <v>85</v>
      </c>
      <c r="B13" t="s">
        <v>66</v>
      </c>
      <c r="F13" t="s">
        <v>84</v>
      </c>
      <c r="J13" s="132"/>
    </row>
    <row r="16" spans="1:10" x14ac:dyDescent="0.3">
      <c r="A16" s="122" t="s">
        <v>27</v>
      </c>
      <c r="F16" s="122" t="s">
        <v>607</v>
      </c>
    </row>
    <row r="17" spans="1:6" x14ac:dyDescent="0.3">
      <c r="A17" s="26" t="s">
        <v>15</v>
      </c>
      <c r="B17" s="26" t="s">
        <v>16</v>
      </c>
      <c r="C17" s="26" t="s">
        <v>97</v>
      </c>
      <c r="D17" s="26" t="s">
        <v>55</v>
      </c>
      <c r="E17" s="26" t="s">
        <v>98</v>
      </c>
      <c r="F17" s="26" t="s">
        <v>7</v>
      </c>
    </row>
    <row r="18" spans="1:6" x14ac:dyDescent="0.3">
      <c r="A18" t="s">
        <v>99</v>
      </c>
      <c r="B18" t="s">
        <v>20</v>
      </c>
      <c r="D18" t="s">
        <v>11</v>
      </c>
      <c r="F18" s="2" t="s">
        <v>100</v>
      </c>
    </row>
    <row r="19" spans="1:6" x14ac:dyDescent="0.3">
      <c r="A19" t="s">
        <v>96</v>
      </c>
      <c r="B19" t="s">
        <v>20</v>
      </c>
      <c r="E19" t="s">
        <v>11</v>
      </c>
      <c r="F19" t="s">
        <v>101</v>
      </c>
    </row>
    <row r="20" spans="1:6" x14ac:dyDescent="0.3">
      <c r="A20" t="s">
        <v>102</v>
      </c>
      <c r="B20" t="s">
        <v>36</v>
      </c>
      <c r="F20" t="s">
        <v>93</v>
      </c>
    </row>
    <row r="21" spans="1:6" x14ac:dyDescent="0.3">
      <c r="A21" t="s">
        <v>103</v>
      </c>
      <c r="B21" t="s">
        <v>87</v>
      </c>
      <c r="F21" t="s">
        <v>89</v>
      </c>
    </row>
    <row r="22" spans="1:6" x14ac:dyDescent="0.3">
      <c r="A22" t="s">
        <v>104</v>
      </c>
      <c r="B22" t="s">
        <v>87</v>
      </c>
      <c r="C22" t="s">
        <v>11</v>
      </c>
      <c r="F22" t="s">
        <v>86</v>
      </c>
    </row>
    <row r="23" spans="1:6" x14ac:dyDescent="0.3">
      <c r="A23" t="s">
        <v>105</v>
      </c>
      <c r="B23" t="s">
        <v>66</v>
      </c>
      <c r="F23" t="s">
        <v>84</v>
      </c>
    </row>
    <row r="25" spans="1:6" x14ac:dyDescent="0.3">
      <c r="A25" s="122" t="s">
        <v>30</v>
      </c>
      <c r="F25" s="122" t="s">
        <v>608</v>
      </c>
    </row>
    <row r="26" spans="1:6" x14ac:dyDescent="0.3">
      <c r="A26" s="26" t="s">
        <v>15</v>
      </c>
      <c r="B26" s="26" t="s">
        <v>16</v>
      </c>
      <c r="C26" s="26" t="s">
        <v>97</v>
      </c>
      <c r="D26" s="26" t="s">
        <v>55</v>
      </c>
      <c r="E26" s="26" t="s">
        <v>98</v>
      </c>
      <c r="F26" s="26" t="s">
        <v>7</v>
      </c>
    </row>
    <row r="27" spans="1:6" x14ac:dyDescent="0.3">
      <c r="A27" t="s">
        <v>19</v>
      </c>
      <c r="B27" t="s">
        <v>20</v>
      </c>
      <c r="D27" t="s">
        <v>11</v>
      </c>
      <c r="F27" t="s">
        <v>605</v>
      </c>
    </row>
    <row r="28" spans="1:6" x14ac:dyDescent="0.3">
      <c r="A28" t="s">
        <v>99</v>
      </c>
      <c r="B28" t="s">
        <v>20</v>
      </c>
      <c r="E28" t="s">
        <v>11</v>
      </c>
      <c r="F28" t="s">
        <v>106</v>
      </c>
    </row>
    <row r="29" spans="1:6" x14ac:dyDescent="0.3">
      <c r="A29" t="s">
        <v>107</v>
      </c>
      <c r="B29" t="s">
        <v>36</v>
      </c>
      <c r="F29" t="s">
        <v>108</v>
      </c>
    </row>
    <row r="30" spans="1:6" x14ac:dyDescent="0.3">
      <c r="A30" t="s">
        <v>109</v>
      </c>
      <c r="B30" t="s">
        <v>87</v>
      </c>
      <c r="F30" t="s">
        <v>89</v>
      </c>
    </row>
    <row r="31" spans="1:6" x14ac:dyDescent="0.3">
      <c r="A31" t="s">
        <v>110</v>
      </c>
      <c r="B31" t="s">
        <v>87</v>
      </c>
      <c r="C31" t="s">
        <v>11</v>
      </c>
      <c r="F31" t="s">
        <v>86</v>
      </c>
    </row>
    <row r="32" spans="1:6" x14ac:dyDescent="0.3">
      <c r="A32" t="s">
        <v>111</v>
      </c>
      <c r="B32" t="s">
        <v>66</v>
      </c>
      <c r="F32" t="s">
        <v>84</v>
      </c>
    </row>
    <row r="33" spans="1:6" x14ac:dyDescent="0.3">
      <c r="A33" t="s">
        <v>112</v>
      </c>
      <c r="B33" t="s">
        <v>20</v>
      </c>
      <c r="C33" t="s">
        <v>11</v>
      </c>
      <c r="F33" t="s">
        <v>113</v>
      </c>
    </row>
    <row r="34" spans="1:6" x14ac:dyDescent="0.3">
      <c r="A34" t="s">
        <v>114</v>
      </c>
      <c r="B34" t="s">
        <v>20</v>
      </c>
      <c r="C34" t="s">
        <v>11</v>
      </c>
      <c r="F34" t="s">
        <v>115</v>
      </c>
    </row>
    <row r="35" spans="1:6" x14ac:dyDescent="0.3">
      <c r="A35" t="s">
        <v>116</v>
      </c>
      <c r="B35" t="s">
        <v>20</v>
      </c>
      <c r="C35" t="s">
        <v>11</v>
      </c>
      <c r="F35" t="s">
        <v>117</v>
      </c>
    </row>
    <row r="36" spans="1:6" x14ac:dyDescent="0.3">
      <c r="A36" s="27" t="s">
        <v>609</v>
      </c>
      <c r="B36" s="27" t="s">
        <v>20</v>
      </c>
      <c r="C36" s="27" t="s">
        <v>11</v>
      </c>
      <c r="D36" s="27"/>
      <c r="E36" s="27"/>
      <c r="F36" s="27" t="s">
        <v>610</v>
      </c>
    </row>
    <row r="37" spans="1:6" x14ac:dyDescent="0.3">
      <c r="A37" s="27" t="s">
        <v>611</v>
      </c>
      <c r="B37" s="27" t="s">
        <v>20</v>
      </c>
      <c r="C37" s="27" t="s">
        <v>11</v>
      </c>
      <c r="D37" s="27"/>
      <c r="E37" s="27"/>
      <c r="F37" s="27" t="s">
        <v>612</v>
      </c>
    </row>
    <row r="38" spans="1:6" x14ac:dyDescent="0.3">
      <c r="A38" s="27" t="s">
        <v>613</v>
      </c>
      <c r="B38" s="27" t="s">
        <v>20</v>
      </c>
      <c r="C38" s="27" t="s">
        <v>11</v>
      </c>
      <c r="D38" s="27"/>
      <c r="E38" s="27"/>
      <c r="F38" s="27" t="s">
        <v>615</v>
      </c>
    </row>
    <row r="39" spans="1:6" x14ac:dyDescent="0.3">
      <c r="A39" s="27" t="s">
        <v>614</v>
      </c>
      <c r="B39" s="27" t="s">
        <v>20</v>
      </c>
      <c r="C39" s="27" t="s">
        <v>11</v>
      </c>
      <c r="D39" s="27"/>
      <c r="E39" s="27"/>
      <c r="F39" s="27" t="s">
        <v>616</v>
      </c>
    </row>
    <row r="40" spans="1:6" x14ac:dyDescent="0.3">
      <c r="A40" s="27" t="s">
        <v>618</v>
      </c>
      <c r="B40" s="27" t="s">
        <v>20</v>
      </c>
      <c r="C40" s="27" t="s">
        <v>11</v>
      </c>
      <c r="D40" s="27"/>
      <c r="E40" s="27"/>
      <c r="F40" s="27" t="s">
        <v>619</v>
      </c>
    </row>
  </sheetData>
  <mergeCells count="1">
    <mergeCell ref="J6:J13"/>
  </mergeCells>
  <hyperlinks>
    <hyperlink ref="A1" location="Index!A1" display="Index" xr:uid="{00000000-0004-0000-1100-000000000000}"/>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Index</vt:lpstr>
      <vt:lpstr>Naming Conventions</vt:lpstr>
      <vt:lpstr>Bus Matrix</vt:lpstr>
      <vt:lpstr>AtomicDW</vt:lpstr>
      <vt:lpstr>Stock_Take_Fact</vt:lpstr>
      <vt:lpstr>Date</vt:lpstr>
      <vt:lpstr>Date records</vt:lpstr>
      <vt:lpstr>Material</vt:lpstr>
      <vt:lpstr>Stock_Take_Indicators</vt:lpstr>
      <vt:lpstr>Source Files</vt:lpstr>
      <vt:lpstr>SF_PW_Employees</vt:lpstr>
      <vt:lpstr>SF_PW_Employee_Timesheet</vt:lpstr>
      <vt:lpstr>SF_PW_Customers</vt:lpstr>
      <vt:lpstr>SF_MM_Stock_Take</vt:lpstr>
      <vt:lpstr>Stage1</vt:lpstr>
      <vt:lpstr>S1_PW_Employee_Timesheet</vt:lpstr>
      <vt:lpstr>S1_PW_Employees</vt:lpstr>
      <vt:lpstr>S1_PW_Customer</vt:lpstr>
      <vt:lpstr>S1_MM_Stock_Take</vt:lpstr>
      <vt:lpstr>Stage2</vt:lpstr>
      <vt:lpstr>S2_MM_Material_Group_Lookup</vt:lpstr>
      <vt:lpstr>S2_MM_Material</vt:lpstr>
      <vt:lpstr>S2_MM_Stock_Take</vt:lpstr>
      <vt:lpstr>Process 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rkwuser</dc:creator>
  <cp:lastModifiedBy>User</cp:lastModifiedBy>
  <dcterms:created xsi:type="dcterms:W3CDTF">2019-03-09T12:20:41Z</dcterms:created>
  <dcterms:modified xsi:type="dcterms:W3CDTF">2022-05-04T20:39:34Z</dcterms:modified>
</cp:coreProperties>
</file>